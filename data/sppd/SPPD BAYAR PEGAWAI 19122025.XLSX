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  <sheet name="MANDIRI" sheetId="2" r:id="rId2"/>
    <sheet name="BNI" sheetId="3" r:id="rId3"/>
    <sheet name="BRI" sheetId="4" r:id="rId4"/>
    <sheet name="BSI" sheetId="5" r:id="rId5"/>
  </sheets>
  <definedNames>
    <definedName name="_xlnm._FilterDatabase" localSheetId="0" hidden="1">Sheet1!$A$1:$AJ$44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<sst xmlns="http://schemas.openxmlformats.org/spreadsheetml/2006/main" count="1887" uniqueCount="426">
  <si>
    <t>Indicator</t>
  </si>
  <si>
    <t>Group ID</t>
  </si>
  <si>
    <t>Data Status</t>
  </si>
  <si>
    <t>Personnel Number</t>
  </si>
  <si>
    <t>Trip Number</t>
  </si>
  <si>
    <t>Company Code</t>
  </si>
  <si>
    <t>Document Number</t>
  </si>
  <si>
    <t>Fiscal Year</t>
  </si>
  <si>
    <t>Jenis SPPD</t>
  </si>
  <si>
    <t>Customer</t>
  </si>
  <si>
    <t>Customer Name</t>
  </si>
  <si>
    <t>Posting Date</t>
  </si>
  <si>
    <t>Trip Destination</t>
  </si>
  <si>
    <t>Reason for Trip</t>
  </si>
  <si>
    <t>Trip Begins On</t>
  </si>
  <si>
    <t>Trip Ends On</t>
  </si>
  <si>
    <t>Business Area</t>
  </si>
  <si>
    <t>Tanggal Rencana Bayar</t>
  </si>
  <si>
    <t>Jenis Transaksi</t>
  </si>
  <si>
    <t>Cash Code</t>
  </si>
  <si>
    <t>Sumber Dana</t>
  </si>
  <si>
    <t>Payment Type</t>
  </si>
  <si>
    <t>Paying Company Code</t>
  </si>
  <si>
    <t>Sender House Bank</t>
  </si>
  <si>
    <t>Curr Bayar</t>
  </si>
  <si>
    <t>Paid Amount</t>
  </si>
  <si>
    <t>Currency</t>
  </si>
  <si>
    <t>Benef Bank Ctry</t>
  </si>
  <si>
    <t>Benef Bank Key</t>
  </si>
  <si>
    <t>Beneficiary Bank Name</t>
  </si>
  <si>
    <t>Beneficiary Account</t>
  </si>
  <si>
    <t>Beneficiary Name</t>
  </si>
  <si>
    <t>Benef Name API</t>
  </si>
  <si>
    <t>Response API Paystat</t>
  </si>
  <si>
    <t>E-Mail Address</t>
  </si>
  <si>
    <t>Message</t>
  </si>
  <si>
    <t>@08@</t>
  </si>
  <si>
    <t>202512190000595453</t>
  </si>
  <si>
    <t>3</t>
  </si>
  <si>
    <t>86117400</t>
  </si>
  <si>
    <t>4120179269</t>
  </si>
  <si>
    <t>7400</t>
  </si>
  <si>
    <t>2600012336</t>
  </si>
  <si>
    <t>2025</t>
  </si>
  <si>
    <t>01</t>
  </si>
  <si>
    <t>286117400</t>
  </si>
  <si>
    <t>ROSMALAWATY SATTUANG</t>
  </si>
  <si>
    <t>Kota Makassar - Kab. Bulukumba</t>
  </si>
  <si>
    <t>Penghapusan Aset Tidak Beroperasi</t>
  </si>
  <si>
    <t>7401</t>
  </si>
  <si>
    <t>1.7.6.2.4</t>
  </si>
  <si>
    <t>VANILLA</t>
  </si>
  <si>
    <t>1000</t>
  </si>
  <si>
    <t>BNI27</t>
  </si>
  <si>
    <t>IDR</t>
  </si>
  <si>
    <t>ID</t>
  </si>
  <si>
    <t>BSI-ID-JKT-0001</t>
  </si>
  <si>
    <t>PT BANK SYARIAH INDONESIA</t>
  </si>
  <si>
    <t>7032207159</t>
  </si>
  <si>
    <t/>
  </si>
  <si>
    <t>ROSS_99@PLN.CO.ID</t>
  </si>
  <si>
    <t>@5B@ - Data berhasil disimpan</t>
  </si>
  <si>
    <t>202512190000595463</t>
  </si>
  <si>
    <t>76957800</t>
  </si>
  <si>
    <t>4120179626</t>
  </si>
  <si>
    <t>2600012362</t>
  </si>
  <si>
    <t>276957800</t>
  </si>
  <si>
    <t>HUSEN SOBRI</t>
  </si>
  <si>
    <t>Kota Makassar - Kota Yogyakarta</t>
  </si>
  <si>
    <t>Keandalan dan efisiensi distribusi</t>
  </si>
  <si>
    <t>BNI-ID-JKT-0352</t>
  </si>
  <si>
    <t>BANK NEGARA INDONESIA</t>
  </si>
  <si>
    <t>85549326</t>
  </si>
  <si>
    <t>Bpk HUSEN SOBRI</t>
  </si>
  <si>
    <t>OBRI.HS@PLN.CO.ID</t>
  </si>
  <si>
    <t>202512190000595461</t>
  </si>
  <si>
    <t>95197609</t>
  </si>
  <si>
    <t>4120179080</t>
  </si>
  <si>
    <t>2600012394</t>
  </si>
  <si>
    <t>295197609</t>
  </si>
  <si>
    <t>ELKO NURUL YAQIN</t>
  </si>
  <si>
    <t>Kab. Pinrang - Kab. Gowa</t>
  </si>
  <si>
    <t>DIKLAT KABEL TANAH 20KV</t>
  </si>
  <si>
    <t>7415</t>
  </si>
  <si>
    <t>1.7.5.3.3</t>
  </si>
  <si>
    <t>8011039710</t>
  </si>
  <si>
    <t>elko.nurul@pln.co.id</t>
  </si>
  <si>
    <t>202512190000595456</t>
  </si>
  <si>
    <t>79047601</t>
  </si>
  <si>
    <t>4120179298</t>
  </si>
  <si>
    <t>2600012366</t>
  </si>
  <si>
    <t>279047601</t>
  </si>
  <si>
    <t>YULI ASHANIAIS RAMADANI</t>
  </si>
  <si>
    <t>Kota Makassar - Kota Batam</t>
  </si>
  <si>
    <t>Niaga dan Pemasaran Distribusi</t>
  </si>
  <si>
    <t>7177346092</t>
  </si>
  <si>
    <t>YULI.ASHANIAIS@PLN.CO.ID</t>
  </si>
  <si>
    <t>202512190000595454</t>
  </si>
  <si>
    <t>90087607</t>
  </si>
  <si>
    <t>4120179613</t>
  </si>
  <si>
    <t>2600012383</t>
  </si>
  <si>
    <t>290087607</t>
  </si>
  <si>
    <t>ZAKI ASHARI</t>
  </si>
  <si>
    <t>Kota Makassar - Kota Depok</t>
  </si>
  <si>
    <t>Konsinyering Penyusunan Anggaran</t>
  </si>
  <si>
    <t>7135320654</t>
  </si>
  <si>
    <t>ZAKI.ASHARI@PLN.CO.ID</t>
  </si>
  <si>
    <t>202512190000595466</t>
  </si>
  <si>
    <t>94157403</t>
  </si>
  <si>
    <t>4120179285</t>
  </si>
  <si>
    <t>2600012399</t>
  </si>
  <si>
    <t>294157403</t>
  </si>
  <si>
    <t>DEBBY DWIASTIN</t>
  </si>
  <si>
    <t>Kota Makassar - Kota Bandung</t>
  </si>
  <si>
    <t>7428</t>
  </si>
  <si>
    <t>BRI58</t>
  </si>
  <si>
    <t>BRI-ID-JKT-0615</t>
  </si>
  <si>
    <t>BANK RAKYAT INDONESIA</t>
  </si>
  <si>
    <t>118001006983502</t>
  </si>
  <si>
    <t>DEBBY DWI ASTIN</t>
  </si>
  <si>
    <t>DEBBY.DWIASTIN@PLN.CO.ID</t>
  </si>
  <si>
    <t>4120179653</t>
  </si>
  <si>
    <t>2600012367</t>
  </si>
  <si>
    <t>Kota Makassar - Jakarta Selatan</t>
  </si>
  <si>
    <t>202512190000595458</t>
  </si>
  <si>
    <t>73957602</t>
  </si>
  <si>
    <t>4120179245</t>
  </si>
  <si>
    <t>2600012398</t>
  </si>
  <si>
    <t>273957602</t>
  </si>
  <si>
    <t>SUSTRI NATALIE SAIDAR</t>
  </si>
  <si>
    <t>7181162893</t>
  </si>
  <si>
    <t>SUSTRI NATALIE SEIDAR</t>
  </si>
  <si>
    <t>SUSTRI.NATALIE@PLN.CO.ID</t>
  </si>
  <si>
    <t>202512190000595457</t>
  </si>
  <si>
    <t>86098669</t>
  </si>
  <si>
    <t>4120179443</t>
  </si>
  <si>
    <t>2600012375</t>
  </si>
  <si>
    <t>286098669</t>
  </si>
  <si>
    <t>ANDI SORAYA TENRI BAU</t>
  </si>
  <si>
    <t>Kab. Pinrang - Kota Makassar</t>
  </si>
  <si>
    <t>Workshop/FGD</t>
  </si>
  <si>
    <t>7177486428</t>
  </si>
  <si>
    <t>SORAYA.TENRI@PLN.CO.ID</t>
  </si>
  <si>
    <t>202512190000595465</t>
  </si>
  <si>
    <t>89168000</t>
  </si>
  <si>
    <t>4120179609</t>
  </si>
  <si>
    <t>2600012381</t>
  </si>
  <si>
    <t>289168000</t>
  </si>
  <si>
    <t>EDDY TANDILINO</t>
  </si>
  <si>
    <t>033901095345509</t>
  </si>
  <si>
    <t>EDDY.T@PLN.CO.ID</t>
  </si>
  <si>
    <t>202512190000595484</t>
  </si>
  <si>
    <t>78027603</t>
  </si>
  <si>
    <t>4120179474</t>
  </si>
  <si>
    <t>2600012363</t>
  </si>
  <si>
    <t>278027603</t>
  </si>
  <si>
    <t>MUHAMMAD ISMAIL</t>
  </si>
  <si>
    <t>Kota Makassar - Kota Bogor</t>
  </si>
  <si>
    <t>Perencanaan dan Pengembangan Pembangkit</t>
  </si>
  <si>
    <t>MD066</t>
  </si>
  <si>
    <t>MDR-ID-JKT-0055</t>
  </si>
  <si>
    <t>Bank Mandiri</t>
  </si>
  <si>
    <t>1620003063066</t>
  </si>
  <si>
    <t>MUHAMMAD.ISMAIL@PLN.CO.ID</t>
  </si>
  <si>
    <t>202512190000595486</t>
  </si>
  <si>
    <t>91127629</t>
  </si>
  <si>
    <t>4120179636</t>
  </si>
  <si>
    <t>2600012384</t>
  </si>
  <si>
    <t>291127629</t>
  </si>
  <si>
    <t>DERMAWAN</t>
  </si>
  <si>
    <t>Kota Makassar - Kab. Mamuju</t>
  </si>
  <si>
    <t>7427</t>
  </si>
  <si>
    <t>9000014549738</t>
  </si>
  <si>
    <t>DERMAWAN.FY@PLN.CO.ID</t>
  </si>
  <si>
    <t>202512190000595462</t>
  </si>
  <si>
    <t>95197610</t>
  </si>
  <si>
    <t>4120179252</t>
  </si>
  <si>
    <t>2600012395</t>
  </si>
  <si>
    <t>295197610</t>
  </si>
  <si>
    <t>SEPTYANTO NUGROHO</t>
  </si>
  <si>
    <t>Konsinyering Pengadaan Pembangkit</t>
  </si>
  <si>
    <t>8011040900</t>
  </si>
  <si>
    <t>septyanto65@pln.co.id</t>
  </si>
  <si>
    <t>4120179514</t>
  </si>
  <si>
    <t>2600012382</t>
  </si>
  <si>
    <t>Sosialisasi &amp; Publikasi Penyediaan TL</t>
  </si>
  <si>
    <t>202512190000595470</t>
  </si>
  <si>
    <t>85107601</t>
  </si>
  <si>
    <t>4120179622</t>
  </si>
  <si>
    <t>2600012372</t>
  </si>
  <si>
    <t>285107601</t>
  </si>
  <si>
    <t>RAHMAT BUDIYANA</t>
  </si>
  <si>
    <t>1330009756289</t>
  </si>
  <si>
    <t>RAHMAT.BUDIYANA@PLN.CO.ID</t>
  </si>
  <si>
    <t>202512190000595472</t>
  </si>
  <si>
    <t>86097601</t>
  </si>
  <si>
    <t>4120179627</t>
  </si>
  <si>
    <t>2600012374</t>
  </si>
  <si>
    <t>286097601</t>
  </si>
  <si>
    <t>MUHAMMAD SUSGANDINATA</t>
  </si>
  <si>
    <t>1430009286038</t>
  </si>
  <si>
    <t>M SUSGANDINATA</t>
  </si>
  <si>
    <t>MUHAMMAD.SUSGANDINAT@PLN.CO.ID</t>
  </si>
  <si>
    <t>202512190000595485</t>
  </si>
  <si>
    <t>88097610</t>
  </si>
  <si>
    <t>4120179633</t>
  </si>
  <si>
    <t>2600012378</t>
  </si>
  <si>
    <t>288097610</t>
  </si>
  <si>
    <t>FADLI SARIMIN</t>
  </si>
  <si>
    <t>9000007688402</t>
  </si>
  <si>
    <t>FADLY</t>
  </si>
  <si>
    <t>FADLI.SARIMIN@PLN.CO.ID</t>
  </si>
  <si>
    <t>202512190000595471</t>
  </si>
  <si>
    <t>86093800</t>
  </si>
  <si>
    <t>4120179652</t>
  </si>
  <si>
    <t>2600012373</t>
  </si>
  <si>
    <t>286093800</t>
  </si>
  <si>
    <t>RATHY SHINTA UTAMI</t>
  </si>
  <si>
    <t>1410007008378</t>
  </si>
  <si>
    <t>RATHY.S.UTAMI@PLN.CO.ID</t>
  </si>
  <si>
    <t>202512190000595464</t>
  </si>
  <si>
    <t>89087605</t>
  </si>
  <si>
    <t>4120179533</t>
  </si>
  <si>
    <t>2600012380</t>
  </si>
  <si>
    <t>289087605</t>
  </si>
  <si>
    <t>ARJINOFALTIN</t>
  </si>
  <si>
    <t>Branding Edukasi Ketenagalistrikan</t>
  </si>
  <si>
    <t>8712297770</t>
  </si>
  <si>
    <t>ARJINOFALTIN@PLN.CO.ID</t>
  </si>
  <si>
    <t>4120178943</t>
  </si>
  <si>
    <t>2600012365</t>
  </si>
  <si>
    <t>Kota Makassar - Jakarta Pusat</t>
  </si>
  <si>
    <t>202512190000595467</t>
  </si>
  <si>
    <t>97197629</t>
  </si>
  <si>
    <t>4120179471</t>
  </si>
  <si>
    <t>2600012397</t>
  </si>
  <si>
    <t>297197629</t>
  </si>
  <si>
    <t>SANTIA DIAN KARISTA</t>
  </si>
  <si>
    <t>184701007634506</t>
  </si>
  <si>
    <t>SANTIA.KARISTA@PLN.CO.ID</t>
  </si>
  <si>
    <t>202512190000595483</t>
  </si>
  <si>
    <t>88128002</t>
  </si>
  <si>
    <t>4120179639</t>
  </si>
  <si>
    <t>2600012379</t>
  </si>
  <si>
    <t>288128002</t>
  </si>
  <si>
    <t>JULYANZAH PERDAN PUTRA</t>
  </si>
  <si>
    <t>Perencanaan dan Pengembangan Transmisi</t>
  </si>
  <si>
    <t>1540010912818</t>
  </si>
  <si>
    <t>JULYANZAH PERDANA PUTRA</t>
  </si>
  <si>
    <t>JULYANZAH PERDANA PU</t>
  </si>
  <si>
    <t>JULYANZAH.PUTRA@PLN.CO.ID</t>
  </si>
  <si>
    <t>202512190000595452</t>
  </si>
  <si>
    <t>91153402</t>
  </si>
  <si>
    <t>4120179611</t>
  </si>
  <si>
    <t>2600012386</t>
  </si>
  <si>
    <t>291153402</t>
  </si>
  <si>
    <t>DHANI JULIANTO PUTRA</t>
  </si>
  <si>
    <t>K3L Distribusi</t>
  </si>
  <si>
    <t>1047127889</t>
  </si>
  <si>
    <t>JULIANTO.PUTRA@PLN.CO.ID</t>
  </si>
  <si>
    <t>202512190000595477</t>
  </si>
  <si>
    <t>72947609</t>
  </si>
  <si>
    <t>4120179644</t>
  </si>
  <si>
    <t>2600012360</t>
  </si>
  <si>
    <t>272947609</t>
  </si>
  <si>
    <t>NUR AHADIAT</t>
  </si>
  <si>
    <t>Customer Gathering peningkatan penjualan</t>
  </si>
  <si>
    <t>1520011679699</t>
  </si>
  <si>
    <t>NURAHADIAT</t>
  </si>
  <si>
    <t>NUR.AHADIAT@PLN.CO.ID</t>
  </si>
  <si>
    <t>2600012392</t>
  </si>
  <si>
    <t>202512190000595480</t>
  </si>
  <si>
    <t>93167626</t>
  </si>
  <si>
    <t>4120179505</t>
  </si>
  <si>
    <t>2600012389</t>
  </si>
  <si>
    <t>293167626</t>
  </si>
  <si>
    <t>KHAYRUNNISA B. MUHAMMADIA</t>
  </si>
  <si>
    <t>Hubungan Industrial</t>
  </si>
  <si>
    <t>1520014838722</t>
  </si>
  <si>
    <t>KHAYRUNNISA B. MUHAM</t>
  </si>
  <si>
    <t>NISA.MUHAMMADIA@PLN.CO.ID</t>
  </si>
  <si>
    <t>4120179472</t>
  </si>
  <si>
    <t>2600012396</t>
  </si>
  <si>
    <t>202512190000595487</t>
  </si>
  <si>
    <t>93157606</t>
  </si>
  <si>
    <t>4120179623</t>
  </si>
  <si>
    <t>2600012388</t>
  </si>
  <si>
    <t>293157606</t>
  </si>
  <si>
    <t>M. SYAIFUL FUAD</t>
  </si>
  <si>
    <t>9000030102033</t>
  </si>
  <si>
    <t>SYAIFUL.FUAD@PLN.CO.ID</t>
  </si>
  <si>
    <t>202512190000595459</t>
  </si>
  <si>
    <t>217600</t>
  </si>
  <si>
    <t>4120179446</t>
  </si>
  <si>
    <t>2600012358</t>
  </si>
  <si>
    <t>200217600</t>
  </si>
  <si>
    <t>MAYA MAWARNI BIRANA</t>
  </si>
  <si>
    <t>7230260294</t>
  </si>
  <si>
    <t>MAYA.MAWARNI@PLN.CO.ID</t>
  </si>
  <si>
    <t>202512190000595474</t>
  </si>
  <si>
    <t>83087611</t>
  </si>
  <si>
    <t>4120179306</t>
  </si>
  <si>
    <t>2600012370</t>
  </si>
  <si>
    <t>283087611</t>
  </si>
  <si>
    <t>MUHAMMAD RUM</t>
  </si>
  <si>
    <t>Kota Makassar - Kab. Pangkajene Dan Kepulauan</t>
  </si>
  <si>
    <t>1520007446186</t>
  </si>
  <si>
    <t>MUHAMMAD.RUM@PLN.CO.ID</t>
  </si>
  <si>
    <t>202512190000595460</t>
  </si>
  <si>
    <t>93167645</t>
  </si>
  <si>
    <t>4120179344</t>
  </si>
  <si>
    <t>2600012390</t>
  </si>
  <si>
    <t>293167645</t>
  </si>
  <si>
    <t>AHMAD NURDIN ISLAM</t>
  </si>
  <si>
    <t>Penertiban Penyediaan Tenaga Listrik</t>
  </si>
  <si>
    <t>7575008860</t>
  </si>
  <si>
    <t>AHMAD.NURDIN71@PLN.CO.ID</t>
  </si>
  <si>
    <t>202512190000595468</t>
  </si>
  <si>
    <t>80077601</t>
  </si>
  <si>
    <t>4120179267</t>
  </si>
  <si>
    <t>2600012368</t>
  </si>
  <si>
    <t>280077601</t>
  </si>
  <si>
    <t>DALMASIUS NUGROHO ADI PUTRANTO</t>
  </si>
  <si>
    <t>0700004544255</t>
  </si>
  <si>
    <t>DALMASIUS NUGROHO AD</t>
  </si>
  <si>
    <t>DALMASIUS.NUGROHO@PLN.CO.ID</t>
  </si>
  <si>
    <t>202512190000595476</t>
  </si>
  <si>
    <t>74937601</t>
  </si>
  <si>
    <t>4120179617</t>
  </si>
  <si>
    <t>2600012361</t>
  </si>
  <si>
    <t>274937601</t>
  </si>
  <si>
    <t>ARMAN</t>
  </si>
  <si>
    <t>1520011646086</t>
  </si>
  <si>
    <t>ARMAN22@PLN.CO.ID</t>
  </si>
  <si>
    <t>202512190000595479</t>
  </si>
  <si>
    <t>91147609</t>
  </si>
  <si>
    <t>4120179650</t>
  </si>
  <si>
    <t>2600012385</t>
  </si>
  <si>
    <t>291147609</t>
  </si>
  <si>
    <t>I WAYAN EDY PURNAMA ARSA</t>
  </si>
  <si>
    <t>1520013941733</t>
  </si>
  <si>
    <t>I WAYAN EDY PURNAMA</t>
  </si>
  <si>
    <t>WAYAN.EDY@PLN.CO.ID</t>
  </si>
  <si>
    <t>202512190000595451</t>
  </si>
  <si>
    <t>95197607</t>
  </si>
  <si>
    <t>4120179086</t>
  </si>
  <si>
    <t>2600012393</t>
  </si>
  <si>
    <t>295197607</t>
  </si>
  <si>
    <t>LAILATUL FAUZIYAH</t>
  </si>
  <si>
    <t>Kab. Takalar - Kota Bandung</t>
  </si>
  <si>
    <t>PBJJ - Kuliah &amp; UAS ITB</t>
  </si>
  <si>
    <t>0801463742</t>
  </si>
  <si>
    <t>Sdri LAILATUL FAUZIYAH</t>
  </si>
  <si>
    <t>lailatul@pln.co.id</t>
  </si>
  <si>
    <t>202512190000595482</t>
  </si>
  <si>
    <t>72937606</t>
  </si>
  <si>
    <t>4120179614</t>
  </si>
  <si>
    <t>2600012359</t>
  </si>
  <si>
    <t>272937606</t>
  </si>
  <si>
    <t>EKO WAHYU PRASONGKO</t>
  </si>
  <si>
    <t>1520096016247</t>
  </si>
  <si>
    <t>EKO.PRASONGKO@PLN.CO.ID</t>
  </si>
  <si>
    <t>202512190000595455</t>
  </si>
  <si>
    <t>94137630</t>
  </si>
  <si>
    <t>4120178933</t>
  </si>
  <si>
    <t>2600012391</t>
  </si>
  <si>
    <t>294137630</t>
  </si>
  <si>
    <t>ABRIANSYAH HASYIM</t>
  </si>
  <si>
    <t>Kab. Pangkajene Dan Kepulauan - Kab. Gowa</t>
  </si>
  <si>
    <t>Offline Pengujian OCR / GFR di UPDL Makassar</t>
  </si>
  <si>
    <t>7143342047</t>
  </si>
  <si>
    <t>ABRIANSYAH.HASYIM@PLN.CO.ID</t>
  </si>
  <si>
    <t>4120179661</t>
  </si>
  <si>
    <t>2600012369</t>
  </si>
  <si>
    <t>Perencanaan dan Pengembangan Distribusi</t>
  </si>
  <si>
    <t>4120179643</t>
  </si>
  <si>
    <t>2600012364</t>
  </si>
  <si>
    <t>Konsinyering Penyediaan Tenaga Listrik</t>
  </si>
  <si>
    <t>202512190000595473</t>
  </si>
  <si>
    <t>84037602</t>
  </si>
  <si>
    <t>4120179504</t>
  </si>
  <si>
    <t>2600012371</t>
  </si>
  <si>
    <t>284037602</t>
  </si>
  <si>
    <t>DEWI ARJUNI KUSNADI</t>
  </si>
  <si>
    <t>Kota Makassar - Kab. Jeneponto</t>
  </si>
  <si>
    <t>1520004667990</t>
  </si>
  <si>
    <t>DEWI.ARJUNI@PLN.CO.ID</t>
  </si>
  <si>
    <t>202512190000595475</t>
  </si>
  <si>
    <t>87107602</t>
  </si>
  <si>
    <t>4120179473</t>
  </si>
  <si>
    <t>2600012377</t>
  </si>
  <si>
    <t>287107602</t>
  </si>
  <si>
    <t>WARIS MUKTA</t>
  </si>
  <si>
    <t>1520011624315</t>
  </si>
  <si>
    <t>WARIS.MUKTA@PLN.CO.ID</t>
  </si>
  <si>
    <t>202512190000595478</t>
  </si>
  <si>
    <t>87097600</t>
  </si>
  <si>
    <t>4120179620</t>
  </si>
  <si>
    <t>2600012376</t>
  </si>
  <si>
    <t>287097600</t>
  </si>
  <si>
    <t>ARIE PRATAMA</t>
  </si>
  <si>
    <t>1520012503849</t>
  </si>
  <si>
    <t>ARIE.PRATAMA@PLN.CO.ID</t>
  </si>
  <si>
    <t>202512190000595481</t>
  </si>
  <si>
    <t>92177601</t>
  </si>
  <si>
    <t>4120179469</t>
  </si>
  <si>
    <t>2600012387</t>
  </si>
  <si>
    <t>292177601</t>
  </si>
  <si>
    <t>FRANKLIN GINTHER</t>
  </si>
  <si>
    <t>1520015690601</t>
  </si>
  <si>
    <t>FRANKLIN.GINTHER@PLN.CO.ID</t>
  </si>
  <si>
    <t>SPPD PEGAWAI PLN UID SULSELRABAR, UP3 PINRANG, UP3 MAKASSAR UTARA, UP3 MAKASSAR SELATAN</t>
  </si>
  <si>
    <t>BANK MANDIRI</t>
  </si>
  <si>
    <t>TOTAL</t>
  </si>
  <si>
    <t>TERBILANG : TIGA PULUH JUTA TUJUH RATUS SEMBILAN PULUH LIMA RIBU RUPIAH</t>
  </si>
  <si>
    <t>Makassar, 19 Desember 2025</t>
  </si>
  <si>
    <t>SENIOR MANAGER KEUANGAN, KOMUNIKASI</t>
  </si>
  <si>
    <t>PLH MANAGER ASET PROPERTI DAN UMUM</t>
  </si>
  <si>
    <t>DAN UMUM</t>
  </si>
  <si>
    <t>AMBO TUWO</t>
  </si>
  <si>
    <t>BNI</t>
  </si>
  <si>
    <t>TERBILANG : LIMA JUTA ENAM RATUS DUA PULUH LIMA RIBU RUPIAH</t>
  </si>
  <si>
    <t>BRI</t>
  </si>
  <si>
    <t>TERBILANG : LIMA JUTA EMPAT RATUS TUJUH PULUH SATU RIBU LIMA PULUH RUPIAH</t>
  </si>
  <si>
    <t>BSI</t>
  </si>
  <si>
    <t>TERBILANG : TIGA PULUH DUA JUTA DUA RATUS ENAM PULUH TUJUH RIBU TIGA RATUS TUJUH PULUH SEMBILAN RUPIAH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</si>
</sst>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_-* #,##0.00_-;\-* #,##0.00_-;_-* &quot;-&quot;??_-;_-@_-"/>
    <numFmt numFmtId="181" formatCode="_(* #,##0_);_(* \(#,##0\);_(* &quot;-&quot;??_);_(@_)"/>
  </numFmts>
  <fonts count="23">
    <font>
      <sz val="10"/>
      <name val="Arial"/>
      <charset val="134"/>
    </font>
    <font>
      <b/>
      <sz val="12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0"/>
      <color indexed="12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/>
  </cellStyleXfs>
  <cellXfs count="41">
    <xf numFmtId="0" fontId="0" fillId="0" borderId="0" xfId="0" applyAlignment="1">
      <alignment vertical="top"/>
    </xf>
    <xf numFmtId="0" fontId="0" fillId="0" borderId="0" xfId="0" applyFill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58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vertical="top"/>
    </xf>
    <xf numFmtId="181" fontId="0" fillId="0" borderId="1" xfId="1" applyNumberFormat="1" applyBorder="1" applyAlignment="1">
      <alignment vertical="top"/>
    </xf>
    <xf numFmtId="0" fontId="0" fillId="0" borderId="1" xfId="0" applyFill="1" applyBorder="1" applyAlignment="1">
      <alignment vertical="top"/>
    </xf>
    <xf numFmtId="0" fontId="0" fillId="0" borderId="1" xfId="0" applyFont="1" applyBorder="1" applyAlignment="1">
      <alignment vertical="top"/>
    </xf>
    <xf numFmtId="58" fontId="0" fillId="0" borderId="1" xfId="0" applyNumberFormat="1" applyFont="1" applyBorder="1" applyAlignment="1">
      <alignment horizontal="right"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181" fontId="1" fillId="0" borderId="0" xfId="49" applyNumberFormat="1" applyFont="1" applyAlignment="1">
      <alignment vertical="top"/>
    </xf>
    <xf numFmtId="181" fontId="0" fillId="0" borderId="0" xfId="49" applyNumberFormat="1" applyFont="1" applyAlignment="1">
      <alignment vertical="top"/>
    </xf>
    <xf numFmtId="181" fontId="2" fillId="2" borderId="1" xfId="49" applyNumberFormat="1" applyFont="1" applyFill="1" applyBorder="1" applyAlignment="1">
      <alignment horizontal="center" vertical="center" wrapText="1"/>
    </xf>
    <xf numFmtId="181" fontId="0" fillId="0" borderId="1" xfId="1" applyNumberFormat="1" applyBorder="1" applyAlignment="1">
      <alignment horizontal="right" vertical="top"/>
    </xf>
    <xf numFmtId="41" fontId="0" fillId="0" borderId="1" xfId="4" applyNumberFormat="1" applyFont="1" applyBorder="1" applyAlignment="1">
      <alignment horizontal="right" vertical="top"/>
    </xf>
    <xf numFmtId="181" fontId="2" fillId="0" borderId="1" xfId="49" applyNumberFormat="1" applyFont="1" applyFill="1" applyBorder="1" applyAlignment="1">
      <alignment vertical="top"/>
    </xf>
    <xf numFmtId="0" fontId="0" fillId="0" borderId="1" xfId="0" applyFont="1" applyBorder="1" applyAlignment="1">
      <alignment horizontal="center" vertical="top"/>
    </xf>
    <xf numFmtId="181" fontId="2" fillId="0" borderId="1" xfId="49" applyNumberFormat="1" applyFont="1" applyBorder="1" applyAlignment="1">
      <alignment vertical="center"/>
    </xf>
    <xf numFmtId="181" fontId="2" fillId="0" borderId="0" xfId="49" applyNumberFormat="1" applyFont="1" applyAlignment="1">
      <alignment horizontal="left" vertical="center"/>
    </xf>
    <xf numFmtId="0" fontId="0" fillId="0" borderId="0" xfId="0" applyFont="1" applyAlignment="1">
      <alignment horizontal="center" vertical="top"/>
    </xf>
    <xf numFmtId="181" fontId="2" fillId="0" borderId="0" xfId="49" applyNumberFormat="1" applyFont="1" applyAlignment="1">
      <alignment horizontal="center" vertical="top"/>
    </xf>
    <xf numFmtId="181" fontId="2" fillId="0" borderId="0" xfId="49" applyNumberFormat="1" applyFont="1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58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81" fontId="0" fillId="0" borderId="0" xfId="0" applyNumberFormat="1" applyAlignment="1">
      <alignment vertical="top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46"/>
  <sheetViews>
    <sheetView tabSelected="1" zoomScale="85" zoomScaleNormal="85" topLeftCell="V18" workbookViewId="0">
      <selection activeCell="Z47" sqref="Z47"/>
    </sheetView>
  </sheetViews>
  <sheetFormatPr defaultColWidth="9" defaultRowHeight="13.2"/>
  <cols>
    <col min="1" max="1" width="11" customWidth="1"/>
    <col min="2" max="2" width="20" customWidth="1"/>
    <col min="3" max="3" width="8" customWidth="1"/>
    <col min="4" max="4" width="18" customWidth="1"/>
    <col min="5" max="5" width="13" customWidth="1"/>
    <col min="6" max="6" width="14" customWidth="1"/>
    <col min="7" max="7" width="17" customWidth="1"/>
    <col min="8" max="8" width="13" customWidth="1"/>
    <col min="9" max="9" width="12" customWidth="1"/>
    <col min="10" max="10" width="11" customWidth="1"/>
    <col min="11" max="11" width="32" customWidth="1"/>
    <col min="12" max="12" width="17" customWidth="1"/>
    <col min="13" max="13" width="47" customWidth="1"/>
    <col min="14" max="14" width="46" customWidth="1"/>
    <col min="15" max="16" width="17" customWidth="1"/>
    <col min="17" max="17" width="15" customWidth="1"/>
    <col min="18" max="18" width="23" customWidth="1"/>
    <col min="19" max="20" width="11" customWidth="1"/>
    <col min="21" max="21" width="13" customWidth="1"/>
    <col min="22" max="22" width="14" customWidth="1"/>
    <col min="23" max="23" width="6" customWidth="1"/>
    <col min="24" max="24" width="7" customWidth="1"/>
    <col min="25" max="25" width="12" customWidth="1"/>
    <col min="26" max="26" width="13" customWidth="1"/>
    <col min="27" max="27" width="10" customWidth="1"/>
    <col min="28" max="28" width="11" customWidth="1"/>
    <col min="29" max="29" width="17" customWidth="1"/>
    <col min="30" max="30" width="27" customWidth="1"/>
    <col min="31" max="31" width="21" customWidth="1"/>
    <col min="32" max="32" width="32" customWidth="1"/>
    <col min="33" max="33" width="25" customWidth="1"/>
    <col min="34" max="34" width="22" customWidth="1"/>
    <col min="35" max="35" width="32" customWidth="1"/>
    <col min="36" max="36" width="31" customWidth="1"/>
  </cols>
  <sheetData>
    <row r="1" ht="66" spans="1:36">
      <c r="A1" s="36" t="s">
        <v>0</v>
      </c>
      <c r="B1" s="36" t="s">
        <v>1</v>
      </c>
      <c r="C1" s="37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  <c r="R1" s="36" t="s">
        <v>17</v>
      </c>
      <c r="S1" s="37" t="s">
        <v>18</v>
      </c>
      <c r="T1" s="36" t="s">
        <v>19</v>
      </c>
      <c r="U1" s="36" t="s">
        <v>20</v>
      </c>
      <c r="V1" s="36" t="s">
        <v>21</v>
      </c>
      <c r="W1" s="37" t="s">
        <v>22</v>
      </c>
      <c r="X1" s="37" t="s">
        <v>23</v>
      </c>
      <c r="Y1" s="36" t="s">
        <v>24</v>
      </c>
      <c r="Z1" s="36" t="s">
        <v>25</v>
      </c>
      <c r="AA1" s="36" t="s">
        <v>26</v>
      </c>
      <c r="AB1" s="37" t="s">
        <v>27</v>
      </c>
      <c r="AC1" s="36" t="s">
        <v>28</v>
      </c>
      <c r="AD1" s="36" t="s">
        <v>29</v>
      </c>
      <c r="AE1" s="36" t="s">
        <v>30</v>
      </c>
      <c r="AF1" s="36" t="s">
        <v>31</v>
      </c>
      <c r="AG1" s="36" t="s">
        <v>32</v>
      </c>
      <c r="AH1" s="36" t="s">
        <v>33</v>
      </c>
      <c r="AI1" s="36" t="s">
        <v>34</v>
      </c>
      <c r="AJ1" s="36" t="s">
        <v>35</v>
      </c>
    </row>
    <row r="2" spans="1:36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s="38">
        <v>46009</v>
      </c>
      <c r="M2" t="s">
        <v>47</v>
      </c>
      <c r="N2" t="s">
        <v>48</v>
      </c>
      <c r="O2" s="38">
        <v>45993</v>
      </c>
      <c r="P2" s="38">
        <v>45996</v>
      </c>
      <c r="Q2" t="s">
        <v>49</v>
      </c>
      <c r="R2" s="38">
        <v>46020</v>
      </c>
      <c r="S2" t="s">
        <v>44</v>
      </c>
      <c r="T2" t="s">
        <v>50</v>
      </c>
      <c r="U2" t="s">
        <v>44</v>
      </c>
      <c r="V2" t="s">
        <v>51</v>
      </c>
      <c r="W2" t="s">
        <v>52</v>
      </c>
      <c r="X2" t="s">
        <v>53</v>
      </c>
      <c r="Y2" t="s">
        <v>54</v>
      </c>
      <c r="Z2" s="39">
        <v>3600000</v>
      </c>
      <c r="AA2" t="s">
        <v>54</v>
      </c>
      <c r="AB2" t="s">
        <v>55</v>
      </c>
      <c r="AC2" t="s">
        <v>56</v>
      </c>
      <c r="AD2" t="s">
        <v>57</v>
      </c>
      <c r="AE2" t="s">
        <v>58</v>
      </c>
      <c r="AF2" t="s">
        <v>46</v>
      </c>
      <c r="AG2" t="s">
        <v>46</v>
      </c>
      <c r="AH2" t="s">
        <v>59</v>
      </c>
      <c r="AI2" t="s">
        <v>60</v>
      </c>
      <c r="AJ2" t="s">
        <v>61</v>
      </c>
    </row>
    <row r="3" spans="1:36">
      <c r="A3" t="s">
        <v>36</v>
      </c>
      <c r="B3" t="s">
        <v>62</v>
      </c>
      <c r="C3" t="s">
        <v>38</v>
      </c>
      <c r="D3" t="s">
        <v>63</v>
      </c>
      <c r="E3" t="s">
        <v>64</v>
      </c>
      <c r="F3" t="s">
        <v>41</v>
      </c>
      <c r="G3" t="s">
        <v>65</v>
      </c>
      <c r="H3" t="s">
        <v>43</v>
      </c>
      <c r="I3" t="s">
        <v>44</v>
      </c>
      <c r="J3" t="s">
        <v>66</v>
      </c>
      <c r="K3" t="s">
        <v>67</v>
      </c>
      <c r="L3" s="38">
        <v>46010</v>
      </c>
      <c r="M3" t="s">
        <v>68</v>
      </c>
      <c r="N3" t="s">
        <v>69</v>
      </c>
      <c r="O3" s="38">
        <v>46008</v>
      </c>
      <c r="P3" s="38">
        <v>46011</v>
      </c>
      <c r="Q3" t="s">
        <v>49</v>
      </c>
      <c r="R3" s="38">
        <v>46020</v>
      </c>
      <c r="S3" t="s">
        <v>44</v>
      </c>
      <c r="T3" t="s">
        <v>50</v>
      </c>
      <c r="U3" t="s">
        <v>44</v>
      </c>
      <c r="V3" t="s">
        <v>51</v>
      </c>
      <c r="W3" t="s">
        <v>52</v>
      </c>
      <c r="X3" t="s">
        <v>53</v>
      </c>
      <c r="Y3" t="s">
        <v>54</v>
      </c>
      <c r="Z3" s="39">
        <v>2300000</v>
      </c>
      <c r="AA3" t="s">
        <v>54</v>
      </c>
      <c r="AB3" t="s">
        <v>55</v>
      </c>
      <c r="AC3" t="s">
        <v>70</v>
      </c>
      <c r="AD3" t="s">
        <v>71</v>
      </c>
      <c r="AE3" t="s">
        <v>72</v>
      </c>
      <c r="AF3" t="s">
        <v>67</v>
      </c>
      <c r="AG3" t="s">
        <v>73</v>
      </c>
      <c r="AH3" t="s">
        <v>59</v>
      </c>
      <c r="AI3" t="s">
        <v>74</v>
      </c>
      <c r="AJ3" t="s">
        <v>61</v>
      </c>
    </row>
    <row r="4" spans="1:36">
      <c r="A4" t="s">
        <v>36</v>
      </c>
      <c r="B4" t="s">
        <v>75</v>
      </c>
      <c r="C4" t="s">
        <v>38</v>
      </c>
      <c r="D4" t="s">
        <v>76</v>
      </c>
      <c r="E4" t="s">
        <v>77</v>
      </c>
      <c r="F4" t="s">
        <v>41</v>
      </c>
      <c r="G4" t="s">
        <v>78</v>
      </c>
      <c r="H4" t="s">
        <v>43</v>
      </c>
      <c r="I4" t="s">
        <v>44</v>
      </c>
      <c r="J4" t="s">
        <v>79</v>
      </c>
      <c r="K4" t="s">
        <v>80</v>
      </c>
      <c r="L4" s="38">
        <v>46010</v>
      </c>
      <c r="M4" t="s">
        <v>81</v>
      </c>
      <c r="N4" t="s">
        <v>82</v>
      </c>
      <c r="O4" s="38">
        <v>45984</v>
      </c>
      <c r="P4" s="38">
        <v>45987</v>
      </c>
      <c r="Q4" t="s">
        <v>83</v>
      </c>
      <c r="R4" s="38">
        <v>46020</v>
      </c>
      <c r="S4" t="s">
        <v>44</v>
      </c>
      <c r="T4" t="s">
        <v>84</v>
      </c>
      <c r="U4" t="s">
        <v>44</v>
      </c>
      <c r="V4" t="s">
        <v>51</v>
      </c>
      <c r="W4" t="s">
        <v>52</v>
      </c>
      <c r="X4" t="s">
        <v>53</v>
      </c>
      <c r="Y4" t="s">
        <v>54</v>
      </c>
      <c r="Z4" s="39">
        <v>1150000</v>
      </c>
      <c r="AA4" t="s">
        <v>54</v>
      </c>
      <c r="AB4" t="s">
        <v>55</v>
      </c>
      <c r="AC4" t="s">
        <v>56</v>
      </c>
      <c r="AD4" t="s">
        <v>57</v>
      </c>
      <c r="AE4" t="s">
        <v>85</v>
      </c>
      <c r="AF4" t="s">
        <v>80</v>
      </c>
      <c r="AG4" t="s">
        <v>80</v>
      </c>
      <c r="AH4" t="s">
        <v>59</v>
      </c>
      <c r="AI4" t="s">
        <v>86</v>
      </c>
      <c r="AJ4" t="s">
        <v>61</v>
      </c>
    </row>
    <row r="5" spans="1:36">
      <c r="A5" t="s">
        <v>36</v>
      </c>
      <c r="B5" t="s">
        <v>87</v>
      </c>
      <c r="C5" t="s">
        <v>38</v>
      </c>
      <c r="D5" t="s">
        <v>88</v>
      </c>
      <c r="E5" t="s">
        <v>89</v>
      </c>
      <c r="F5" t="s">
        <v>41</v>
      </c>
      <c r="G5" t="s">
        <v>90</v>
      </c>
      <c r="H5" t="s">
        <v>43</v>
      </c>
      <c r="I5" t="s">
        <v>44</v>
      </c>
      <c r="J5" t="s">
        <v>91</v>
      </c>
      <c r="K5" t="s">
        <v>92</v>
      </c>
      <c r="L5" s="38">
        <v>46010</v>
      </c>
      <c r="M5" t="s">
        <v>93</v>
      </c>
      <c r="N5" t="s">
        <v>94</v>
      </c>
      <c r="O5" s="38">
        <v>45995</v>
      </c>
      <c r="P5" s="38">
        <v>45998</v>
      </c>
      <c r="Q5" t="s">
        <v>49</v>
      </c>
      <c r="R5" s="38">
        <v>46020</v>
      </c>
      <c r="S5" t="s">
        <v>44</v>
      </c>
      <c r="T5" t="s">
        <v>50</v>
      </c>
      <c r="U5" t="s">
        <v>44</v>
      </c>
      <c r="V5" t="s">
        <v>51</v>
      </c>
      <c r="W5" t="s">
        <v>52</v>
      </c>
      <c r="X5" t="s">
        <v>53</v>
      </c>
      <c r="Y5" t="s">
        <v>54</v>
      </c>
      <c r="Z5" s="39">
        <v>6373000</v>
      </c>
      <c r="AA5" t="s">
        <v>54</v>
      </c>
      <c r="AB5" t="s">
        <v>55</v>
      </c>
      <c r="AC5" t="s">
        <v>56</v>
      </c>
      <c r="AD5" t="s">
        <v>57</v>
      </c>
      <c r="AE5" t="s">
        <v>95</v>
      </c>
      <c r="AF5" t="s">
        <v>92</v>
      </c>
      <c r="AG5" t="s">
        <v>92</v>
      </c>
      <c r="AH5" t="s">
        <v>59</v>
      </c>
      <c r="AI5" t="s">
        <v>96</v>
      </c>
      <c r="AJ5" t="s">
        <v>61</v>
      </c>
    </row>
    <row r="6" spans="1:36">
      <c r="A6" t="s">
        <v>36</v>
      </c>
      <c r="B6" t="s">
        <v>97</v>
      </c>
      <c r="C6" t="s">
        <v>38</v>
      </c>
      <c r="D6" t="s">
        <v>98</v>
      </c>
      <c r="E6" t="s">
        <v>99</v>
      </c>
      <c r="F6" t="s">
        <v>41</v>
      </c>
      <c r="G6" t="s">
        <v>100</v>
      </c>
      <c r="H6" t="s">
        <v>43</v>
      </c>
      <c r="I6" t="s">
        <v>44</v>
      </c>
      <c r="J6" t="s">
        <v>101</v>
      </c>
      <c r="K6" t="s">
        <v>102</v>
      </c>
      <c r="L6" s="38">
        <v>46010</v>
      </c>
      <c r="M6" t="s">
        <v>103</v>
      </c>
      <c r="N6" t="s">
        <v>104</v>
      </c>
      <c r="O6" s="38">
        <v>46007</v>
      </c>
      <c r="P6" s="38">
        <v>46010</v>
      </c>
      <c r="Q6" t="s">
        <v>49</v>
      </c>
      <c r="R6" s="38">
        <v>46020</v>
      </c>
      <c r="S6" t="s">
        <v>44</v>
      </c>
      <c r="T6" t="s">
        <v>50</v>
      </c>
      <c r="U6" t="s">
        <v>44</v>
      </c>
      <c r="V6" t="s">
        <v>51</v>
      </c>
      <c r="W6" t="s">
        <v>52</v>
      </c>
      <c r="X6" t="s">
        <v>53</v>
      </c>
      <c r="Y6" t="s">
        <v>54</v>
      </c>
      <c r="Z6" s="39">
        <v>2200000</v>
      </c>
      <c r="AA6" t="s">
        <v>54</v>
      </c>
      <c r="AB6" t="s">
        <v>55</v>
      </c>
      <c r="AC6" t="s">
        <v>56</v>
      </c>
      <c r="AD6" t="s">
        <v>57</v>
      </c>
      <c r="AE6" t="s">
        <v>105</v>
      </c>
      <c r="AF6" t="s">
        <v>102</v>
      </c>
      <c r="AG6" t="s">
        <v>102</v>
      </c>
      <c r="AH6" t="s">
        <v>59</v>
      </c>
      <c r="AI6" t="s">
        <v>106</v>
      </c>
      <c r="AJ6" t="s">
        <v>61</v>
      </c>
    </row>
    <row r="7" spans="1:36">
      <c r="A7" t="s">
        <v>36</v>
      </c>
      <c r="B7" t="s">
        <v>107</v>
      </c>
      <c r="C7" t="s">
        <v>38</v>
      </c>
      <c r="D7" t="s">
        <v>108</v>
      </c>
      <c r="E7" t="s">
        <v>109</v>
      </c>
      <c r="F7" t="s">
        <v>41</v>
      </c>
      <c r="G7" t="s">
        <v>110</v>
      </c>
      <c r="H7" t="s">
        <v>43</v>
      </c>
      <c r="I7" t="s">
        <v>44</v>
      </c>
      <c r="J7" t="s">
        <v>111</v>
      </c>
      <c r="K7" t="s">
        <v>112</v>
      </c>
      <c r="L7" s="38">
        <v>46010</v>
      </c>
      <c r="M7" t="s">
        <v>113</v>
      </c>
      <c r="N7" t="s">
        <v>94</v>
      </c>
      <c r="O7" s="38">
        <v>45995</v>
      </c>
      <c r="P7" s="38">
        <v>45997</v>
      </c>
      <c r="Q7" t="s">
        <v>114</v>
      </c>
      <c r="R7" s="38">
        <v>46020</v>
      </c>
      <c r="S7" t="s">
        <v>44</v>
      </c>
      <c r="T7" t="s">
        <v>50</v>
      </c>
      <c r="U7" t="s">
        <v>44</v>
      </c>
      <c r="V7" t="s">
        <v>51</v>
      </c>
      <c r="W7" t="s">
        <v>52</v>
      </c>
      <c r="X7" t="s">
        <v>115</v>
      </c>
      <c r="Y7" t="s">
        <v>54</v>
      </c>
      <c r="Z7" s="39">
        <v>756050</v>
      </c>
      <c r="AA7" t="s">
        <v>54</v>
      </c>
      <c r="AB7" t="s">
        <v>55</v>
      </c>
      <c r="AC7" t="s">
        <v>116</v>
      </c>
      <c r="AD7" t="s">
        <v>117</v>
      </c>
      <c r="AE7" t="s">
        <v>118</v>
      </c>
      <c r="AF7" t="s">
        <v>112</v>
      </c>
      <c r="AG7" t="s">
        <v>119</v>
      </c>
      <c r="AH7" t="s">
        <v>59</v>
      </c>
      <c r="AI7" t="s">
        <v>120</v>
      </c>
      <c r="AJ7" t="s">
        <v>61</v>
      </c>
    </row>
    <row r="8" spans="1:36">
      <c r="A8" t="s">
        <v>36</v>
      </c>
      <c r="B8" t="s">
        <v>87</v>
      </c>
      <c r="C8" t="s">
        <v>38</v>
      </c>
      <c r="D8" t="s">
        <v>88</v>
      </c>
      <c r="E8" t="s">
        <v>121</v>
      </c>
      <c r="F8" t="s">
        <v>41</v>
      </c>
      <c r="G8" t="s">
        <v>122</v>
      </c>
      <c r="H8" t="s">
        <v>43</v>
      </c>
      <c r="I8" t="s">
        <v>44</v>
      </c>
      <c r="J8" t="s">
        <v>91</v>
      </c>
      <c r="K8" t="s">
        <v>92</v>
      </c>
      <c r="L8" s="38">
        <v>46010</v>
      </c>
      <c r="M8" t="s">
        <v>123</v>
      </c>
      <c r="N8" t="s">
        <v>94</v>
      </c>
      <c r="O8" s="38">
        <v>46009</v>
      </c>
      <c r="P8" s="38">
        <v>46011</v>
      </c>
      <c r="Q8" t="s">
        <v>49</v>
      </c>
      <c r="R8" s="38">
        <v>46020</v>
      </c>
      <c r="S8" t="s">
        <v>44</v>
      </c>
      <c r="T8" t="s">
        <v>50</v>
      </c>
      <c r="U8" t="s">
        <v>44</v>
      </c>
      <c r="V8" t="s">
        <v>51</v>
      </c>
      <c r="W8" t="s">
        <v>52</v>
      </c>
      <c r="X8" t="s">
        <v>53</v>
      </c>
      <c r="Y8" t="s">
        <v>54</v>
      </c>
      <c r="Z8" s="39">
        <v>1800000</v>
      </c>
      <c r="AA8" t="s">
        <v>54</v>
      </c>
      <c r="AB8" t="s">
        <v>55</v>
      </c>
      <c r="AC8" t="s">
        <v>56</v>
      </c>
      <c r="AD8" t="s">
        <v>57</v>
      </c>
      <c r="AE8" t="s">
        <v>95</v>
      </c>
      <c r="AF8" t="s">
        <v>92</v>
      </c>
      <c r="AG8" t="s">
        <v>92</v>
      </c>
      <c r="AH8" t="s">
        <v>59</v>
      </c>
      <c r="AI8" t="s">
        <v>96</v>
      </c>
      <c r="AJ8" t="s">
        <v>61</v>
      </c>
    </row>
    <row r="9" spans="1:36">
      <c r="A9" t="s">
        <v>36</v>
      </c>
      <c r="B9" t="s">
        <v>124</v>
      </c>
      <c r="C9" t="s">
        <v>38</v>
      </c>
      <c r="D9" t="s">
        <v>125</v>
      </c>
      <c r="E9" t="s">
        <v>126</v>
      </c>
      <c r="F9" t="s">
        <v>41</v>
      </c>
      <c r="G9" t="s">
        <v>127</v>
      </c>
      <c r="H9" t="s">
        <v>43</v>
      </c>
      <c r="I9" t="s">
        <v>44</v>
      </c>
      <c r="J9" t="s">
        <v>128</v>
      </c>
      <c r="K9" t="s">
        <v>129</v>
      </c>
      <c r="L9" s="38">
        <v>46010</v>
      </c>
      <c r="M9" t="s">
        <v>123</v>
      </c>
      <c r="N9" t="s">
        <v>94</v>
      </c>
      <c r="O9" s="38">
        <v>45956</v>
      </c>
      <c r="P9" s="38">
        <v>45958</v>
      </c>
      <c r="Q9" t="s">
        <v>114</v>
      </c>
      <c r="R9" s="38">
        <v>46020</v>
      </c>
      <c r="S9" t="s">
        <v>44</v>
      </c>
      <c r="T9" t="s">
        <v>50</v>
      </c>
      <c r="U9" t="s">
        <v>44</v>
      </c>
      <c r="V9" t="s">
        <v>51</v>
      </c>
      <c r="W9" t="s">
        <v>52</v>
      </c>
      <c r="X9" t="s">
        <v>53</v>
      </c>
      <c r="Y9" t="s">
        <v>54</v>
      </c>
      <c r="Z9" s="39">
        <v>6733847</v>
      </c>
      <c r="AA9" t="s">
        <v>54</v>
      </c>
      <c r="AB9" t="s">
        <v>55</v>
      </c>
      <c r="AC9" t="s">
        <v>56</v>
      </c>
      <c r="AD9" t="s">
        <v>57</v>
      </c>
      <c r="AE9" t="s">
        <v>130</v>
      </c>
      <c r="AF9" t="s">
        <v>131</v>
      </c>
      <c r="AG9" t="s">
        <v>131</v>
      </c>
      <c r="AH9" t="s">
        <v>59</v>
      </c>
      <c r="AI9" t="s">
        <v>132</v>
      </c>
      <c r="AJ9" t="s">
        <v>61</v>
      </c>
    </row>
    <row r="10" spans="1:36">
      <c r="A10" t="s">
        <v>36</v>
      </c>
      <c r="B10" t="s">
        <v>133</v>
      </c>
      <c r="C10" t="s">
        <v>38</v>
      </c>
      <c r="D10" t="s">
        <v>134</v>
      </c>
      <c r="E10" t="s">
        <v>135</v>
      </c>
      <c r="F10" t="s">
        <v>41</v>
      </c>
      <c r="G10" t="s">
        <v>136</v>
      </c>
      <c r="H10" t="s">
        <v>43</v>
      </c>
      <c r="I10" t="s">
        <v>44</v>
      </c>
      <c r="J10" t="s">
        <v>137</v>
      </c>
      <c r="K10" t="s">
        <v>138</v>
      </c>
      <c r="L10" s="38">
        <v>46010</v>
      </c>
      <c r="M10" t="s">
        <v>139</v>
      </c>
      <c r="N10" t="s">
        <v>140</v>
      </c>
      <c r="O10" s="38">
        <v>46000</v>
      </c>
      <c r="P10" s="38">
        <v>46001</v>
      </c>
      <c r="Q10" t="s">
        <v>83</v>
      </c>
      <c r="R10" s="38">
        <v>46020</v>
      </c>
      <c r="S10" t="s">
        <v>44</v>
      </c>
      <c r="T10" t="s">
        <v>50</v>
      </c>
      <c r="U10" t="s">
        <v>44</v>
      </c>
      <c r="V10" t="s">
        <v>51</v>
      </c>
      <c r="W10" t="s">
        <v>52</v>
      </c>
      <c r="X10" t="s">
        <v>53</v>
      </c>
      <c r="Y10" t="s">
        <v>54</v>
      </c>
      <c r="Z10" s="39">
        <v>700000</v>
      </c>
      <c r="AA10" t="s">
        <v>54</v>
      </c>
      <c r="AB10" t="s">
        <v>55</v>
      </c>
      <c r="AC10" t="s">
        <v>56</v>
      </c>
      <c r="AD10" t="s">
        <v>57</v>
      </c>
      <c r="AE10" t="s">
        <v>141</v>
      </c>
      <c r="AF10" t="s">
        <v>138</v>
      </c>
      <c r="AG10" t="s">
        <v>138</v>
      </c>
      <c r="AH10" t="s">
        <v>59</v>
      </c>
      <c r="AI10" t="s">
        <v>142</v>
      </c>
      <c r="AJ10" t="s">
        <v>61</v>
      </c>
    </row>
    <row r="11" spans="1:36">
      <c r="A11" t="s">
        <v>36</v>
      </c>
      <c r="B11" t="s">
        <v>143</v>
      </c>
      <c r="C11" t="s">
        <v>38</v>
      </c>
      <c r="D11" t="s">
        <v>144</v>
      </c>
      <c r="E11" t="s">
        <v>145</v>
      </c>
      <c r="F11" t="s">
        <v>41</v>
      </c>
      <c r="G11" t="s">
        <v>146</v>
      </c>
      <c r="H11" t="s">
        <v>43</v>
      </c>
      <c r="I11" t="s">
        <v>44</v>
      </c>
      <c r="J11" t="s">
        <v>147</v>
      </c>
      <c r="K11" t="s">
        <v>148</v>
      </c>
      <c r="L11" s="38">
        <v>46010</v>
      </c>
      <c r="M11" t="s">
        <v>103</v>
      </c>
      <c r="N11" t="s">
        <v>104</v>
      </c>
      <c r="O11" s="38">
        <v>46007</v>
      </c>
      <c r="P11" s="38">
        <v>46010</v>
      </c>
      <c r="Q11" t="s">
        <v>49</v>
      </c>
      <c r="R11" s="38">
        <v>46020</v>
      </c>
      <c r="S11" t="s">
        <v>44</v>
      </c>
      <c r="T11" t="s">
        <v>50</v>
      </c>
      <c r="U11" t="s">
        <v>44</v>
      </c>
      <c r="V11" t="s">
        <v>51</v>
      </c>
      <c r="W11" t="s">
        <v>52</v>
      </c>
      <c r="X11" t="s">
        <v>115</v>
      </c>
      <c r="Y11" t="s">
        <v>54</v>
      </c>
      <c r="Z11" s="39">
        <v>2200000</v>
      </c>
      <c r="AA11" t="s">
        <v>54</v>
      </c>
      <c r="AB11" t="s">
        <v>55</v>
      </c>
      <c r="AC11" t="s">
        <v>116</v>
      </c>
      <c r="AD11" t="s">
        <v>117</v>
      </c>
      <c r="AE11" t="s">
        <v>149</v>
      </c>
      <c r="AF11" t="s">
        <v>148</v>
      </c>
      <c r="AG11" t="s">
        <v>148</v>
      </c>
      <c r="AH11" t="s">
        <v>59</v>
      </c>
      <c r="AI11" t="s">
        <v>150</v>
      </c>
      <c r="AJ11" t="s">
        <v>61</v>
      </c>
    </row>
    <row r="12" spans="1:36">
      <c r="A12" t="s">
        <v>36</v>
      </c>
      <c r="B12" t="s">
        <v>151</v>
      </c>
      <c r="C12" t="s">
        <v>38</v>
      </c>
      <c r="D12" t="s">
        <v>152</v>
      </c>
      <c r="E12" t="s">
        <v>153</v>
      </c>
      <c r="F12" t="s">
        <v>41</v>
      </c>
      <c r="G12" t="s">
        <v>154</v>
      </c>
      <c r="H12" t="s">
        <v>43</v>
      </c>
      <c r="I12" t="s">
        <v>44</v>
      </c>
      <c r="J12" t="s">
        <v>155</v>
      </c>
      <c r="K12" t="s">
        <v>156</v>
      </c>
      <c r="L12" s="38">
        <v>46010</v>
      </c>
      <c r="M12" t="s">
        <v>157</v>
      </c>
      <c r="N12" t="s">
        <v>158</v>
      </c>
      <c r="O12" s="38">
        <v>46001</v>
      </c>
      <c r="P12" s="38">
        <v>46004</v>
      </c>
      <c r="Q12" t="s">
        <v>49</v>
      </c>
      <c r="R12" s="38">
        <v>46020</v>
      </c>
      <c r="S12" t="s">
        <v>44</v>
      </c>
      <c r="T12" t="s">
        <v>50</v>
      </c>
      <c r="U12" t="s">
        <v>44</v>
      </c>
      <c r="V12" t="s">
        <v>51</v>
      </c>
      <c r="W12" t="s">
        <v>52</v>
      </c>
      <c r="X12" t="s">
        <v>159</v>
      </c>
      <c r="Y12" t="s">
        <v>54</v>
      </c>
      <c r="Z12" s="39">
        <v>260000</v>
      </c>
      <c r="AA12" t="s">
        <v>54</v>
      </c>
      <c r="AB12" t="s">
        <v>55</v>
      </c>
      <c r="AC12" t="s">
        <v>160</v>
      </c>
      <c r="AD12" t="s">
        <v>161</v>
      </c>
      <c r="AE12" t="s">
        <v>162</v>
      </c>
      <c r="AF12" t="s">
        <v>156</v>
      </c>
      <c r="AG12" t="s">
        <v>156</v>
      </c>
      <c r="AH12" t="s">
        <v>59</v>
      </c>
      <c r="AI12" t="s">
        <v>163</v>
      </c>
      <c r="AJ12" t="s">
        <v>61</v>
      </c>
    </row>
    <row r="13" spans="1:36">
      <c r="A13" t="s">
        <v>36</v>
      </c>
      <c r="B13" t="s">
        <v>164</v>
      </c>
      <c r="C13" t="s">
        <v>38</v>
      </c>
      <c r="D13" t="s">
        <v>165</v>
      </c>
      <c r="E13" t="s">
        <v>166</v>
      </c>
      <c r="F13" t="s">
        <v>41</v>
      </c>
      <c r="G13" t="s">
        <v>167</v>
      </c>
      <c r="H13" t="s">
        <v>43</v>
      </c>
      <c r="I13" t="s">
        <v>44</v>
      </c>
      <c r="J13" t="s">
        <v>168</v>
      </c>
      <c r="K13" t="s">
        <v>169</v>
      </c>
      <c r="L13" s="38">
        <v>46010</v>
      </c>
      <c r="M13" t="s">
        <v>170</v>
      </c>
      <c r="N13" t="s">
        <v>69</v>
      </c>
      <c r="O13" s="38">
        <v>46007</v>
      </c>
      <c r="P13" s="38">
        <v>46009</v>
      </c>
      <c r="Q13" t="s">
        <v>171</v>
      </c>
      <c r="R13" s="38">
        <v>46020</v>
      </c>
      <c r="S13" t="s">
        <v>44</v>
      </c>
      <c r="T13" t="s">
        <v>50</v>
      </c>
      <c r="U13" t="s">
        <v>44</v>
      </c>
      <c r="V13" t="s">
        <v>51</v>
      </c>
      <c r="W13" t="s">
        <v>52</v>
      </c>
      <c r="X13" t="s">
        <v>159</v>
      </c>
      <c r="Y13" t="s">
        <v>54</v>
      </c>
      <c r="Z13" s="39">
        <v>1025000</v>
      </c>
      <c r="AA13" t="s">
        <v>54</v>
      </c>
      <c r="AB13" t="s">
        <v>55</v>
      </c>
      <c r="AC13" t="s">
        <v>160</v>
      </c>
      <c r="AD13" t="s">
        <v>161</v>
      </c>
      <c r="AE13" t="s">
        <v>172</v>
      </c>
      <c r="AF13" t="s">
        <v>169</v>
      </c>
      <c r="AG13" t="s">
        <v>169</v>
      </c>
      <c r="AH13" t="s">
        <v>59</v>
      </c>
      <c r="AI13" t="s">
        <v>173</v>
      </c>
      <c r="AJ13" t="s">
        <v>61</v>
      </c>
    </row>
    <row r="14" spans="1:36">
      <c r="A14" t="s">
        <v>36</v>
      </c>
      <c r="B14" t="s">
        <v>174</v>
      </c>
      <c r="C14" t="s">
        <v>38</v>
      </c>
      <c r="D14" t="s">
        <v>175</v>
      </c>
      <c r="E14" t="s">
        <v>176</v>
      </c>
      <c r="F14" t="s">
        <v>41</v>
      </c>
      <c r="G14" t="s">
        <v>177</v>
      </c>
      <c r="H14" t="s">
        <v>43</v>
      </c>
      <c r="I14" t="s">
        <v>44</v>
      </c>
      <c r="J14" t="s">
        <v>178</v>
      </c>
      <c r="K14" t="s">
        <v>179</v>
      </c>
      <c r="L14" s="38">
        <v>46010</v>
      </c>
      <c r="M14" t="s">
        <v>157</v>
      </c>
      <c r="N14" t="s">
        <v>180</v>
      </c>
      <c r="O14" s="38">
        <v>45993</v>
      </c>
      <c r="P14" s="38">
        <v>45997</v>
      </c>
      <c r="Q14" t="s">
        <v>49</v>
      </c>
      <c r="R14" s="38">
        <v>46020</v>
      </c>
      <c r="S14" t="s">
        <v>44</v>
      </c>
      <c r="T14" t="s">
        <v>50</v>
      </c>
      <c r="U14" t="s">
        <v>44</v>
      </c>
      <c r="V14" t="s">
        <v>51</v>
      </c>
      <c r="W14" t="s">
        <v>52</v>
      </c>
      <c r="X14" t="s">
        <v>53</v>
      </c>
      <c r="Y14" t="s">
        <v>54</v>
      </c>
      <c r="Z14" s="39">
        <v>260000</v>
      </c>
      <c r="AA14" t="s">
        <v>54</v>
      </c>
      <c r="AB14" t="s">
        <v>55</v>
      </c>
      <c r="AC14" t="s">
        <v>56</v>
      </c>
      <c r="AD14" t="s">
        <v>57</v>
      </c>
      <c r="AE14" t="s">
        <v>181</v>
      </c>
      <c r="AF14" t="s">
        <v>179</v>
      </c>
      <c r="AG14" t="s">
        <v>179</v>
      </c>
      <c r="AH14" t="s">
        <v>59</v>
      </c>
      <c r="AI14" t="s">
        <v>182</v>
      </c>
      <c r="AJ14" t="s">
        <v>61</v>
      </c>
    </row>
    <row r="15" spans="1:36">
      <c r="A15" t="s">
        <v>36</v>
      </c>
      <c r="B15" t="s">
        <v>97</v>
      </c>
      <c r="C15" t="s">
        <v>38</v>
      </c>
      <c r="D15" t="s">
        <v>98</v>
      </c>
      <c r="E15" t="s">
        <v>183</v>
      </c>
      <c r="F15" t="s">
        <v>41</v>
      </c>
      <c r="G15" t="s">
        <v>184</v>
      </c>
      <c r="H15" t="s">
        <v>43</v>
      </c>
      <c r="I15" t="s">
        <v>44</v>
      </c>
      <c r="J15" t="s">
        <v>101</v>
      </c>
      <c r="K15" t="s">
        <v>102</v>
      </c>
      <c r="L15" s="38">
        <v>46010</v>
      </c>
      <c r="M15" t="s">
        <v>47</v>
      </c>
      <c r="N15" t="s">
        <v>185</v>
      </c>
      <c r="O15" s="38">
        <v>46002</v>
      </c>
      <c r="P15" s="38">
        <v>46003</v>
      </c>
      <c r="Q15" t="s">
        <v>49</v>
      </c>
      <c r="R15" s="38">
        <v>46020</v>
      </c>
      <c r="S15" t="s">
        <v>44</v>
      </c>
      <c r="T15" t="s">
        <v>50</v>
      </c>
      <c r="U15" t="s">
        <v>44</v>
      </c>
      <c r="V15" t="s">
        <v>51</v>
      </c>
      <c r="W15" t="s">
        <v>52</v>
      </c>
      <c r="X15" t="s">
        <v>53</v>
      </c>
      <c r="Y15" t="s">
        <v>54</v>
      </c>
      <c r="Z15" s="39">
        <v>850000</v>
      </c>
      <c r="AA15" t="s">
        <v>54</v>
      </c>
      <c r="AB15" t="s">
        <v>55</v>
      </c>
      <c r="AC15" t="s">
        <v>56</v>
      </c>
      <c r="AD15" t="s">
        <v>57</v>
      </c>
      <c r="AE15" t="s">
        <v>105</v>
      </c>
      <c r="AF15" t="s">
        <v>102</v>
      </c>
      <c r="AG15" t="s">
        <v>102</v>
      </c>
      <c r="AH15" t="s">
        <v>59</v>
      </c>
      <c r="AI15" t="s">
        <v>106</v>
      </c>
      <c r="AJ15" t="s">
        <v>61</v>
      </c>
    </row>
    <row r="16" spans="1:36">
      <c r="A16" t="s">
        <v>36</v>
      </c>
      <c r="B16" t="s">
        <v>186</v>
      </c>
      <c r="C16" t="s">
        <v>38</v>
      </c>
      <c r="D16" t="s">
        <v>187</v>
      </c>
      <c r="E16" t="s">
        <v>188</v>
      </c>
      <c r="F16" t="s">
        <v>41</v>
      </c>
      <c r="G16" t="s">
        <v>189</v>
      </c>
      <c r="H16" t="s">
        <v>43</v>
      </c>
      <c r="I16" t="s">
        <v>44</v>
      </c>
      <c r="J16" t="s">
        <v>190</v>
      </c>
      <c r="K16" t="s">
        <v>191</v>
      </c>
      <c r="L16" s="38">
        <v>46010</v>
      </c>
      <c r="M16" t="s">
        <v>68</v>
      </c>
      <c r="N16" t="s">
        <v>69</v>
      </c>
      <c r="O16" s="38">
        <v>46008</v>
      </c>
      <c r="P16" s="38">
        <v>46011</v>
      </c>
      <c r="Q16" t="s">
        <v>171</v>
      </c>
      <c r="R16" s="38">
        <v>46020</v>
      </c>
      <c r="S16" t="s">
        <v>44</v>
      </c>
      <c r="T16" t="s">
        <v>50</v>
      </c>
      <c r="U16" t="s">
        <v>44</v>
      </c>
      <c r="V16" t="s">
        <v>51</v>
      </c>
      <c r="W16" t="s">
        <v>52</v>
      </c>
      <c r="X16" t="s">
        <v>159</v>
      </c>
      <c r="Y16" t="s">
        <v>54</v>
      </c>
      <c r="Z16" s="39">
        <v>2300000</v>
      </c>
      <c r="AA16" t="s">
        <v>54</v>
      </c>
      <c r="AB16" t="s">
        <v>55</v>
      </c>
      <c r="AC16" t="s">
        <v>160</v>
      </c>
      <c r="AD16" t="s">
        <v>161</v>
      </c>
      <c r="AE16" t="s">
        <v>192</v>
      </c>
      <c r="AF16" t="s">
        <v>191</v>
      </c>
      <c r="AG16" t="s">
        <v>191</v>
      </c>
      <c r="AH16" t="s">
        <v>59</v>
      </c>
      <c r="AI16" t="s">
        <v>193</v>
      </c>
      <c r="AJ16" t="s">
        <v>61</v>
      </c>
    </row>
    <row r="17" spans="1:36">
      <c r="A17" t="s">
        <v>36</v>
      </c>
      <c r="B17" t="s">
        <v>194</v>
      </c>
      <c r="C17" t="s">
        <v>38</v>
      </c>
      <c r="D17" t="s">
        <v>195</v>
      </c>
      <c r="E17" t="s">
        <v>196</v>
      </c>
      <c r="F17" t="s">
        <v>41</v>
      </c>
      <c r="G17" t="s">
        <v>197</v>
      </c>
      <c r="H17" t="s">
        <v>43</v>
      </c>
      <c r="I17" t="s">
        <v>44</v>
      </c>
      <c r="J17" t="s">
        <v>198</v>
      </c>
      <c r="K17" t="s">
        <v>199</v>
      </c>
      <c r="L17" s="38">
        <v>46010</v>
      </c>
      <c r="M17" t="s">
        <v>68</v>
      </c>
      <c r="N17" t="s">
        <v>140</v>
      </c>
      <c r="O17" s="38">
        <v>46008</v>
      </c>
      <c r="P17" s="38">
        <v>46012</v>
      </c>
      <c r="Q17" t="s">
        <v>49</v>
      </c>
      <c r="R17" s="38">
        <v>46020</v>
      </c>
      <c r="S17" t="s">
        <v>44</v>
      </c>
      <c r="T17" t="s">
        <v>50</v>
      </c>
      <c r="U17" t="s">
        <v>44</v>
      </c>
      <c r="V17" t="s">
        <v>51</v>
      </c>
      <c r="W17" t="s">
        <v>52</v>
      </c>
      <c r="X17" t="s">
        <v>159</v>
      </c>
      <c r="Y17" t="s">
        <v>54</v>
      </c>
      <c r="Z17" s="39">
        <v>2950000</v>
      </c>
      <c r="AA17" t="s">
        <v>54</v>
      </c>
      <c r="AB17" t="s">
        <v>55</v>
      </c>
      <c r="AC17" t="s">
        <v>160</v>
      </c>
      <c r="AD17" t="s">
        <v>161</v>
      </c>
      <c r="AE17" t="s">
        <v>200</v>
      </c>
      <c r="AF17" t="s">
        <v>199</v>
      </c>
      <c r="AG17" t="s">
        <v>201</v>
      </c>
      <c r="AH17" t="s">
        <v>59</v>
      </c>
      <c r="AI17" t="s">
        <v>202</v>
      </c>
      <c r="AJ17" t="s">
        <v>61</v>
      </c>
    </row>
    <row r="18" spans="1:36">
      <c r="A18" t="s">
        <v>36</v>
      </c>
      <c r="B18" t="s">
        <v>203</v>
      </c>
      <c r="C18" t="s">
        <v>38</v>
      </c>
      <c r="D18" t="s">
        <v>204</v>
      </c>
      <c r="E18" t="s">
        <v>205</v>
      </c>
      <c r="F18" t="s">
        <v>41</v>
      </c>
      <c r="G18" t="s">
        <v>206</v>
      </c>
      <c r="H18" t="s">
        <v>43</v>
      </c>
      <c r="I18" t="s">
        <v>44</v>
      </c>
      <c r="J18" t="s">
        <v>207</v>
      </c>
      <c r="K18" t="s">
        <v>208</v>
      </c>
      <c r="L18" s="38">
        <v>46010</v>
      </c>
      <c r="M18" t="s">
        <v>170</v>
      </c>
      <c r="N18" t="s">
        <v>69</v>
      </c>
      <c r="O18" s="38">
        <v>46007</v>
      </c>
      <c r="P18" s="38">
        <v>46009</v>
      </c>
      <c r="Q18" t="s">
        <v>171</v>
      </c>
      <c r="R18" s="38">
        <v>46020</v>
      </c>
      <c r="S18" t="s">
        <v>44</v>
      </c>
      <c r="T18" t="s">
        <v>50</v>
      </c>
      <c r="U18" t="s">
        <v>44</v>
      </c>
      <c r="V18" t="s">
        <v>51</v>
      </c>
      <c r="W18" t="s">
        <v>52</v>
      </c>
      <c r="X18" t="s">
        <v>159</v>
      </c>
      <c r="Y18" t="s">
        <v>54</v>
      </c>
      <c r="Z18" s="39">
        <v>1025000</v>
      </c>
      <c r="AA18" t="s">
        <v>54</v>
      </c>
      <c r="AB18" t="s">
        <v>55</v>
      </c>
      <c r="AC18" t="s">
        <v>160</v>
      </c>
      <c r="AD18" t="s">
        <v>161</v>
      </c>
      <c r="AE18" t="s">
        <v>209</v>
      </c>
      <c r="AF18" t="s">
        <v>208</v>
      </c>
      <c r="AG18" t="s">
        <v>210</v>
      </c>
      <c r="AH18" t="s">
        <v>59</v>
      </c>
      <c r="AI18" t="s">
        <v>211</v>
      </c>
      <c r="AJ18" t="s">
        <v>61</v>
      </c>
    </row>
    <row r="19" spans="1:36">
      <c r="A19" t="s">
        <v>36</v>
      </c>
      <c r="B19" t="s">
        <v>212</v>
      </c>
      <c r="C19" t="s">
        <v>38</v>
      </c>
      <c r="D19" t="s">
        <v>213</v>
      </c>
      <c r="E19" t="s">
        <v>214</v>
      </c>
      <c r="F19" t="s">
        <v>41</v>
      </c>
      <c r="G19" t="s">
        <v>215</v>
      </c>
      <c r="H19" t="s">
        <v>43</v>
      </c>
      <c r="I19" t="s">
        <v>44</v>
      </c>
      <c r="J19" t="s">
        <v>216</v>
      </c>
      <c r="K19" t="s">
        <v>217</v>
      </c>
      <c r="L19" s="38">
        <v>46010</v>
      </c>
      <c r="M19" t="s">
        <v>123</v>
      </c>
      <c r="N19" t="s">
        <v>94</v>
      </c>
      <c r="O19" s="38">
        <v>46009</v>
      </c>
      <c r="P19" s="38">
        <v>46011</v>
      </c>
      <c r="Q19" t="s">
        <v>49</v>
      </c>
      <c r="R19" s="38">
        <v>46020</v>
      </c>
      <c r="S19" t="s">
        <v>44</v>
      </c>
      <c r="T19" t="s">
        <v>50</v>
      </c>
      <c r="U19" t="s">
        <v>44</v>
      </c>
      <c r="V19" t="s">
        <v>51</v>
      </c>
      <c r="W19" t="s">
        <v>52</v>
      </c>
      <c r="X19" t="s">
        <v>159</v>
      </c>
      <c r="Y19" t="s">
        <v>54</v>
      </c>
      <c r="Z19" s="39">
        <v>2050000</v>
      </c>
      <c r="AA19" t="s">
        <v>54</v>
      </c>
      <c r="AB19" t="s">
        <v>55</v>
      </c>
      <c r="AC19" t="s">
        <v>160</v>
      </c>
      <c r="AD19" t="s">
        <v>161</v>
      </c>
      <c r="AE19" t="s">
        <v>218</v>
      </c>
      <c r="AF19" t="s">
        <v>217</v>
      </c>
      <c r="AG19" t="s">
        <v>217</v>
      </c>
      <c r="AH19" t="s">
        <v>59</v>
      </c>
      <c r="AI19" t="s">
        <v>219</v>
      </c>
      <c r="AJ19" t="s">
        <v>61</v>
      </c>
    </row>
    <row r="20" spans="1:36">
      <c r="A20" t="s">
        <v>36</v>
      </c>
      <c r="B20" t="s">
        <v>220</v>
      </c>
      <c r="C20" t="s">
        <v>38</v>
      </c>
      <c r="D20" t="s">
        <v>221</v>
      </c>
      <c r="E20" t="s">
        <v>222</v>
      </c>
      <c r="F20" t="s">
        <v>41</v>
      </c>
      <c r="G20" t="s">
        <v>223</v>
      </c>
      <c r="H20" t="s">
        <v>43</v>
      </c>
      <c r="I20" t="s">
        <v>44</v>
      </c>
      <c r="J20" t="s">
        <v>224</v>
      </c>
      <c r="K20" t="s">
        <v>225</v>
      </c>
      <c r="L20" s="38">
        <v>46010</v>
      </c>
      <c r="M20" t="s">
        <v>47</v>
      </c>
      <c r="N20" t="s">
        <v>226</v>
      </c>
      <c r="O20" s="38">
        <v>46002</v>
      </c>
      <c r="P20" s="38">
        <v>46003</v>
      </c>
      <c r="Q20" t="s">
        <v>49</v>
      </c>
      <c r="R20" s="38">
        <v>46020</v>
      </c>
      <c r="S20" t="s">
        <v>44</v>
      </c>
      <c r="T20" t="s">
        <v>50</v>
      </c>
      <c r="U20" t="s">
        <v>44</v>
      </c>
      <c r="V20" t="s">
        <v>51</v>
      </c>
      <c r="W20" t="s">
        <v>52</v>
      </c>
      <c r="X20" t="s">
        <v>53</v>
      </c>
      <c r="Y20" t="s">
        <v>54</v>
      </c>
      <c r="Z20" s="39">
        <v>1000000</v>
      </c>
      <c r="AA20" t="s">
        <v>54</v>
      </c>
      <c r="AB20" t="s">
        <v>55</v>
      </c>
      <c r="AC20" t="s">
        <v>56</v>
      </c>
      <c r="AD20" t="s">
        <v>57</v>
      </c>
      <c r="AE20" t="s">
        <v>227</v>
      </c>
      <c r="AF20" t="s">
        <v>225</v>
      </c>
      <c r="AG20" t="s">
        <v>225</v>
      </c>
      <c r="AH20" t="s">
        <v>59</v>
      </c>
      <c r="AI20" t="s">
        <v>228</v>
      </c>
      <c r="AJ20" t="s">
        <v>61</v>
      </c>
    </row>
    <row r="21" spans="1:36">
      <c r="A21" t="s">
        <v>36</v>
      </c>
      <c r="B21" t="s">
        <v>87</v>
      </c>
      <c r="C21" t="s">
        <v>38</v>
      </c>
      <c r="D21" t="s">
        <v>88</v>
      </c>
      <c r="E21" t="s">
        <v>229</v>
      </c>
      <c r="F21" t="s">
        <v>41</v>
      </c>
      <c r="G21" t="s">
        <v>230</v>
      </c>
      <c r="H21" t="s">
        <v>43</v>
      </c>
      <c r="I21" t="s">
        <v>44</v>
      </c>
      <c r="J21" t="s">
        <v>91</v>
      </c>
      <c r="K21" t="s">
        <v>92</v>
      </c>
      <c r="L21" s="38">
        <v>46010</v>
      </c>
      <c r="M21" t="s">
        <v>231</v>
      </c>
      <c r="N21" t="s">
        <v>94</v>
      </c>
      <c r="O21" s="38">
        <v>45974</v>
      </c>
      <c r="P21" s="38">
        <v>45975</v>
      </c>
      <c r="Q21" t="s">
        <v>49</v>
      </c>
      <c r="R21" s="38">
        <v>46020</v>
      </c>
      <c r="S21" t="s">
        <v>44</v>
      </c>
      <c r="T21" t="s">
        <v>50</v>
      </c>
      <c r="U21" t="s">
        <v>44</v>
      </c>
      <c r="V21" t="s">
        <v>51</v>
      </c>
      <c r="W21" t="s">
        <v>52</v>
      </c>
      <c r="X21" t="s">
        <v>53</v>
      </c>
      <c r="Y21" t="s">
        <v>54</v>
      </c>
      <c r="Z21" s="39">
        <v>2390532</v>
      </c>
      <c r="AA21" t="s">
        <v>54</v>
      </c>
      <c r="AB21" t="s">
        <v>55</v>
      </c>
      <c r="AC21" t="s">
        <v>56</v>
      </c>
      <c r="AD21" t="s">
        <v>57</v>
      </c>
      <c r="AE21" t="s">
        <v>95</v>
      </c>
      <c r="AF21" t="s">
        <v>92</v>
      </c>
      <c r="AG21" t="s">
        <v>92</v>
      </c>
      <c r="AH21" t="s">
        <v>59</v>
      </c>
      <c r="AI21" t="s">
        <v>96</v>
      </c>
      <c r="AJ21" t="s">
        <v>61</v>
      </c>
    </row>
    <row r="22" spans="1:36">
      <c r="A22" t="s">
        <v>36</v>
      </c>
      <c r="B22" t="s">
        <v>232</v>
      </c>
      <c r="C22" t="s">
        <v>38</v>
      </c>
      <c r="D22" t="s">
        <v>233</v>
      </c>
      <c r="E22" t="s">
        <v>234</v>
      </c>
      <c r="F22" t="s">
        <v>41</v>
      </c>
      <c r="G22" t="s">
        <v>235</v>
      </c>
      <c r="H22" t="s">
        <v>43</v>
      </c>
      <c r="I22" t="s">
        <v>44</v>
      </c>
      <c r="J22" t="s">
        <v>236</v>
      </c>
      <c r="K22" t="s">
        <v>237</v>
      </c>
      <c r="L22" s="38">
        <v>46010</v>
      </c>
      <c r="M22" t="s">
        <v>47</v>
      </c>
      <c r="N22" t="s">
        <v>185</v>
      </c>
      <c r="O22" s="38">
        <v>46002</v>
      </c>
      <c r="P22" s="38">
        <v>46003</v>
      </c>
      <c r="Q22" t="s">
        <v>49</v>
      </c>
      <c r="R22" s="38">
        <v>46020</v>
      </c>
      <c r="S22" t="s">
        <v>44</v>
      </c>
      <c r="T22" t="s">
        <v>50</v>
      </c>
      <c r="U22" t="s">
        <v>44</v>
      </c>
      <c r="V22" t="s">
        <v>51</v>
      </c>
      <c r="W22" t="s">
        <v>52</v>
      </c>
      <c r="X22" t="s">
        <v>115</v>
      </c>
      <c r="Y22" t="s">
        <v>54</v>
      </c>
      <c r="Z22" s="39">
        <v>850000</v>
      </c>
      <c r="AA22" t="s">
        <v>54</v>
      </c>
      <c r="AB22" t="s">
        <v>55</v>
      </c>
      <c r="AC22" t="s">
        <v>116</v>
      </c>
      <c r="AD22" t="s">
        <v>117</v>
      </c>
      <c r="AE22" t="s">
        <v>238</v>
      </c>
      <c r="AF22" t="s">
        <v>237</v>
      </c>
      <c r="AG22" t="s">
        <v>237</v>
      </c>
      <c r="AH22" t="s">
        <v>59</v>
      </c>
      <c r="AI22" t="s">
        <v>239</v>
      </c>
      <c r="AJ22" t="s">
        <v>61</v>
      </c>
    </row>
    <row r="23" spans="1:36">
      <c r="A23" t="s">
        <v>36</v>
      </c>
      <c r="B23" t="s">
        <v>240</v>
      </c>
      <c r="C23" t="s">
        <v>38</v>
      </c>
      <c r="D23" t="s">
        <v>241</v>
      </c>
      <c r="E23" t="s">
        <v>242</v>
      </c>
      <c r="F23" t="s">
        <v>41</v>
      </c>
      <c r="G23" t="s">
        <v>243</v>
      </c>
      <c r="H23" t="s">
        <v>43</v>
      </c>
      <c r="I23" t="s">
        <v>44</v>
      </c>
      <c r="J23" t="s">
        <v>244</v>
      </c>
      <c r="K23" t="s">
        <v>245</v>
      </c>
      <c r="L23" s="38">
        <v>46010</v>
      </c>
      <c r="M23" t="s">
        <v>157</v>
      </c>
      <c r="N23" t="s">
        <v>246</v>
      </c>
      <c r="O23" s="38">
        <v>46008</v>
      </c>
      <c r="P23" s="38">
        <v>46011</v>
      </c>
      <c r="Q23" t="s">
        <v>49</v>
      </c>
      <c r="R23" s="38">
        <v>46020</v>
      </c>
      <c r="S23" t="s">
        <v>44</v>
      </c>
      <c r="T23" t="s">
        <v>50</v>
      </c>
      <c r="U23" t="s">
        <v>44</v>
      </c>
      <c r="V23" t="s">
        <v>51</v>
      </c>
      <c r="W23" t="s">
        <v>52</v>
      </c>
      <c r="X23" t="s">
        <v>159</v>
      </c>
      <c r="Y23" t="s">
        <v>54</v>
      </c>
      <c r="Z23" s="39">
        <v>2000000</v>
      </c>
      <c r="AA23" t="s">
        <v>54</v>
      </c>
      <c r="AB23" t="s">
        <v>55</v>
      </c>
      <c r="AC23" t="s">
        <v>160</v>
      </c>
      <c r="AD23" t="s">
        <v>161</v>
      </c>
      <c r="AE23" t="s">
        <v>247</v>
      </c>
      <c r="AF23" t="s">
        <v>248</v>
      </c>
      <c r="AG23" t="s">
        <v>249</v>
      </c>
      <c r="AH23" t="s">
        <v>59</v>
      </c>
      <c r="AI23" t="s">
        <v>250</v>
      </c>
      <c r="AJ23" t="s">
        <v>61</v>
      </c>
    </row>
    <row r="24" spans="1:36">
      <c r="A24" t="s">
        <v>36</v>
      </c>
      <c r="B24" t="s">
        <v>251</v>
      </c>
      <c r="C24" t="s">
        <v>38</v>
      </c>
      <c r="D24" t="s">
        <v>252</v>
      </c>
      <c r="E24" t="s">
        <v>253</v>
      </c>
      <c r="F24" t="s">
        <v>41</v>
      </c>
      <c r="G24" t="s">
        <v>254</v>
      </c>
      <c r="H24" t="s">
        <v>43</v>
      </c>
      <c r="I24" t="s">
        <v>44</v>
      </c>
      <c r="J24" t="s">
        <v>255</v>
      </c>
      <c r="K24" t="s">
        <v>256</v>
      </c>
      <c r="L24" s="38">
        <v>46010</v>
      </c>
      <c r="M24" t="s">
        <v>231</v>
      </c>
      <c r="N24" t="s">
        <v>257</v>
      </c>
      <c r="O24" s="38">
        <v>46009</v>
      </c>
      <c r="P24" s="38">
        <v>46011</v>
      </c>
      <c r="Q24" t="s">
        <v>49</v>
      </c>
      <c r="R24" s="38">
        <v>46020</v>
      </c>
      <c r="S24" t="s">
        <v>44</v>
      </c>
      <c r="T24" t="s">
        <v>50</v>
      </c>
      <c r="U24" t="s">
        <v>44</v>
      </c>
      <c r="V24" t="s">
        <v>51</v>
      </c>
      <c r="W24" t="s">
        <v>52</v>
      </c>
      <c r="X24" t="s">
        <v>53</v>
      </c>
      <c r="Y24" t="s">
        <v>54</v>
      </c>
      <c r="Z24" s="39">
        <v>1825000</v>
      </c>
      <c r="AA24" t="s">
        <v>54</v>
      </c>
      <c r="AB24" t="s">
        <v>55</v>
      </c>
      <c r="AC24" t="s">
        <v>56</v>
      </c>
      <c r="AD24" t="s">
        <v>57</v>
      </c>
      <c r="AE24" t="s">
        <v>258</v>
      </c>
      <c r="AF24" t="s">
        <v>256</v>
      </c>
      <c r="AG24" t="s">
        <v>256</v>
      </c>
      <c r="AH24" t="s">
        <v>59</v>
      </c>
      <c r="AI24" t="s">
        <v>259</v>
      </c>
      <c r="AJ24" t="s">
        <v>61</v>
      </c>
    </row>
    <row r="25" spans="1:36">
      <c r="A25" t="s">
        <v>36</v>
      </c>
      <c r="B25" t="s">
        <v>260</v>
      </c>
      <c r="C25" t="s">
        <v>38</v>
      </c>
      <c r="D25" t="s">
        <v>261</v>
      </c>
      <c r="E25" t="s">
        <v>262</v>
      </c>
      <c r="F25" t="s">
        <v>41</v>
      </c>
      <c r="G25" t="s">
        <v>263</v>
      </c>
      <c r="H25" t="s">
        <v>43</v>
      </c>
      <c r="I25" t="s">
        <v>44</v>
      </c>
      <c r="J25" t="s">
        <v>264</v>
      </c>
      <c r="K25" t="s">
        <v>265</v>
      </c>
      <c r="L25" s="38">
        <v>46010</v>
      </c>
      <c r="M25" t="s">
        <v>139</v>
      </c>
      <c r="N25" t="s">
        <v>266</v>
      </c>
      <c r="O25" s="38">
        <v>46009</v>
      </c>
      <c r="P25" s="38">
        <v>46010</v>
      </c>
      <c r="Q25" t="s">
        <v>83</v>
      </c>
      <c r="R25" s="38">
        <v>46020</v>
      </c>
      <c r="S25" t="s">
        <v>44</v>
      </c>
      <c r="T25" t="s">
        <v>50</v>
      </c>
      <c r="U25" t="s">
        <v>44</v>
      </c>
      <c r="V25" t="s">
        <v>51</v>
      </c>
      <c r="W25" t="s">
        <v>52</v>
      </c>
      <c r="X25" t="s">
        <v>159</v>
      </c>
      <c r="Y25" t="s">
        <v>54</v>
      </c>
      <c r="Z25" s="39">
        <v>700000</v>
      </c>
      <c r="AA25" t="s">
        <v>54</v>
      </c>
      <c r="AB25" t="s">
        <v>55</v>
      </c>
      <c r="AC25" t="s">
        <v>160</v>
      </c>
      <c r="AD25" t="s">
        <v>161</v>
      </c>
      <c r="AE25" t="s">
        <v>267</v>
      </c>
      <c r="AF25" t="s">
        <v>265</v>
      </c>
      <c r="AG25" t="s">
        <v>268</v>
      </c>
      <c r="AH25" t="s">
        <v>59</v>
      </c>
      <c r="AI25" t="s">
        <v>269</v>
      </c>
      <c r="AJ25" t="s">
        <v>61</v>
      </c>
    </row>
    <row r="26" spans="1:36">
      <c r="A26" t="s">
        <v>36</v>
      </c>
      <c r="B26" t="s">
        <v>107</v>
      </c>
      <c r="C26" t="s">
        <v>38</v>
      </c>
      <c r="D26" t="s">
        <v>108</v>
      </c>
      <c r="E26" t="s">
        <v>109</v>
      </c>
      <c r="F26" t="s">
        <v>41</v>
      </c>
      <c r="G26" t="s">
        <v>270</v>
      </c>
      <c r="H26" t="s">
        <v>43</v>
      </c>
      <c r="I26" t="s">
        <v>44</v>
      </c>
      <c r="J26" t="s">
        <v>111</v>
      </c>
      <c r="K26" t="s">
        <v>112</v>
      </c>
      <c r="L26" s="38">
        <v>46010</v>
      </c>
      <c r="M26" t="s">
        <v>113</v>
      </c>
      <c r="N26" t="s">
        <v>94</v>
      </c>
      <c r="O26" s="38">
        <v>45995</v>
      </c>
      <c r="P26" s="38">
        <v>45997</v>
      </c>
      <c r="Q26" t="s">
        <v>114</v>
      </c>
      <c r="R26" s="38">
        <v>46020</v>
      </c>
      <c r="S26" t="s">
        <v>44</v>
      </c>
      <c r="T26" t="s">
        <v>50</v>
      </c>
      <c r="U26" t="s">
        <v>44</v>
      </c>
      <c r="V26" t="s">
        <v>51</v>
      </c>
      <c r="W26" t="s">
        <v>52</v>
      </c>
      <c r="X26" t="s">
        <v>115</v>
      </c>
      <c r="Y26" t="s">
        <v>54</v>
      </c>
      <c r="Z26" s="39">
        <v>1665000</v>
      </c>
      <c r="AA26" t="s">
        <v>54</v>
      </c>
      <c r="AB26" t="s">
        <v>55</v>
      </c>
      <c r="AC26" t="s">
        <v>116</v>
      </c>
      <c r="AD26" t="s">
        <v>117</v>
      </c>
      <c r="AE26" t="s">
        <v>118</v>
      </c>
      <c r="AF26" t="s">
        <v>112</v>
      </c>
      <c r="AG26" t="s">
        <v>119</v>
      </c>
      <c r="AH26" t="s">
        <v>59</v>
      </c>
      <c r="AI26" t="s">
        <v>120</v>
      </c>
      <c r="AJ26" t="s">
        <v>61</v>
      </c>
    </row>
    <row r="27" spans="1:36">
      <c r="A27" t="s">
        <v>36</v>
      </c>
      <c r="B27" t="s">
        <v>271</v>
      </c>
      <c r="C27" t="s">
        <v>38</v>
      </c>
      <c r="D27" t="s">
        <v>272</v>
      </c>
      <c r="E27" t="s">
        <v>273</v>
      </c>
      <c r="F27" t="s">
        <v>41</v>
      </c>
      <c r="G27" t="s">
        <v>274</v>
      </c>
      <c r="H27" t="s">
        <v>43</v>
      </c>
      <c r="I27" t="s">
        <v>44</v>
      </c>
      <c r="J27" t="s">
        <v>275</v>
      </c>
      <c r="K27" t="s">
        <v>276</v>
      </c>
      <c r="L27" s="38">
        <v>46010</v>
      </c>
      <c r="M27" t="s">
        <v>47</v>
      </c>
      <c r="N27" t="s">
        <v>277</v>
      </c>
      <c r="O27" s="38">
        <v>46002</v>
      </c>
      <c r="P27" s="38">
        <v>46003</v>
      </c>
      <c r="Q27" t="s">
        <v>49</v>
      </c>
      <c r="R27" s="38">
        <v>46020</v>
      </c>
      <c r="S27" t="s">
        <v>44</v>
      </c>
      <c r="T27" t="s">
        <v>50</v>
      </c>
      <c r="U27" t="s">
        <v>44</v>
      </c>
      <c r="V27" t="s">
        <v>51</v>
      </c>
      <c r="W27" t="s">
        <v>52</v>
      </c>
      <c r="X27" t="s">
        <v>159</v>
      </c>
      <c r="Y27" t="s">
        <v>54</v>
      </c>
      <c r="Z27" s="39">
        <v>850000</v>
      </c>
      <c r="AA27" t="s">
        <v>54</v>
      </c>
      <c r="AB27" t="s">
        <v>55</v>
      </c>
      <c r="AC27" t="s">
        <v>160</v>
      </c>
      <c r="AD27" t="s">
        <v>161</v>
      </c>
      <c r="AE27" t="s">
        <v>278</v>
      </c>
      <c r="AF27" t="s">
        <v>276</v>
      </c>
      <c r="AG27" t="s">
        <v>279</v>
      </c>
      <c r="AH27" t="s">
        <v>59</v>
      </c>
      <c r="AI27" t="s">
        <v>280</v>
      </c>
      <c r="AJ27" t="s">
        <v>61</v>
      </c>
    </row>
    <row r="28" spans="1:36">
      <c r="A28" t="s">
        <v>36</v>
      </c>
      <c r="B28" t="s">
        <v>174</v>
      </c>
      <c r="C28" t="s">
        <v>38</v>
      </c>
      <c r="D28" t="s">
        <v>175</v>
      </c>
      <c r="E28" t="s">
        <v>281</v>
      </c>
      <c r="F28" t="s">
        <v>41</v>
      </c>
      <c r="G28" t="s">
        <v>282</v>
      </c>
      <c r="H28" t="s">
        <v>43</v>
      </c>
      <c r="I28" t="s">
        <v>44</v>
      </c>
      <c r="J28" t="s">
        <v>178</v>
      </c>
      <c r="K28" t="s">
        <v>179</v>
      </c>
      <c r="L28" s="38">
        <v>46010</v>
      </c>
      <c r="M28" t="s">
        <v>157</v>
      </c>
      <c r="N28" t="s">
        <v>158</v>
      </c>
      <c r="O28" s="38">
        <v>46001</v>
      </c>
      <c r="P28" s="38">
        <v>46004</v>
      </c>
      <c r="Q28" t="s">
        <v>49</v>
      </c>
      <c r="R28" s="38">
        <v>46020</v>
      </c>
      <c r="S28" t="s">
        <v>44</v>
      </c>
      <c r="T28" t="s">
        <v>50</v>
      </c>
      <c r="U28" t="s">
        <v>44</v>
      </c>
      <c r="V28" t="s">
        <v>51</v>
      </c>
      <c r="W28" t="s">
        <v>52</v>
      </c>
      <c r="X28" t="s">
        <v>53</v>
      </c>
      <c r="Y28" t="s">
        <v>54</v>
      </c>
      <c r="Z28" s="39">
        <v>260000</v>
      </c>
      <c r="AA28" t="s">
        <v>54</v>
      </c>
      <c r="AB28" t="s">
        <v>55</v>
      </c>
      <c r="AC28" t="s">
        <v>56</v>
      </c>
      <c r="AD28" t="s">
        <v>57</v>
      </c>
      <c r="AE28" t="s">
        <v>181</v>
      </c>
      <c r="AF28" t="s">
        <v>179</v>
      </c>
      <c r="AG28" t="s">
        <v>179</v>
      </c>
      <c r="AH28" t="s">
        <v>59</v>
      </c>
      <c r="AI28" t="s">
        <v>182</v>
      </c>
      <c r="AJ28" t="s">
        <v>61</v>
      </c>
    </row>
    <row r="29" spans="1:36">
      <c r="A29" t="s">
        <v>36</v>
      </c>
      <c r="B29" t="s">
        <v>283</v>
      </c>
      <c r="C29" t="s">
        <v>38</v>
      </c>
      <c r="D29" t="s">
        <v>284</v>
      </c>
      <c r="E29" t="s">
        <v>285</v>
      </c>
      <c r="F29" t="s">
        <v>41</v>
      </c>
      <c r="G29" t="s">
        <v>286</v>
      </c>
      <c r="H29" t="s">
        <v>43</v>
      </c>
      <c r="I29" t="s">
        <v>44</v>
      </c>
      <c r="J29" t="s">
        <v>287</v>
      </c>
      <c r="K29" t="s">
        <v>288</v>
      </c>
      <c r="L29" s="38">
        <v>46010</v>
      </c>
      <c r="M29" t="s">
        <v>139</v>
      </c>
      <c r="N29" t="s">
        <v>140</v>
      </c>
      <c r="O29" s="38">
        <v>46007</v>
      </c>
      <c r="P29" s="38">
        <v>46010</v>
      </c>
      <c r="Q29" t="s">
        <v>83</v>
      </c>
      <c r="R29" s="38">
        <v>46020</v>
      </c>
      <c r="S29" t="s">
        <v>44</v>
      </c>
      <c r="T29" t="s">
        <v>50</v>
      </c>
      <c r="U29" t="s">
        <v>44</v>
      </c>
      <c r="V29" t="s">
        <v>51</v>
      </c>
      <c r="W29" t="s">
        <v>52</v>
      </c>
      <c r="X29" t="s">
        <v>159</v>
      </c>
      <c r="Y29" t="s">
        <v>54</v>
      </c>
      <c r="Z29" s="39">
        <v>1800000</v>
      </c>
      <c r="AA29" t="s">
        <v>54</v>
      </c>
      <c r="AB29" t="s">
        <v>55</v>
      </c>
      <c r="AC29" t="s">
        <v>160</v>
      </c>
      <c r="AD29" t="s">
        <v>161</v>
      </c>
      <c r="AE29" t="s">
        <v>289</v>
      </c>
      <c r="AF29" t="s">
        <v>288</v>
      </c>
      <c r="AG29" t="s">
        <v>288</v>
      </c>
      <c r="AH29" t="s">
        <v>59</v>
      </c>
      <c r="AI29" t="s">
        <v>290</v>
      </c>
      <c r="AJ29" t="s">
        <v>61</v>
      </c>
    </row>
    <row r="30" spans="1:36">
      <c r="A30" t="s">
        <v>36</v>
      </c>
      <c r="B30" t="s">
        <v>291</v>
      </c>
      <c r="C30" t="s">
        <v>38</v>
      </c>
      <c r="D30" t="s">
        <v>292</v>
      </c>
      <c r="E30" t="s">
        <v>293</v>
      </c>
      <c r="F30" t="s">
        <v>41</v>
      </c>
      <c r="G30" t="s">
        <v>294</v>
      </c>
      <c r="H30" t="s">
        <v>43</v>
      </c>
      <c r="I30" t="s">
        <v>44</v>
      </c>
      <c r="J30" t="s">
        <v>295</v>
      </c>
      <c r="K30" t="s">
        <v>296</v>
      </c>
      <c r="L30" s="38">
        <v>46010</v>
      </c>
      <c r="M30" t="s">
        <v>139</v>
      </c>
      <c r="N30" t="s">
        <v>140</v>
      </c>
      <c r="O30" s="38">
        <v>45999</v>
      </c>
      <c r="P30" s="38">
        <v>46000</v>
      </c>
      <c r="Q30" t="s">
        <v>83</v>
      </c>
      <c r="R30" s="38">
        <v>46020</v>
      </c>
      <c r="S30" t="s">
        <v>44</v>
      </c>
      <c r="T30" t="s">
        <v>50</v>
      </c>
      <c r="U30" t="s">
        <v>44</v>
      </c>
      <c r="V30" t="s">
        <v>51</v>
      </c>
      <c r="W30" t="s">
        <v>52</v>
      </c>
      <c r="X30" t="s">
        <v>53</v>
      </c>
      <c r="Y30" t="s">
        <v>54</v>
      </c>
      <c r="Z30" s="39">
        <v>550000</v>
      </c>
      <c r="AA30" t="s">
        <v>54</v>
      </c>
      <c r="AB30" t="s">
        <v>55</v>
      </c>
      <c r="AC30" t="s">
        <v>56</v>
      </c>
      <c r="AD30" t="s">
        <v>57</v>
      </c>
      <c r="AE30" t="s">
        <v>297</v>
      </c>
      <c r="AF30" t="s">
        <v>296</v>
      </c>
      <c r="AG30" t="s">
        <v>296</v>
      </c>
      <c r="AH30" t="s">
        <v>59</v>
      </c>
      <c r="AI30" t="s">
        <v>298</v>
      </c>
      <c r="AJ30" t="s">
        <v>61</v>
      </c>
    </row>
    <row r="31" spans="1:36">
      <c r="A31" t="s">
        <v>36</v>
      </c>
      <c r="B31" t="s">
        <v>299</v>
      </c>
      <c r="C31" t="s">
        <v>38</v>
      </c>
      <c r="D31" t="s">
        <v>300</v>
      </c>
      <c r="E31" t="s">
        <v>301</v>
      </c>
      <c r="F31" t="s">
        <v>41</v>
      </c>
      <c r="G31" t="s">
        <v>302</v>
      </c>
      <c r="H31" t="s">
        <v>43</v>
      </c>
      <c r="I31" t="s">
        <v>44</v>
      </c>
      <c r="J31" t="s">
        <v>303</v>
      </c>
      <c r="K31" t="s">
        <v>304</v>
      </c>
      <c r="L31" s="38">
        <v>46010</v>
      </c>
      <c r="M31" t="s">
        <v>305</v>
      </c>
      <c r="N31" t="s">
        <v>69</v>
      </c>
      <c r="O31" s="38">
        <v>45995</v>
      </c>
      <c r="P31" s="38">
        <v>45995</v>
      </c>
      <c r="Q31" t="s">
        <v>171</v>
      </c>
      <c r="R31" s="38">
        <v>46020</v>
      </c>
      <c r="S31" t="s">
        <v>44</v>
      </c>
      <c r="T31" t="s">
        <v>50</v>
      </c>
      <c r="U31" t="s">
        <v>44</v>
      </c>
      <c r="V31" t="s">
        <v>51</v>
      </c>
      <c r="W31" t="s">
        <v>52</v>
      </c>
      <c r="X31" t="s">
        <v>159</v>
      </c>
      <c r="Y31" t="s">
        <v>54</v>
      </c>
      <c r="Z31" s="39">
        <v>275000</v>
      </c>
      <c r="AA31" t="s">
        <v>54</v>
      </c>
      <c r="AB31" t="s">
        <v>55</v>
      </c>
      <c r="AC31" t="s">
        <v>160</v>
      </c>
      <c r="AD31" t="s">
        <v>161</v>
      </c>
      <c r="AE31" t="s">
        <v>306</v>
      </c>
      <c r="AF31" t="s">
        <v>304</v>
      </c>
      <c r="AG31" t="s">
        <v>304</v>
      </c>
      <c r="AH31" t="s">
        <v>59</v>
      </c>
      <c r="AI31" t="s">
        <v>307</v>
      </c>
      <c r="AJ31" t="s">
        <v>61</v>
      </c>
    </row>
    <row r="32" spans="1:36">
      <c r="A32" t="s">
        <v>36</v>
      </c>
      <c r="B32" t="s">
        <v>308</v>
      </c>
      <c r="C32" t="s">
        <v>38</v>
      </c>
      <c r="D32" t="s">
        <v>309</v>
      </c>
      <c r="E32" t="s">
        <v>310</v>
      </c>
      <c r="F32" t="s">
        <v>41</v>
      </c>
      <c r="G32" t="s">
        <v>311</v>
      </c>
      <c r="H32" t="s">
        <v>43</v>
      </c>
      <c r="I32" t="s">
        <v>44</v>
      </c>
      <c r="J32" t="s">
        <v>312</v>
      </c>
      <c r="K32" t="s">
        <v>313</v>
      </c>
      <c r="L32" s="38">
        <v>46010</v>
      </c>
      <c r="M32" t="s">
        <v>139</v>
      </c>
      <c r="N32" t="s">
        <v>314</v>
      </c>
      <c r="O32" s="38">
        <v>45999</v>
      </c>
      <c r="P32" s="38">
        <v>46003</v>
      </c>
      <c r="Q32" t="s">
        <v>83</v>
      </c>
      <c r="R32" s="38">
        <v>46020</v>
      </c>
      <c r="S32" t="s">
        <v>44</v>
      </c>
      <c r="T32" t="s">
        <v>50</v>
      </c>
      <c r="U32" t="s">
        <v>44</v>
      </c>
      <c r="V32" t="s">
        <v>51</v>
      </c>
      <c r="W32" t="s">
        <v>52</v>
      </c>
      <c r="X32" t="s">
        <v>53</v>
      </c>
      <c r="Y32" t="s">
        <v>54</v>
      </c>
      <c r="Z32" s="39">
        <v>2175000</v>
      </c>
      <c r="AA32" t="s">
        <v>54</v>
      </c>
      <c r="AB32" t="s">
        <v>55</v>
      </c>
      <c r="AC32" t="s">
        <v>56</v>
      </c>
      <c r="AD32" t="s">
        <v>57</v>
      </c>
      <c r="AE32" t="s">
        <v>315</v>
      </c>
      <c r="AF32" t="s">
        <v>313</v>
      </c>
      <c r="AG32" t="s">
        <v>313</v>
      </c>
      <c r="AH32" t="s">
        <v>59</v>
      </c>
      <c r="AI32" t="s">
        <v>316</v>
      </c>
      <c r="AJ32" t="s">
        <v>61</v>
      </c>
    </row>
    <row r="33" spans="1:36">
      <c r="A33" t="s">
        <v>36</v>
      </c>
      <c r="B33" t="s">
        <v>317</v>
      </c>
      <c r="C33" t="s">
        <v>38</v>
      </c>
      <c r="D33" t="s">
        <v>318</v>
      </c>
      <c r="E33" t="s">
        <v>319</v>
      </c>
      <c r="F33" t="s">
        <v>41</v>
      </c>
      <c r="G33" t="s">
        <v>320</v>
      </c>
      <c r="H33" t="s">
        <v>43</v>
      </c>
      <c r="I33" t="s">
        <v>44</v>
      </c>
      <c r="J33" t="s">
        <v>321</v>
      </c>
      <c r="K33" t="s">
        <v>322</v>
      </c>
      <c r="L33" s="38">
        <v>46010</v>
      </c>
      <c r="M33" t="s">
        <v>157</v>
      </c>
      <c r="N33" t="s">
        <v>158</v>
      </c>
      <c r="O33" s="38">
        <v>45994</v>
      </c>
      <c r="P33" s="38">
        <v>45996</v>
      </c>
      <c r="Q33" t="s">
        <v>49</v>
      </c>
      <c r="R33" s="38">
        <v>46020</v>
      </c>
      <c r="S33" t="s">
        <v>44</v>
      </c>
      <c r="T33" t="s">
        <v>50</v>
      </c>
      <c r="U33" t="s">
        <v>44</v>
      </c>
      <c r="V33" t="s">
        <v>51</v>
      </c>
      <c r="W33" t="s">
        <v>52</v>
      </c>
      <c r="X33" t="s">
        <v>159</v>
      </c>
      <c r="Y33" t="s">
        <v>54</v>
      </c>
      <c r="Z33" s="39">
        <v>260000</v>
      </c>
      <c r="AA33" t="s">
        <v>54</v>
      </c>
      <c r="AB33" t="s">
        <v>55</v>
      </c>
      <c r="AC33" t="s">
        <v>160</v>
      </c>
      <c r="AD33" t="s">
        <v>161</v>
      </c>
      <c r="AE33" t="s">
        <v>323</v>
      </c>
      <c r="AF33" t="s">
        <v>322</v>
      </c>
      <c r="AG33" t="s">
        <v>324</v>
      </c>
      <c r="AH33" t="s">
        <v>59</v>
      </c>
      <c r="AI33" t="s">
        <v>325</v>
      </c>
      <c r="AJ33" t="s">
        <v>61</v>
      </c>
    </row>
    <row r="34" spans="1:36">
      <c r="A34" t="s">
        <v>36</v>
      </c>
      <c r="B34" t="s">
        <v>326</v>
      </c>
      <c r="C34" t="s">
        <v>38</v>
      </c>
      <c r="D34" t="s">
        <v>327</v>
      </c>
      <c r="E34" t="s">
        <v>328</v>
      </c>
      <c r="F34" t="s">
        <v>41</v>
      </c>
      <c r="G34" t="s">
        <v>329</v>
      </c>
      <c r="H34" t="s">
        <v>43</v>
      </c>
      <c r="I34" t="s">
        <v>44</v>
      </c>
      <c r="J34" t="s">
        <v>330</v>
      </c>
      <c r="K34" t="s">
        <v>331</v>
      </c>
      <c r="L34" s="38">
        <v>46010</v>
      </c>
      <c r="M34" t="s">
        <v>123</v>
      </c>
      <c r="N34" t="s">
        <v>257</v>
      </c>
      <c r="O34" s="38">
        <v>46009</v>
      </c>
      <c r="P34" s="38">
        <v>46011</v>
      </c>
      <c r="Q34" t="s">
        <v>49</v>
      </c>
      <c r="R34" s="38">
        <v>46020</v>
      </c>
      <c r="S34" t="s">
        <v>44</v>
      </c>
      <c r="T34" t="s">
        <v>50</v>
      </c>
      <c r="U34" t="s">
        <v>44</v>
      </c>
      <c r="V34" t="s">
        <v>51</v>
      </c>
      <c r="W34" t="s">
        <v>52</v>
      </c>
      <c r="X34" t="s">
        <v>159</v>
      </c>
      <c r="Y34" t="s">
        <v>54</v>
      </c>
      <c r="Z34" s="39">
        <v>2050000</v>
      </c>
      <c r="AA34" t="s">
        <v>54</v>
      </c>
      <c r="AB34" t="s">
        <v>55</v>
      </c>
      <c r="AC34" t="s">
        <v>160</v>
      </c>
      <c r="AD34" t="s">
        <v>161</v>
      </c>
      <c r="AE34" t="s">
        <v>332</v>
      </c>
      <c r="AF34" t="s">
        <v>331</v>
      </c>
      <c r="AG34" t="s">
        <v>331</v>
      </c>
      <c r="AH34" t="s">
        <v>59</v>
      </c>
      <c r="AI34" t="s">
        <v>333</v>
      </c>
      <c r="AJ34" t="s">
        <v>61</v>
      </c>
    </row>
    <row r="35" spans="1:36">
      <c r="A35" t="s">
        <v>36</v>
      </c>
      <c r="B35" t="s">
        <v>334</v>
      </c>
      <c r="C35" t="s">
        <v>38</v>
      </c>
      <c r="D35" t="s">
        <v>335</v>
      </c>
      <c r="E35" t="s">
        <v>336</v>
      </c>
      <c r="F35" t="s">
        <v>41</v>
      </c>
      <c r="G35" t="s">
        <v>337</v>
      </c>
      <c r="H35" t="s">
        <v>43</v>
      </c>
      <c r="I35" t="s">
        <v>44</v>
      </c>
      <c r="J35" t="s">
        <v>338</v>
      </c>
      <c r="K35" t="s">
        <v>339</v>
      </c>
      <c r="L35" s="38">
        <v>46010</v>
      </c>
      <c r="M35" t="s">
        <v>157</v>
      </c>
      <c r="N35" t="s">
        <v>94</v>
      </c>
      <c r="O35" s="38">
        <v>46008</v>
      </c>
      <c r="P35" s="38">
        <v>46011</v>
      </c>
      <c r="Q35" t="s">
        <v>49</v>
      </c>
      <c r="R35" s="38">
        <v>46020</v>
      </c>
      <c r="S35" t="s">
        <v>44</v>
      </c>
      <c r="T35" t="s">
        <v>50</v>
      </c>
      <c r="U35" t="s">
        <v>44</v>
      </c>
      <c r="V35" t="s">
        <v>51</v>
      </c>
      <c r="W35" t="s">
        <v>52</v>
      </c>
      <c r="X35" t="s">
        <v>159</v>
      </c>
      <c r="Y35" t="s">
        <v>54</v>
      </c>
      <c r="Z35" s="39">
        <v>1900000</v>
      </c>
      <c r="AA35" t="s">
        <v>54</v>
      </c>
      <c r="AB35" t="s">
        <v>55</v>
      </c>
      <c r="AC35" t="s">
        <v>160</v>
      </c>
      <c r="AD35" t="s">
        <v>161</v>
      </c>
      <c r="AE35" t="s">
        <v>340</v>
      </c>
      <c r="AF35" t="s">
        <v>339</v>
      </c>
      <c r="AG35" t="s">
        <v>341</v>
      </c>
      <c r="AH35" t="s">
        <v>59</v>
      </c>
      <c r="AI35" t="s">
        <v>342</v>
      </c>
      <c r="AJ35" t="s">
        <v>61</v>
      </c>
    </row>
    <row r="36" spans="1:36">
      <c r="A36" t="s">
        <v>36</v>
      </c>
      <c r="B36" t="s">
        <v>343</v>
      </c>
      <c r="C36" t="s">
        <v>38</v>
      </c>
      <c r="D36" t="s">
        <v>344</v>
      </c>
      <c r="E36" t="s">
        <v>345</v>
      </c>
      <c r="F36" t="s">
        <v>41</v>
      </c>
      <c r="G36" t="s">
        <v>346</v>
      </c>
      <c r="H36" t="s">
        <v>43</v>
      </c>
      <c r="I36" t="s">
        <v>44</v>
      </c>
      <c r="J36" t="s">
        <v>347</v>
      </c>
      <c r="K36" t="s">
        <v>348</v>
      </c>
      <c r="L36" s="38">
        <v>46010</v>
      </c>
      <c r="M36" t="s">
        <v>349</v>
      </c>
      <c r="N36" t="s">
        <v>350</v>
      </c>
      <c r="O36" s="38">
        <v>46006</v>
      </c>
      <c r="P36" s="38">
        <v>46012</v>
      </c>
      <c r="Q36" t="s">
        <v>114</v>
      </c>
      <c r="R36" s="38">
        <v>46020</v>
      </c>
      <c r="S36" t="s">
        <v>44</v>
      </c>
      <c r="T36" t="s">
        <v>84</v>
      </c>
      <c r="U36" t="s">
        <v>44</v>
      </c>
      <c r="V36" t="s">
        <v>51</v>
      </c>
      <c r="W36" t="s">
        <v>52</v>
      </c>
      <c r="X36" t="s">
        <v>53</v>
      </c>
      <c r="Y36" t="s">
        <v>54</v>
      </c>
      <c r="Z36" s="39">
        <v>3325000</v>
      </c>
      <c r="AA36" t="s">
        <v>54</v>
      </c>
      <c r="AB36" t="s">
        <v>55</v>
      </c>
      <c r="AC36" t="s">
        <v>70</v>
      </c>
      <c r="AD36" t="s">
        <v>71</v>
      </c>
      <c r="AE36" t="s">
        <v>351</v>
      </c>
      <c r="AF36" t="s">
        <v>348</v>
      </c>
      <c r="AG36" t="s">
        <v>352</v>
      </c>
      <c r="AH36" t="s">
        <v>59</v>
      </c>
      <c r="AI36" t="s">
        <v>353</v>
      </c>
      <c r="AJ36" t="s">
        <v>61</v>
      </c>
    </row>
    <row r="37" spans="1:36">
      <c r="A37" t="s">
        <v>36</v>
      </c>
      <c r="B37" t="s">
        <v>354</v>
      </c>
      <c r="C37" t="s">
        <v>38</v>
      </c>
      <c r="D37" t="s">
        <v>355</v>
      </c>
      <c r="E37" t="s">
        <v>356</v>
      </c>
      <c r="F37" t="s">
        <v>41</v>
      </c>
      <c r="G37" t="s">
        <v>357</v>
      </c>
      <c r="H37" t="s">
        <v>43</v>
      </c>
      <c r="I37" t="s">
        <v>44</v>
      </c>
      <c r="J37" t="s">
        <v>358</v>
      </c>
      <c r="K37" t="s">
        <v>359</v>
      </c>
      <c r="L37" s="38">
        <v>46010</v>
      </c>
      <c r="M37" t="s">
        <v>68</v>
      </c>
      <c r="N37" t="s">
        <v>140</v>
      </c>
      <c r="O37" s="38">
        <v>46008</v>
      </c>
      <c r="P37" s="38">
        <v>46012</v>
      </c>
      <c r="Q37" t="s">
        <v>49</v>
      </c>
      <c r="R37" s="38">
        <v>46020</v>
      </c>
      <c r="S37" t="s">
        <v>44</v>
      </c>
      <c r="T37" t="s">
        <v>50</v>
      </c>
      <c r="U37" t="s">
        <v>44</v>
      </c>
      <c r="V37" t="s">
        <v>51</v>
      </c>
      <c r="W37" t="s">
        <v>52</v>
      </c>
      <c r="X37" t="s">
        <v>159</v>
      </c>
      <c r="Y37" t="s">
        <v>54</v>
      </c>
      <c r="Z37" s="39">
        <v>2950000</v>
      </c>
      <c r="AA37" t="s">
        <v>54</v>
      </c>
      <c r="AB37" t="s">
        <v>55</v>
      </c>
      <c r="AC37" t="s">
        <v>160</v>
      </c>
      <c r="AD37" t="s">
        <v>161</v>
      </c>
      <c r="AE37" t="s">
        <v>360</v>
      </c>
      <c r="AF37" t="s">
        <v>359</v>
      </c>
      <c r="AG37" t="s">
        <v>359</v>
      </c>
      <c r="AH37" t="s">
        <v>59</v>
      </c>
      <c r="AI37" t="s">
        <v>361</v>
      </c>
      <c r="AJ37" t="s">
        <v>61</v>
      </c>
    </row>
    <row r="38" spans="1:36">
      <c r="A38" t="s">
        <v>36</v>
      </c>
      <c r="B38" t="s">
        <v>362</v>
      </c>
      <c r="C38" t="s">
        <v>38</v>
      </c>
      <c r="D38" t="s">
        <v>363</v>
      </c>
      <c r="E38" t="s">
        <v>364</v>
      </c>
      <c r="F38" t="s">
        <v>41</v>
      </c>
      <c r="G38" t="s">
        <v>365</v>
      </c>
      <c r="H38" t="s">
        <v>43</v>
      </c>
      <c r="I38" t="s">
        <v>44</v>
      </c>
      <c r="J38" t="s">
        <v>366</v>
      </c>
      <c r="K38" t="s">
        <v>367</v>
      </c>
      <c r="L38" s="38">
        <v>46010</v>
      </c>
      <c r="M38" t="s">
        <v>368</v>
      </c>
      <c r="N38" t="s">
        <v>369</v>
      </c>
      <c r="O38" s="38">
        <v>45943</v>
      </c>
      <c r="P38" s="38">
        <v>45943</v>
      </c>
      <c r="Q38" t="s">
        <v>171</v>
      </c>
      <c r="R38" s="38">
        <v>46020</v>
      </c>
      <c r="S38" t="s">
        <v>44</v>
      </c>
      <c r="T38" t="s">
        <v>84</v>
      </c>
      <c r="U38" t="s">
        <v>44</v>
      </c>
      <c r="V38" t="s">
        <v>51</v>
      </c>
      <c r="W38" t="s">
        <v>52</v>
      </c>
      <c r="X38" t="s">
        <v>53</v>
      </c>
      <c r="Y38" t="s">
        <v>54</v>
      </c>
      <c r="Z38" s="39">
        <v>400000</v>
      </c>
      <c r="AA38" t="s">
        <v>54</v>
      </c>
      <c r="AB38" t="s">
        <v>55</v>
      </c>
      <c r="AC38" t="s">
        <v>56</v>
      </c>
      <c r="AD38" t="s">
        <v>57</v>
      </c>
      <c r="AE38" t="s">
        <v>370</v>
      </c>
      <c r="AF38" t="s">
        <v>367</v>
      </c>
      <c r="AG38" t="s">
        <v>367</v>
      </c>
      <c r="AH38" t="s">
        <v>59</v>
      </c>
      <c r="AI38" t="s">
        <v>371</v>
      </c>
      <c r="AJ38" t="s">
        <v>61</v>
      </c>
    </row>
    <row r="39" spans="1:36">
      <c r="A39" t="s">
        <v>36</v>
      </c>
      <c r="B39" t="s">
        <v>317</v>
      </c>
      <c r="C39" t="s">
        <v>38</v>
      </c>
      <c r="D39" t="s">
        <v>318</v>
      </c>
      <c r="E39" t="s">
        <v>372</v>
      </c>
      <c r="F39" t="s">
        <v>41</v>
      </c>
      <c r="G39" t="s">
        <v>373</v>
      </c>
      <c r="H39" t="s">
        <v>43</v>
      </c>
      <c r="I39" t="s">
        <v>44</v>
      </c>
      <c r="J39" t="s">
        <v>321</v>
      </c>
      <c r="K39" t="s">
        <v>322</v>
      </c>
      <c r="L39" s="38">
        <v>46010</v>
      </c>
      <c r="M39" t="s">
        <v>68</v>
      </c>
      <c r="N39" t="s">
        <v>374</v>
      </c>
      <c r="O39" s="38">
        <v>46012</v>
      </c>
      <c r="P39" s="38">
        <v>46015</v>
      </c>
      <c r="Q39" t="s">
        <v>49</v>
      </c>
      <c r="R39" s="38">
        <v>46020</v>
      </c>
      <c r="S39" t="s">
        <v>44</v>
      </c>
      <c r="T39" t="s">
        <v>50</v>
      </c>
      <c r="U39" t="s">
        <v>44</v>
      </c>
      <c r="V39" t="s">
        <v>51</v>
      </c>
      <c r="W39" t="s">
        <v>52</v>
      </c>
      <c r="X39" t="s">
        <v>159</v>
      </c>
      <c r="Y39" t="s">
        <v>54</v>
      </c>
      <c r="Z39" s="39">
        <v>1700000</v>
      </c>
      <c r="AA39" t="s">
        <v>54</v>
      </c>
      <c r="AB39" t="s">
        <v>55</v>
      </c>
      <c r="AC39" t="s">
        <v>160</v>
      </c>
      <c r="AD39" t="s">
        <v>161</v>
      </c>
      <c r="AE39" t="s">
        <v>323</v>
      </c>
      <c r="AF39" t="s">
        <v>322</v>
      </c>
      <c r="AG39" t="s">
        <v>324</v>
      </c>
      <c r="AH39" t="s">
        <v>59</v>
      </c>
      <c r="AI39" t="s">
        <v>325</v>
      </c>
      <c r="AJ39" t="s">
        <v>61</v>
      </c>
    </row>
    <row r="40" spans="1:36">
      <c r="A40" t="s">
        <v>36</v>
      </c>
      <c r="B40" t="s">
        <v>151</v>
      </c>
      <c r="C40" t="s">
        <v>38</v>
      </c>
      <c r="D40" t="s">
        <v>152</v>
      </c>
      <c r="E40" t="s">
        <v>375</v>
      </c>
      <c r="F40" t="s">
        <v>41</v>
      </c>
      <c r="G40" t="s">
        <v>376</v>
      </c>
      <c r="H40" t="s">
        <v>43</v>
      </c>
      <c r="I40" t="s">
        <v>44</v>
      </c>
      <c r="J40" t="s">
        <v>155</v>
      </c>
      <c r="K40" t="s">
        <v>156</v>
      </c>
      <c r="L40" s="38">
        <v>46010</v>
      </c>
      <c r="M40" t="s">
        <v>68</v>
      </c>
      <c r="N40" t="s">
        <v>377</v>
      </c>
      <c r="O40" s="38">
        <v>46012</v>
      </c>
      <c r="P40" s="38">
        <v>46015</v>
      </c>
      <c r="Q40" t="s">
        <v>49</v>
      </c>
      <c r="R40" s="38">
        <v>46020</v>
      </c>
      <c r="S40" t="s">
        <v>44</v>
      </c>
      <c r="T40" t="s">
        <v>50</v>
      </c>
      <c r="U40" t="s">
        <v>44</v>
      </c>
      <c r="V40" t="s">
        <v>51</v>
      </c>
      <c r="W40" t="s">
        <v>52</v>
      </c>
      <c r="X40" t="s">
        <v>159</v>
      </c>
      <c r="Y40" t="s">
        <v>54</v>
      </c>
      <c r="Z40" s="39">
        <v>2500000</v>
      </c>
      <c r="AA40" t="s">
        <v>54</v>
      </c>
      <c r="AB40" t="s">
        <v>55</v>
      </c>
      <c r="AC40" t="s">
        <v>160</v>
      </c>
      <c r="AD40" t="s">
        <v>161</v>
      </c>
      <c r="AE40" t="s">
        <v>162</v>
      </c>
      <c r="AF40" t="s">
        <v>156</v>
      </c>
      <c r="AG40" t="s">
        <v>156</v>
      </c>
      <c r="AH40" t="s">
        <v>59</v>
      </c>
      <c r="AI40" t="s">
        <v>163</v>
      </c>
      <c r="AJ40" t="s">
        <v>61</v>
      </c>
    </row>
    <row r="41" spans="1:36">
      <c r="A41" t="s">
        <v>36</v>
      </c>
      <c r="B41" t="s">
        <v>378</v>
      </c>
      <c r="C41" t="s">
        <v>38</v>
      </c>
      <c r="D41" t="s">
        <v>379</v>
      </c>
      <c r="E41" t="s">
        <v>380</v>
      </c>
      <c r="F41" t="s">
        <v>41</v>
      </c>
      <c r="G41" t="s">
        <v>381</v>
      </c>
      <c r="H41" t="s">
        <v>43</v>
      </c>
      <c r="I41" t="s">
        <v>44</v>
      </c>
      <c r="J41" t="s">
        <v>382</v>
      </c>
      <c r="K41" t="s">
        <v>383</v>
      </c>
      <c r="L41" s="38">
        <v>46010</v>
      </c>
      <c r="M41" t="s">
        <v>384</v>
      </c>
      <c r="N41" t="s">
        <v>185</v>
      </c>
      <c r="O41" s="38">
        <v>46002</v>
      </c>
      <c r="P41" s="38">
        <v>46003</v>
      </c>
      <c r="Q41" t="s">
        <v>49</v>
      </c>
      <c r="R41" s="38">
        <v>46020</v>
      </c>
      <c r="S41" t="s">
        <v>44</v>
      </c>
      <c r="T41" t="s">
        <v>50</v>
      </c>
      <c r="U41" t="s">
        <v>44</v>
      </c>
      <c r="V41" t="s">
        <v>51</v>
      </c>
      <c r="W41" t="s">
        <v>52</v>
      </c>
      <c r="X41" t="s">
        <v>159</v>
      </c>
      <c r="Y41" t="s">
        <v>54</v>
      </c>
      <c r="Z41" s="39">
        <v>850000</v>
      </c>
      <c r="AA41" t="s">
        <v>54</v>
      </c>
      <c r="AB41" t="s">
        <v>55</v>
      </c>
      <c r="AC41" t="s">
        <v>160</v>
      </c>
      <c r="AD41" t="s">
        <v>161</v>
      </c>
      <c r="AE41" t="s">
        <v>385</v>
      </c>
      <c r="AF41" t="s">
        <v>383</v>
      </c>
      <c r="AG41" t="s">
        <v>383</v>
      </c>
      <c r="AH41" t="s">
        <v>59</v>
      </c>
      <c r="AI41" t="s">
        <v>386</v>
      </c>
      <c r="AJ41" t="s">
        <v>61</v>
      </c>
    </row>
    <row r="42" spans="1:36">
      <c r="A42" t="s">
        <v>36</v>
      </c>
      <c r="B42" t="s">
        <v>387</v>
      </c>
      <c r="C42" t="s">
        <v>38</v>
      </c>
      <c r="D42" t="s">
        <v>388</v>
      </c>
      <c r="E42" t="s">
        <v>389</v>
      </c>
      <c r="F42" t="s">
        <v>41</v>
      </c>
      <c r="G42" t="s">
        <v>390</v>
      </c>
      <c r="H42" t="s">
        <v>43</v>
      </c>
      <c r="I42" t="s">
        <v>44</v>
      </c>
      <c r="J42" t="s">
        <v>391</v>
      </c>
      <c r="K42" t="s">
        <v>392</v>
      </c>
      <c r="L42" s="38">
        <v>46010</v>
      </c>
      <c r="M42" t="s">
        <v>47</v>
      </c>
      <c r="N42" t="s">
        <v>185</v>
      </c>
      <c r="O42" s="38">
        <v>46002</v>
      </c>
      <c r="P42" s="38">
        <v>46003</v>
      </c>
      <c r="Q42" t="s">
        <v>49</v>
      </c>
      <c r="R42" s="38">
        <v>46020</v>
      </c>
      <c r="S42" t="s">
        <v>44</v>
      </c>
      <c r="T42" t="s">
        <v>50</v>
      </c>
      <c r="U42" t="s">
        <v>44</v>
      </c>
      <c r="V42" t="s">
        <v>51</v>
      </c>
      <c r="W42" t="s">
        <v>52</v>
      </c>
      <c r="X42" t="s">
        <v>159</v>
      </c>
      <c r="Y42" t="s">
        <v>54</v>
      </c>
      <c r="Z42" s="39">
        <v>850000</v>
      </c>
      <c r="AA42" t="s">
        <v>54</v>
      </c>
      <c r="AB42" t="s">
        <v>55</v>
      </c>
      <c r="AC42" t="s">
        <v>160</v>
      </c>
      <c r="AD42" t="s">
        <v>161</v>
      </c>
      <c r="AE42" t="s">
        <v>393</v>
      </c>
      <c r="AF42" t="s">
        <v>392</v>
      </c>
      <c r="AG42" t="s">
        <v>392</v>
      </c>
      <c r="AH42" t="s">
        <v>59</v>
      </c>
      <c r="AI42" t="s">
        <v>394</v>
      </c>
      <c r="AJ42" t="s">
        <v>61</v>
      </c>
    </row>
    <row r="43" spans="1:36">
      <c r="A43" t="s">
        <v>36</v>
      </c>
      <c r="B43" t="s">
        <v>395</v>
      </c>
      <c r="C43" t="s">
        <v>38</v>
      </c>
      <c r="D43" t="s">
        <v>396</v>
      </c>
      <c r="E43" t="s">
        <v>397</v>
      </c>
      <c r="F43" t="s">
        <v>41</v>
      </c>
      <c r="G43" t="s">
        <v>398</v>
      </c>
      <c r="H43" t="s">
        <v>43</v>
      </c>
      <c r="I43" t="s">
        <v>44</v>
      </c>
      <c r="J43" t="s">
        <v>399</v>
      </c>
      <c r="K43" t="s">
        <v>400</v>
      </c>
      <c r="L43" s="38">
        <v>46010</v>
      </c>
      <c r="M43" t="s">
        <v>123</v>
      </c>
      <c r="N43" t="s">
        <v>69</v>
      </c>
      <c r="O43" s="38">
        <v>46007</v>
      </c>
      <c r="P43" s="38">
        <v>46008</v>
      </c>
      <c r="Q43" t="s">
        <v>49</v>
      </c>
      <c r="R43" s="38">
        <v>46020</v>
      </c>
      <c r="S43" t="s">
        <v>44</v>
      </c>
      <c r="T43" t="s">
        <v>50</v>
      </c>
      <c r="U43" t="s">
        <v>44</v>
      </c>
      <c r="V43" t="s">
        <v>51</v>
      </c>
      <c r="W43" t="s">
        <v>52</v>
      </c>
      <c r="X43" t="s">
        <v>159</v>
      </c>
      <c r="Y43" t="s">
        <v>54</v>
      </c>
      <c r="Z43" s="39">
        <v>1500000</v>
      </c>
      <c r="AA43" t="s">
        <v>54</v>
      </c>
      <c r="AB43" t="s">
        <v>55</v>
      </c>
      <c r="AC43" t="s">
        <v>160</v>
      </c>
      <c r="AD43" t="s">
        <v>161</v>
      </c>
      <c r="AE43" t="s">
        <v>401</v>
      </c>
      <c r="AF43" t="s">
        <v>400</v>
      </c>
      <c r="AG43" t="s">
        <v>400</v>
      </c>
      <c r="AH43" t="s">
        <v>59</v>
      </c>
      <c r="AI43" t="s">
        <v>402</v>
      </c>
      <c r="AJ43" t="s">
        <v>61</v>
      </c>
    </row>
    <row r="44" spans="1:36">
      <c r="A44" t="s">
        <v>36</v>
      </c>
      <c r="B44" t="s">
        <v>403</v>
      </c>
      <c r="C44" t="s">
        <v>38</v>
      </c>
      <c r="D44" t="s">
        <v>404</v>
      </c>
      <c r="E44" t="s">
        <v>405</v>
      </c>
      <c r="F44" t="s">
        <v>41</v>
      </c>
      <c r="G44" t="s">
        <v>406</v>
      </c>
      <c r="H44" t="s">
        <v>43</v>
      </c>
      <c r="I44" t="s">
        <v>44</v>
      </c>
      <c r="J44" t="s">
        <v>407</v>
      </c>
      <c r="K44" t="s">
        <v>408</v>
      </c>
      <c r="L44" s="38">
        <v>46010</v>
      </c>
      <c r="M44" t="s">
        <v>47</v>
      </c>
      <c r="N44" t="s">
        <v>226</v>
      </c>
      <c r="O44" s="38">
        <v>46002</v>
      </c>
      <c r="P44" s="38">
        <v>46003</v>
      </c>
      <c r="Q44" t="s">
        <v>49</v>
      </c>
      <c r="R44" s="38">
        <v>46020</v>
      </c>
      <c r="S44" t="s">
        <v>44</v>
      </c>
      <c r="T44" t="s">
        <v>50</v>
      </c>
      <c r="U44" t="s">
        <v>44</v>
      </c>
      <c r="V44" t="s">
        <v>51</v>
      </c>
      <c r="W44" t="s">
        <v>52</v>
      </c>
      <c r="X44" t="s">
        <v>159</v>
      </c>
      <c r="Y44" t="s">
        <v>54</v>
      </c>
      <c r="Z44" s="39">
        <v>1000000</v>
      </c>
      <c r="AA44" t="s">
        <v>54</v>
      </c>
      <c r="AB44" t="s">
        <v>55</v>
      </c>
      <c r="AC44" t="s">
        <v>160</v>
      </c>
      <c r="AD44" t="s">
        <v>161</v>
      </c>
      <c r="AE44" t="s">
        <v>409</v>
      </c>
      <c r="AF44" t="s">
        <v>408</v>
      </c>
      <c r="AG44" t="s">
        <v>408</v>
      </c>
      <c r="AH44" t="s">
        <v>59</v>
      </c>
      <c r="AI44" t="s">
        <v>410</v>
      </c>
      <c r="AJ44" t="s">
        <v>61</v>
      </c>
    </row>
    <row r="45" spans="26:26">
      <c r="Z45">
        <f>SUM(Z2:Z44)</f>
        <v>74158429</v>
      </c>
    </row>
    <row r="46" spans="26:26">
      <c r="Z46" s="40">
        <f>MANDIRI!I27+BNI!I8+BRI!I10+BSI!I22</f>
        <v>74158429</v>
      </c>
    </row>
  </sheetData>
  <autoFilter xmlns:etc="http://www.wps.cn/officeDocument/2017/etCustomData" ref="A1:AJ44" etc:filterBottomFollowUsedRange="0">
    <extLst/>
  </autoFilter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40"/>
  <sheetViews>
    <sheetView zoomScale="85" zoomScaleNormal="85" workbookViewId="0">
      <selection activeCell="A29" sqref="A29"/>
    </sheetView>
  </sheetViews>
  <sheetFormatPr defaultColWidth="8.88888888888889" defaultRowHeight="13.2"/>
  <cols>
    <col min="1" max="1" width="20.2592592592593" customWidth="1"/>
    <col min="2" max="2" width="12.9351851851852" customWidth="1"/>
    <col min="3" max="3" width="36.9814814814815" customWidth="1"/>
    <col min="4" max="4" width="44.3148148148148" customWidth="1"/>
    <col min="5" max="5" width="12.1388888888889" customWidth="1"/>
    <col min="6" max="6" width="11.4259259259259" customWidth="1"/>
    <col min="7" max="7" width="10" customWidth="1"/>
    <col min="8" max="8" width="8.28703703703704" customWidth="1"/>
    <col min="9" max="9" width="13.287037037037" customWidth="1"/>
    <col min="10" max="10" width="13.5833333333333" customWidth="1"/>
    <col min="11" max="11" width="15.5740740740741" customWidth="1"/>
    <col min="12" max="12" width="35.4259259259259" customWidth="1"/>
  </cols>
  <sheetData>
    <row r="1" customFormat="1" ht="15.6" spans="1:12">
      <c r="A1" s="2" t="s">
        <v>411</v>
      </c>
      <c r="B1" s="2"/>
      <c r="C1" s="2"/>
      <c r="D1" s="3"/>
      <c r="E1" s="4"/>
      <c r="F1" s="4"/>
      <c r="G1" s="4"/>
      <c r="H1" s="4"/>
      <c r="I1" s="24"/>
      <c r="J1" s="4"/>
      <c r="K1" s="4"/>
      <c r="L1" s="2"/>
    </row>
    <row r="2" customFormat="1" ht="15.6" spans="1:12">
      <c r="A2" s="3" t="s">
        <v>412</v>
      </c>
      <c r="B2" s="4"/>
      <c r="C2" s="3"/>
      <c r="D2" s="3"/>
      <c r="E2" s="4"/>
      <c r="F2" s="4"/>
      <c r="G2" s="4"/>
      <c r="H2" s="4"/>
      <c r="I2" s="24"/>
      <c r="J2" s="4"/>
      <c r="K2" s="4"/>
      <c r="L2" s="2"/>
    </row>
    <row r="3" customFormat="1" spans="1:11">
      <c r="A3" s="5"/>
      <c r="B3" s="5"/>
      <c r="C3" s="6"/>
      <c r="D3" s="6"/>
      <c r="E3" s="5"/>
      <c r="F3" s="5"/>
      <c r="G3" s="5"/>
      <c r="H3" s="5"/>
      <c r="I3" s="25"/>
      <c r="J3" s="5"/>
      <c r="K3" s="5"/>
    </row>
    <row r="4" customFormat="1" ht="39.6" spans="1:12">
      <c r="A4" s="7" t="s">
        <v>1</v>
      </c>
      <c r="B4" s="8" t="s">
        <v>4</v>
      </c>
      <c r="C4" s="7" t="s">
        <v>10</v>
      </c>
      <c r="D4" s="7" t="s">
        <v>12</v>
      </c>
      <c r="E4" s="8" t="s">
        <v>17</v>
      </c>
      <c r="F4" s="8" t="s">
        <v>22</v>
      </c>
      <c r="G4" s="8" t="s">
        <v>23</v>
      </c>
      <c r="H4" s="8" t="s">
        <v>24</v>
      </c>
      <c r="I4" s="26" t="s">
        <v>25</v>
      </c>
      <c r="J4" s="8" t="s">
        <v>29</v>
      </c>
      <c r="K4" s="8" t="s">
        <v>30</v>
      </c>
      <c r="L4" s="7" t="s">
        <v>31</v>
      </c>
    </row>
    <row r="5" customFormat="1" spans="1:12">
      <c r="A5" s="9" t="s">
        <v>151</v>
      </c>
      <c r="B5" s="9" t="s">
        <v>153</v>
      </c>
      <c r="C5" s="9" t="s">
        <v>156</v>
      </c>
      <c r="D5" s="9" t="s">
        <v>157</v>
      </c>
      <c r="E5" s="10">
        <v>46020</v>
      </c>
      <c r="F5" s="11" t="s">
        <v>52</v>
      </c>
      <c r="G5" s="12" t="s">
        <v>159</v>
      </c>
      <c r="H5" s="12" t="s">
        <v>54</v>
      </c>
      <c r="I5" s="27">
        <v>260000</v>
      </c>
      <c r="J5" s="9" t="s">
        <v>161</v>
      </c>
      <c r="K5" s="9" t="s">
        <v>162</v>
      </c>
      <c r="L5" s="9" t="s">
        <v>156</v>
      </c>
    </row>
    <row r="6" customFormat="1" spans="1:12">
      <c r="A6" s="9" t="s">
        <v>164</v>
      </c>
      <c r="B6" s="9" t="s">
        <v>166</v>
      </c>
      <c r="C6" s="9" t="s">
        <v>169</v>
      </c>
      <c r="D6" s="9" t="s">
        <v>170</v>
      </c>
      <c r="E6" s="10">
        <v>46020</v>
      </c>
      <c r="F6" s="11" t="s">
        <v>52</v>
      </c>
      <c r="G6" s="12" t="s">
        <v>159</v>
      </c>
      <c r="H6" s="12" t="s">
        <v>54</v>
      </c>
      <c r="I6" s="27">
        <v>1025000</v>
      </c>
      <c r="J6" s="9" t="s">
        <v>161</v>
      </c>
      <c r="K6" s="9" t="s">
        <v>172</v>
      </c>
      <c r="L6" s="9" t="s">
        <v>169</v>
      </c>
    </row>
    <row r="7" customFormat="1" spans="1:12">
      <c r="A7" s="9" t="s">
        <v>186</v>
      </c>
      <c r="B7" s="9" t="s">
        <v>188</v>
      </c>
      <c r="C7" s="9" t="s">
        <v>191</v>
      </c>
      <c r="D7" s="9" t="s">
        <v>68</v>
      </c>
      <c r="E7" s="10">
        <v>46020</v>
      </c>
      <c r="F7" s="11" t="s">
        <v>52</v>
      </c>
      <c r="G7" s="12" t="s">
        <v>159</v>
      </c>
      <c r="H7" s="12" t="s">
        <v>54</v>
      </c>
      <c r="I7" s="27">
        <v>2300000</v>
      </c>
      <c r="J7" s="9" t="s">
        <v>161</v>
      </c>
      <c r="K7" s="9" t="s">
        <v>192</v>
      </c>
      <c r="L7" s="9" t="s">
        <v>191</v>
      </c>
    </row>
    <row r="8" customFormat="1" spans="1:12">
      <c r="A8" s="9" t="s">
        <v>194</v>
      </c>
      <c r="B8" s="9" t="s">
        <v>196</v>
      </c>
      <c r="C8" s="9" t="s">
        <v>199</v>
      </c>
      <c r="D8" s="9" t="s">
        <v>68</v>
      </c>
      <c r="E8" s="10">
        <v>46020</v>
      </c>
      <c r="F8" s="11" t="s">
        <v>52</v>
      </c>
      <c r="G8" s="12" t="s">
        <v>159</v>
      </c>
      <c r="H8" s="12" t="s">
        <v>54</v>
      </c>
      <c r="I8" s="27">
        <v>2950000</v>
      </c>
      <c r="J8" s="9" t="s">
        <v>161</v>
      </c>
      <c r="K8" s="9" t="s">
        <v>200</v>
      </c>
      <c r="L8" s="9" t="s">
        <v>199</v>
      </c>
    </row>
    <row r="9" s="1" customFormat="1" spans="1:12">
      <c r="A9" s="9" t="s">
        <v>203</v>
      </c>
      <c r="B9" s="9" t="s">
        <v>205</v>
      </c>
      <c r="C9" s="9" t="s">
        <v>208</v>
      </c>
      <c r="D9" s="9" t="s">
        <v>170</v>
      </c>
      <c r="E9" s="10">
        <v>46020</v>
      </c>
      <c r="F9" s="13" t="s">
        <v>52</v>
      </c>
      <c r="G9" s="12" t="s">
        <v>159</v>
      </c>
      <c r="H9" s="12" t="s">
        <v>54</v>
      </c>
      <c r="I9" s="27">
        <v>1025000</v>
      </c>
      <c r="J9" s="9" t="s">
        <v>161</v>
      </c>
      <c r="K9" s="9" t="s">
        <v>209</v>
      </c>
      <c r="L9" s="9" t="s">
        <v>208</v>
      </c>
    </row>
    <row r="10" customFormat="1" spans="1:12">
      <c r="A10" s="9" t="s">
        <v>212</v>
      </c>
      <c r="B10" s="9" t="s">
        <v>214</v>
      </c>
      <c r="C10" s="9" t="s">
        <v>217</v>
      </c>
      <c r="D10" s="9" t="s">
        <v>123</v>
      </c>
      <c r="E10" s="10">
        <v>46020</v>
      </c>
      <c r="F10" s="11" t="s">
        <v>52</v>
      </c>
      <c r="G10" s="12" t="s">
        <v>159</v>
      </c>
      <c r="H10" s="12" t="s">
        <v>54</v>
      </c>
      <c r="I10" s="27">
        <v>2050000</v>
      </c>
      <c r="J10" s="9" t="s">
        <v>161</v>
      </c>
      <c r="K10" s="9" t="s">
        <v>218</v>
      </c>
      <c r="L10" s="9" t="s">
        <v>217</v>
      </c>
    </row>
    <row r="11" customFormat="1" spans="1:12">
      <c r="A11" s="9" t="s">
        <v>240</v>
      </c>
      <c r="B11" s="9" t="s">
        <v>242</v>
      </c>
      <c r="C11" s="9" t="s">
        <v>245</v>
      </c>
      <c r="D11" s="9" t="s">
        <v>157</v>
      </c>
      <c r="E11" s="10">
        <v>46020</v>
      </c>
      <c r="F11" s="11" t="s">
        <v>52</v>
      </c>
      <c r="G11" s="12" t="s">
        <v>159</v>
      </c>
      <c r="H11" s="12" t="s">
        <v>54</v>
      </c>
      <c r="I11" s="27">
        <v>2000000</v>
      </c>
      <c r="J11" s="9" t="s">
        <v>161</v>
      </c>
      <c r="K11" s="9" t="s">
        <v>247</v>
      </c>
      <c r="L11" s="9" t="s">
        <v>248</v>
      </c>
    </row>
    <row r="12" customFormat="1" spans="1:12">
      <c r="A12" s="9" t="s">
        <v>260</v>
      </c>
      <c r="B12" s="9" t="s">
        <v>262</v>
      </c>
      <c r="C12" s="9" t="s">
        <v>265</v>
      </c>
      <c r="D12" s="9" t="s">
        <v>139</v>
      </c>
      <c r="E12" s="10">
        <v>46020</v>
      </c>
      <c r="F12" s="11" t="s">
        <v>52</v>
      </c>
      <c r="G12" s="12" t="s">
        <v>159</v>
      </c>
      <c r="H12" s="12" t="s">
        <v>54</v>
      </c>
      <c r="I12" s="27">
        <v>700000</v>
      </c>
      <c r="J12" s="9" t="s">
        <v>161</v>
      </c>
      <c r="K12" s="9" t="s">
        <v>267</v>
      </c>
      <c r="L12" s="9" t="s">
        <v>265</v>
      </c>
    </row>
    <row r="13" customFormat="1" spans="1:12">
      <c r="A13" s="9" t="s">
        <v>271</v>
      </c>
      <c r="B13" s="9" t="s">
        <v>273</v>
      </c>
      <c r="C13" s="9" t="s">
        <v>276</v>
      </c>
      <c r="D13" s="9" t="s">
        <v>47</v>
      </c>
      <c r="E13" s="10">
        <v>46020</v>
      </c>
      <c r="F13" s="11" t="s">
        <v>52</v>
      </c>
      <c r="G13" s="12" t="s">
        <v>159</v>
      </c>
      <c r="H13" s="12" t="s">
        <v>54</v>
      </c>
      <c r="I13" s="27">
        <v>850000</v>
      </c>
      <c r="J13" s="9" t="s">
        <v>161</v>
      </c>
      <c r="K13" s="9" t="s">
        <v>278</v>
      </c>
      <c r="L13" s="9" t="s">
        <v>276</v>
      </c>
    </row>
    <row r="14" customFormat="1" spans="1:12">
      <c r="A14" s="9" t="s">
        <v>283</v>
      </c>
      <c r="B14" s="9" t="s">
        <v>285</v>
      </c>
      <c r="C14" s="9" t="s">
        <v>288</v>
      </c>
      <c r="D14" s="9" t="s">
        <v>139</v>
      </c>
      <c r="E14" s="10">
        <v>46020</v>
      </c>
      <c r="F14" s="11" t="s">
        <v>52</v>
      </c>
      <c r="G14" s="12" t="s">
        <v>159</v>
      </c>
      <c r="H14" s="12" t="s">
        <v>54</v>
      </c>
      <c r="I14" s="27">
        <v>1800000</v>
      </c>
      <c r="J14" s="9" t="s">
        <v>161</v>
      </c>
      <c r="K14" s="9" t="s">
        <v>289</v>
      </c>
      <c r="L14" s="9" t="s">
        <v>288</v>
      </c>
    </row>
    <row r="15" s="1" customFormat="1" spans="1:12">
      <c r="A15" s="9" t="s">
        <v>299</v>
      </c>
      <c r="B15" s="9" t="s">
        <v>301</v>
      </c>
      <c r="C15" s="9" t="s">
        <v>304</v>
      </c>
      <c r="D15" s="9" t="s">
        <v>305</v>
      </c>
      <c r="E15" s="10">
        <v>46020</v>
      </c>
      <c r="F15" s="13" t="s">
        <v>52</v>
      </c>
      <c r="G15" s="12" t="s">
        <v>159</v>
      </c>
      <c r="H15" s="12" t="s">
        <v>54</v>
      </c>
      <c r="I15" s="27">
        <v>275000</v>
      </c>
      <c r="J15" s="9" t="s">
        <v>161</v>
      </c>
      <c r="K15" s="9" t="s">
        <v>306</v>
      </c>
      <c r="L15" s="9" t="s">
        <v>304</v>
      </c>
    </row>
    <row r="16" customFormat="1" spans="1:12">
      <c r="A16" s="9" t="s">
        <v>317</v>
      </c>
      <c r="B16" s="9" t="s">
        <v>319</v>
      </c>
      <c r="C16" s="9" t="s">
        <v>322</v>
      </c>
      <c r="D16" s="9" t="s">
        <v>157</v>
      </c>
      <c r="E16" s="10">
        <v>46020</v>
      </c>
      <c r="F16" s="11" t="s">
        <v>52</v>
      </c>
      <c r="G16" s="12" t="s">
        <v>159</v>
      </c>
      <c r="H16" s="12" t="s">
        <v>54</v>
      </c>
      <c r="I16" s="27">
        <v>260000</v>
      </c>
      <c r="J16" s="9" t="s">
        <v>161</v>
      </c>
      <c r="K16" s="9" t="s">
        <v>323</v>
      </c>
      <c r="L16" s="9" t="s">
        <v>322</v>
      </c>
    </row>
    <row r="17" customFormat="1" spans="1:12">
      <c r="A17" s="9" t="s">
        <v>326</v>
      </c>
      <c r="B17" s="9" t="s">
        <v>328</v>
      </c>
      <c r="C17" s="9" t="s">
        <v>331</v>
      </c>
      <c r="D17" s="9" t="s">
        <v>123</v>
      </c>
      <c r="E17" s="10">
        <v>46020</v>
      </c>
      <c r="F17" s="11" t="s">
        <v>52</v>
      </c>
      <c r="G17" s="12" t="s">
        <v>159</v>
      </c>
      <c r="H17" s="12" t="s">
        <v>54</v>
      </c>
      <c r="I17" s="27">
        <v>2050000</v>
      </c>
      <c r="J17" s="9" t="s">
        <v>161</v>
      </c>
      <c r="K17" s="9" t="s">
        <v>332</v>
      </c>
      <c r="L17" s="9" t="s">
        <v>331</v>
      </c>
    </row>
    <row r="18" customFormat="1" spans="1:12">
      <c r="A18" s="9" t="s">
        <v>334</v>
      </c>
      <c r="B18" s="9" t="s">
        <v>336</v>
      </c>
      <c r="C18" s="9" t="s">
        <v>339</v>
      </c>
      <c r="D18" s="9" t="s">
        <v>157</v>
      </c>
      <c r="E18" s="10">
        <v>46020</v>
      </c>
      <c r="F18" s="11" t="s">
        <v>52</v>
      </c>
      <c r="G18" s="12" t="s">
        <v>159</v>
      </c>
      <c r="H18" s="12" t="s">
        <v>54</v>
      </c>
      <c r="I18" s="27">
        <v>1900000</v>
      </c>
      <c r="J18" s="9" t="s">
        <v>161</v>
      </c>
      <c r="K18" s="9" t="s">
        <v>340</v>
      </c>
      <c r="L18" s="9" t="s">
        <v>339</v>
      </c>
    </row>
    <row r="19" customFormat="1" spans="1:12">
      <c r="A19" s="9" t="s">
        <v>354</v>
      </c>
      <c r="B19" s="9" t="s">
        <v>356</v>
      </c>
      <c r="C19" s="9" t="s">
        <v>359</v>
      </c>
      <c r="D19" s="9" t="s">
        <v>68</v>
      </c>
      <c r="E19" s="10">
        <v>46020</v>
      </c>
      <c r="F19" s="11" t="s">
        <v>52</v>
      </c>
      <c r="G19" s="12" t="s">
        <v>159</v>
      </c>
      <c r="H19" s="12" t="s">
        <v>54</v>
      </c>
      <c r="I19" s="27">
        <v>2950000</v>
      </c>
      <c r="J19" s="9" t="s">
        <v>161</v>
      </c>
      <c r="K19" s="9" t="s">
        <v>360</v>
      </c>
      <c r="L19" s="9" t="s">
        <v>359</v>
      </c>
    </row>
    <row r="20" customFormat="1" spans="1:12">
      <c r="A20" s="9" t="s">
        <v>317</v>
      </c>
      <c r="B20" s="9" t="s">
        <v>372</v>
      </c>
      <c r="C20" s="9" t="s">
        <v>322</v>
      </c>
      <c r="D20" s="9" t="s">
        <v>68</v>
      </c>
      <c r="E20" s="10">
        <v>46020</v>
      </c>
      <c r="F20" s="11" t="s">
        <v>52</v>
      </c>
      <c r="G20" s="12" t="s">
        <v>159</v>
      </c>
      <c r="H20" s="12" t="s">
        <v>54</v>
      </c>
      <c r="I20" s="27">
        <v>1700000</v>
      </c>
      <c r="J20" s="9" t="s">
        <v>161</v>
      </c>
      <c r="K20" s="9" t="s">
        <v>323</v>
      </c>
      <c r="L20" s="9" t="s">
        <v>322</v>
      </c>
    </row>
    <row r="21" customFormat="1" spans="1:12">
      <c r="A21" s="9" t="s">
        <v>151</v>
      </c>
      <c r="B21" s="9" t="s">
        <v>375</v>
      </c>
      <c r="C21" s="9" t="s">
        <v>156</v>
      </c>
      <c r="D21" s="9" t="s">
        <v>68</v>
      </c>
      <c r="E21" s="10">
        <v>46020</v>
      </c>
      <c r="F21" s="11" t="s">
        <v>52</v>
      </c>
      <c r="G21" s="12" t="s">
        <v>159</v>
      </c>
      <c r="H21" s="12" t="s">
        <v>54</v>
      </c>
      <c r="I21" s="27">
        <v>2500000</v>
      </c>
      <c r="J21" s="9" t="s">
        <v>161</v>
      </c>
      <c r="K21" s="9" t="s">
        <v>162</v>
      </c>
      <c r="L21" s="9" t="s">
        <v>156</v>
      </c>
    </row>
    <row r="22" customFormat="1" spans="1:12">
      <c r="A22" s="9" t="s">
        <v>378</v>
      </c>
      <c r="B22" s="9" t="s">
        <v>380</v>
      </c>
      <c r="C22" s="9" t="s">
        <v>383</v>
      </c>
      <c r="D22" s="9" t="s">
        <v>384</v>
      </c>
      <c r="E22" s="10">
        <v>46020</v>
      </c>
      <c r="F22" s="11" t="s">
        <v>52</v>
      </c>
      <c r="G22" s="12" t="s">
        <v>159</v>
      </c>
      <c r="H22" s="12" t="s">
        <v>54</v>
      </c>
      <c r="I22" s="27">
        <v>850000</v>
      </c>
      <c r="J22" s="9" t="s">
        <v>161</v>
      </c>
      <c r="K22" s="9" t="s">
        <v>385</v>
      </c>
      <c r="L22" s="9" t="s">
        <v>383</v>
      </c>
    </row>
    <row r="23" customFormat="1" spans="1:12">
      <c r="A23" s="9" t="s">
        <v>387</v>
      </c>
      <c r="B23" s="9" t="s">
        <v>389</v>
      </c>
      <c r="C23" s="9" t="s">
        <v>392</v>
      </c>
      <c r="D23" s="9" t="s">
        <v>47</v>
      </c>
      <c r="E23" s="10">
        <v>46020</v>
      </c>
      <c r="F23" s="11" t="s">
        <v>52</v>
      </c>
      <c r="G23" s="12" t="s">
        <v>159</v>
      </c>
      <c r="H23" s="12" t="s">
        <v>54</v>
      </c>
      <c r="I23" s="27">
        <v>850000</v>
      </c>
      <c r="J23" s="9" t="s">
        <v>161</v>
      </c>
      <c r="K23" s="9" t="s">
        <v>393</v>
      </c>
      <c r="L23" s="9" t="s">
        <v>392</v>
      </c>
    </row>
    <row r="24" customFormat="1" spans="1:12">
      <c r="A24" s="9" t="s">
        <v>395</v>
      </c>
      <c r="B24" s="9" t="s">
        <v>397</v>
      </c>
      <c r="C24" s="9" t="s">
        <v>400</v>
      </c>
      <c r="D24" s="9" t="s">
        <v>123</v>
      </c>
      <c r="E24" s="10">
        <v>46020</v>
      </c>
      <c r="F24" s="11" t="s">
        <v>52</v>
      </c>
      <c r="G24" s="12" t="s">
        <v>159</v>
      </c>
      <c r="H24" s="12" t="s">
        <v>54</v>
      </c>
      <c r="I24" s="27">
        <v>1500000</v>
      </c>
      <c r="J24" s="9" t="s">
        <v>161</v>
      </c>
      <c r="K24" s="9" t="s">
        <v>401</v>
      </c>
      <c r="L24" s="9" t="s">
        <v>400</v>
      </c>
    </row>
    <row r="25" customFormat="1" spans="1:12">
      <c r="A25" s="9" t="s">
        <v>403</v>
      </c>
      <c r="B25" s="9" t="s">
        <v>405</v>
      </c>
      <c r="C25" s="9" t="s">
        <v>408</v>
      </c>
      <c r="D25" s="9" t="s">
        <v>47</v>
      </c>
      <c r="E25" s="10">
        <v>46020</v>
      </c>
      <c r="F25" s="11" t="s">
        <v>52</v>
      </c>
      <c r="G25" s="12" t="s">
        <v>159</v>
      </c>
      <c r="H25" s="12" t="s">
        <v>54</v>
      </c>
      <c r="I25" s="27">
        <v>1000000</v>
      </c>
      <c r="J25" s="9" t="s">
        <v>161</v>
      </c>
      <c r="K25" s="9" t="s">
        <v>409</v>
      </c>
      <c r="L25" s="9" t="s">
        <v>408</v>
      </c>
    </row>
    <row r="26" customFormat="1" spans="1:12">
      <c r="A26" s="14"/>
      <c r="B26" s="14"/>
      <c r="C26" s="14"/>
      <c r="D26" s="11"/>
      <c r="E26" s="15"/>
      <c r="F26" s="14"/>
      <c r="G26" s="14"/>
      <c r="H26" s="14"/>
      <c r="I26" s="28"/>
      <c r="J26" s="14"/>
      <c r="K26" s="14"/>
      <c r="L26" s="14"/>
    </row>
    <row r="27" customFormat="1" spans="1:12">
      <c r="A27" s="16"/>
      <c r="B27" s="16"/>
      <c r="C27" s="16"/>
      <c r="D27" s="16"/>
      <c r="E27" s="17"/>
      <c r="F27" s="17"/>
      <c r="G27" s="17"/>
      <c r="H27" s="17" t="s">
        <v>413</v>
      </c>
      <c r="I27" s="29">
        <f>SUM(I5:I26)</f>
        <v>30795000</v>
      </c>
      <c r="J27" s="30"/>
      <c r="K27" s="30"/>
      <c r="L27" s="14"/>
    </row>
    <row r="28" customFormat="1" spans="1:12">
      <c r="A28" s="18" t="s">
        <v>414</v>
      </c>
      <c r="B28" s="18"/>
      <c r="C28" s="18"/>
      <c r="D28" s="18"/>
      <c r="E28" s="19"/>
      <c r="F28" s="19"/>
      <c r="G28" s="19"/>
      <c r="H28" s="19"/>
      <c r="I28" s="31"/>
      <c r="J28" s="19"/>
      <c r="K28" s="19"/>
      <c r="L28" s="18"/>
    </row>
    <row r="29" customFormat="1" spans="1:12">
      <c r="A29" s="20"/>
      <c r="B29" s="20"/>
      <c r="C29" s="20"/>
      <c r="D29" s="20"/>
      <c r="E29" s="21"/>
      <c r="F29" s="21"/>
      <c r="G29" s="21"/>
      <c r="H29" s="21"/>
      <c r="I29" s="32"/>
      <c r="J29" s="21"/>
      <c r="K29" s="21"/>
      <c r="L29" s="20"/>
    </row>
    <row r="30" customFormat="1" spans="1:11">
      <c r="A30" s="5"/>
      <c r="B30" s="5"/>
      <c r="C30" s="6"/>
      <c r="D30" s="6"/>
      <c r="E30" s="5"/>
      <c r="F30" s="5"/>
      <c r="G30" s="5"/>
      <c r="H30" s="5"/>
      <c r="I30" s="33" t="s">
        <v>415</v>
      </c>
      <c r="J30" s="33"/>
      <c r="K30" s="33"/>
    </row>
    <row r="31" customFormat="1" spans="1:11">
      <c r="A31" s="5"/>
      <c r="B31" s="5"/>
      <c r="C31" s="6"/>
      <c r="D31" s="6"/>
      <c r="E31" s="5"/>
      <c r="F31" s="5"/>
      <c r="G31" s="5"/>
      <c r="H31" s="5"/>
      <c r="I31" s="25"/>
      <c r="J31" s="5"/>
      <c r="K31" s="5"/>
    </row>
    <row r="32" customFormat="1" spans="1:11">
      <c r="A32" s="5"/>
      <c r="B32" s="5"/>
      <c r="C32" s="22" t="s">
        <v>416</v>
      </c>
      <c r="D32" s="23"/>
      <c r="E32" s="22"/>
      <c r="F32" s="22"/>
      <c r="G32" s="22"/>
      <c r="H32" s="22"/>
      <c r="I32" s="34" t="s">
        <v>417</v>
      </c>
      <c r="J32" s="34"/>
      <c r="K32" s="34"/>
    </row>
    <row r="33" customFormat="1" spans="1:11">
      <c r="A33" s="5"/>
      <c r="B33" s="5"/>
      <c r="C33" s="22" t="s">
        <v>418</v>
      </c>
      <c r="D33" s="23"/>
      <c r="E33" s="22"/>
      <c r="F33" s="22"/>
      <c r="G33" s="22"/>
      <c r="H33" s="22"/>
      <c r="I33" s="35"/>
      <c r="J33" s="22"/>
      <c r="K33" s="22"/>
    </row>
    <row r="34" customFormat="1" spans="1:11">
      <c r="A34" s="5"/>
      <c r="B34" s="5"/>
      <c r="C34" s="22"/>
      <c r="D34" s="23"/>
      <c r="E34" s="22"/>
      <c r="F34" s="22"/>
      <c r="G34" s="22"/>
      <c r="H34" s="22"/>
      <c r="I34" s="35"/>
      <c r="J34" s="22"/>
      <c r="K34" s="22"/>
    </row>
    <row r="35" customFormat="1" spans="1:11">
      <c r="A35" s="5"/>
      <c r="B35" s="5"/>
      <c r="C35" s="23"/>
      <c r="D35" s="23"/>
      <c r="E35" s="22"/>
      <c r="F35" s="22"/>
      <c r="G35" s="22"/>
      <c r="H35" s="22"/>
      <c r="I35" s="35"/>
      <c r="J35" s="22"/>
      <c r="K35" s="22"/>
    </row>
    <row r="36" customFormat="1" spans="1:11">
      <c r="A36" s="5"/>
      <c r="B36" s="5"/>
      <c r="C36" s="23"/>
      <c r="D36" s="23"/>
      <c r="E36" s="22"/>
      <c r="F36" s="22"/>
      <c r="G36" s="22"/>
      <c r="H36" s="22"/>
      <c r="I36" s="35"/>
      <c r="J36" s="22"/>
      <c r="K36" s="22"/>
    </row>
    <row r="37" customFormat="1" spans="1:11">
      <c r="A37" s="5"/>
      <c r="B37" s="5"/>
      <c r="C37" s="23"/>
      <c r="D37" s="23"/>
      <c r="E37" s="22"/>
      <c r="F37" s="22"/>
      <c r="G37" s="22"/>
      <c r="H37" s="22"/>
      <c r="I37" s="35"/>
      <c r="J37" s="22"/>
      <c r="K37" s="22"/>
    </row>
    <row r="38" customFormat="1" spans="1:11">
      <c r="A38" s="5"/>
      <c r="B38" s="5"/>
      <c r="C38" s="23"/>
      <c r="D38" s="23"/>
      <c r="E38" s="22"/>
      <c r="F38" s="22"/>
      <c r="G38" s="22"/>
      <c r="H38" s="22"/>
      <c r="I38" s="35"/>
      <c r="J38" s="22"/>
      <c r="K38" s="22"/>
    </row>
    <row r="39" customFormat="1" spans="1:11">
      <c r="A39" s="5"/>
      <c r="B39" s="5"/>
      <c r="C39" s="22" t="s">
        <v>419</v>
      </c>
      <c r="D39" s="23"/>
      <c r="E39" s="22"/>
      <c r="F39" s="22"/>
      <c r="G39" s="22"/>
      <c r="H39" s="22"/>
      <c r="I39" s="34" t="s">
        <v>225</v>
      </c>
      <c r="J39" s="34"/>
      <c r="K39" s="34"/>
    </row>
    <row r="40" customFormat="1" spans="1:11">
      <c r="A40" s="5"/>
      <c r="B40" s="5"/>
      <c r="C40" s="6"/>
      <c r="D40" s="6"/>
      <c r="E40" s="5"/>
      <c r="F40" s="5"/>
      <c r="G40" s="5"/>
      <c r="H40" s="5"/>
      <c r="I40" s="25"/>
      <c r="J40" s="5"/>
      <c r="K40" s="5"/>
    </row>
  </sheetData>
  <mergeCells count="3">
    <mergeCell ref="I30:K30"/>
    <mergeCell ref="I32:K32"/>
    <mergeCell ref="I39:K39"/>
  </mergeCells>
  <printOptions horizontalCentered="1"/>
  <pageMargins left="0.161111111111111" right="0.161111111111111" top="0.393055555555556" bottom="0.314583333333333" header="0.354166666666667" footer="0.236111111111111"/>
  <pageSetup paperSize="256" scale="59" orientation="landscape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1"/>
  <sheetViews>
    <sheetView zoomScale="85" zoomScaleNormal="85" workbookViewId="0">
      <selection activeCell="A3" sqref="A3"/>
    </sheetView>
  </sheetViews>
  <sheetFormatPr defaultColWidth="8.88888888888889" defaultRowHeight="13.2"/>
  <cols>
    <col min="1" max="1" width="20.2592592592593" customWidth="1"/>
    <col min="2" max="2" width="12.9351851851852" customWidth="1"/>
    <col min="3" max="3" width="32.4166666666667" customWidth="1"/>
    <col min="4" max="4" width="35.9351851851852" customWidth="1"/>
    <col min="5" max="5" width="12.1388888888889" customWidth="1"/>
    <col min="6" max="6" width="11.4259259259259" customWidth="1"/>
    <col min="7" max="7" width="10" customWidth="1"/>
    <col min="8" max="8" width="8.28703703703704" customWidth="1"/>
    <col min="9" max="9" width="13.287037037037" customWidth="1"/>
    <col min="10" max="10" width="25.6203703703704" customWidth="1"/>
    <col min="11" max="11" width="15.5740740740741" customWidth="1"/>
    <col min="12" max="12" width="25.712962962963" customWidth="1"/>
  </cols>
  <sheetData>
    <row r="1" customFormat="1" ht="15.6" spans="1:12">
      <c r="A1" s="2" t="s">
        <v>411</v>
      </c>
      <c r="B1" s="2"/>
      <c r="C1" s="2"/>
      <c r="D1" s="3"/>
      <c r="E1" s="4"/>
      <c r="F1" s="4"/>
      <c r="G1" s="4"/>
      <c r="H1" s="4"/>
      <c r="I1" s="24"/>
      <c r="J1" s="4"/>
      <c r="K1" s="4"/>
      <c r="L1" s="2"/>
    </row>
    <row r="2" customFormat="1" ht="15.6" spans="1:12">
      <c r="A2" s="3" t="s">
        <v>420</v>
      </c>
      <c r="B2" s="4"/>
      <c r="C2" s="3"/>
      <c r="D2" s="3"/>
      <c r="E2" s="4"/>
      <c r="F2" s="4"/>
      <c r="G2" s="4"/>
      <c r="H2" s="4"/>
      <c r="I2" s="24"/>
      <c r="J2" s="4"/>
      <c r="K2" s="4"/>
      <c r="L2" s="2"/>
    </row>
    <row r="3" customFormat="1" spans="1:11">
      <c r="A3" s="5"/>
      <c r="B3" s="5"/>
      <c r="C3" s="6"/>
      <c r="D3" s="6"/>
      <c r="E3" s="5"/>
      <c r="F3" s="5"/>
      <c r="G3" s="5"/>
      <c r="H3" s="5"/>
      <c r="I3" s="25"/>
      <c r="J3" s="5"/>
      <c r="K3" s="5"/>
    </row>
    <row r="4" customFormat="1" ht="39.6" spans="1:12">
      <c r="A4" s="7" t="s">
        <v>1</v>
      </c>
      <c r="B4" s="8" t="s">
        <v>4</v>
      </c>
      <c r="C4" s="7" t="s">
        <v>10</v>
      </c>
      <c r="D4" s="7" t="s">
        <v>12</v>
      </c>
      <c r="E4" s="8" t="s">
        <v>17</v>
      </c>
      <c r="F4" s="8" t="s">
        <v>22</v>
      </c>
      <c r="G4" s="8" t="s">
        <v>23</v>
      </c>
      <c r="H4" s="8" t="s">
        <v>24</v>
      </c>
      <c r="I4" s="26" t="s">
        <v>25</v>
      </c>
      <c r="J4" s="8" t="s">
        <v>29</v>
      </c>
      <c r="K4" s="8" t="s">
        <v>30</v>
      </c>
      <c r="L4" s="7" t="s">
        <v>31</v>
      </c>
    </row>
    <row r="5" customFormat="1" spans="1:12">
      <c r="A5" s="9" t="s">
        <v>62</v>
      </c>
      <c r="B5" s="9" t="s">
        <v>64</v>
      </c>
      <c r="C5" s="9" t="s">
        <v>67</v>
      </c>
      <c r="D5" s="9" t="s">
        <v>68</v>
      </c>
      <c r="E5" s="10">
        <v>46020</v>
      </c>
      <c r="F5" s="11" t="s">
        <v>52</v>
      </c>
      <c r="G5" s="12" t="s">
        <v>53</v>
      </c>
      <c r="H5" s="12" t="s">
        <v>54</v>
      </c>
      <c r="I5" s="27">
        <v>2300000</v>
      </c>
      <c r="J5" s="9" t="s">
        <v>71</v>
      </c>
      <c r="K5" s="9" t="s">
        <v>72</v>
      </c>
      <c r="L5" s="9" t="s">
        <v>67</v>
      </c>
    </row>
    <row r="6" customFormat="1" spans="1:12">
      <c r="A6" s="9" t="s">
        <v>343</v>
      </c>
      <c r="B6" s="9" t="s">
        <v>345</v>
      </c>
      <c r="C6" s="9" t="s">
        <v>348</v>
      </c>
      <c r="D6" s="9" t="s">
        <v>349</v>
      </c>
      <c r="E6" s="10">
        <v>46020</v>
      </c>
      <c r="F6" s="11" t="s">
        <v>52</v>
      </c>
      <c r="G6" s="12" t="s">
        <v>53</v>
      </c>
      <c r="H6" s="12" t="s">
        <v>54</v>
      </c>
      <c r="I6" s="27">
        <v>3325000</v>
      </c>
      <c r="J6" s="9" t="s">
        <v>71</v>
      </c>
      <c r="K6" s="9" t="s">
        <v>351</v>
      </c>
      <c r="L6" s="9" t="s">
        <v>348</v>
      </c>
    </row>
    <row r="7" customFormat="1" spans="1:12">
      <c r="A7" s="14"/>
      <c r="B7" s="14"/>
      <c r="C7" s="14"/>
      <c r="D7" s="11"/>
      <c r="E7" s="15"/>
      <c r="F7" s="14"/>
      <c r="G7" s="14"/>
      <c r="H7" s="14"/>
      <c r="I7" s="28"/>
      <c r="J7" s="14"/>
      <c r="K7" s="14"/>
      <c r="L7" s="14"/>
    </row>
    <row r="8" customFormat="1" spans="1:12">
      <c r="A8" s="16"/>
      <c r="B8" s="16"/>
      <c r="C8" s="16"/>
      <c r="D8" s="16"/>
      <c r="E8" s="17"/>
      <c r="F8" s="17"/>
      <c r="G8" s="17"/>
      <c r="H8" s="17" t="s">
        <v>413</v>
      </c>
      <c r="I8" s="29">
        <f>SUM(I5:I7)</f>
        <v>5625000</v>
      </c>
      <c r="J8" s="30"/>
      <c r="K8" s="30"/>
      <c r="L8" s="14"/>
    </row>
    <row r="9" customFormat="1" spans="1:12">
      <c r="A9" s="18" t="s">
        <v>421</v>
      </c>
      <c r="B9" s="18"/>
      <c r="C9" s="18"/>
      <c r="D9" s="18"/>
      <c r="E9" s="19"/>
      <c r="F9" s="19"/>
      <c r="G9" s="19"/>
      <c r="H9" s="19"/>
      <c r="I9" s="31"/>
      <c r="J9" s="19"/>
      <c r="K9" s="19"/>
      <c r="L9" s="18"/>
    </row>
    <row r="10" customFormat="1" spans="1:12">
      <c r="A10" s="20"/>
      <c r="B10" s="20"/>
      <c r="C10" s="20"/>
      <c r="D10" s="20"/>
      <c r="E10" s="21"/>
      <c r="F10" s="21"/>
      <c r="G10" s="21"/>
      <c r="H10" s="21"/>
      <c r="I10" s="32"/>
      <c r="J10" s="21"/>
      <c r="K10" s="21"/>
      <c r="L10" s="20"/>
    </row>
    <row r="11" customFormat="1" spans="1:11">
      <c r="A11" s="5"/>
      <c r="B11" s="5"/>
      <c r="C11" s="6"/>
      <c r="D11" s="6"/>
      <c r="E11" s="5"/>
      <c r="F11" s="5"/>
      <c r="G11" s="5"/>
      <c r="H11" s="5"/>
      <c r="I11" s="33" t="s">
        <v>415</v>
      </c>
      <c r="J11" s="33"/>
      <c r="K11" s="33"/>
    </row>
    <row r="12" customFormat="1" spans="1:11">
      <c r="A12" s="5"/>
      <c r="B12" s="5"/>
      <c r="C12" s="6"/>
      <c r="D12" s="6"/>
      <c r="E12" s="5"/>
      <c r="F12" s="5"/>
      <c r="G12" s="5"/>
      <c r="H12" s="5"/>
      <c r="I12" s="25"/>
      <c r="J12" s="5"/>
      <c r="K12" s="5"/>
    </row>
    <row r="13" customFormat="1" spans="1:11">
      <c r="A13" s="5"/>
      <c r="B13" s="5"/>
      <c r="C13" s="22" t="s">
        <v>416</v>
      </c>
      <c r="D13" s="23"/>
      <c r="E13" s="22"/>
      <c r="F13" s="22"/>
      <c r="G13" s="22"/>
      <c r="H13" s="22"/>
      <c r="I13" s="34" t="s">
        <v>417</v>
      </c>
      <c r="J13" s="34"/>
      <c r="K13" s="34"/>
    </row>
    <row r="14" customFormat="1" spans="1:11">
      <c r="A14" s="5"/>
      <c r="B14" s="5"/>
      <c r="C14" s="22" t="s">
        <v>418</v>
      </c>
      <c r="D14" s="23"/>
      <c r="E14" s="22"/>
      <c r="F14" s="22"/>
      <c r="G14" s="22"/>
      <c r="H14" s="22"/>
      <c r="I14" s="35"/>
      <c r="J14" s="22"/>
      <c r="K14" s="22"/>
    </row>
    <row r="15" customFormat="1" spans="1:11">
      <c r="A15" s="5"/>
      <c r="B15" s="5"/>
      <c r="C15" s="22"/>
      <c r="D15" s="23"/>
      <c r="E15" s="22"/>
      <c r="F15" s="22"/>
      <c r="G15" s="22"/>
      <c r="H15" s="22"/>
      <c r="I15" s="35"/>
      <c r="J15" s="22"/>
      <c r="K15" s="22"/>
    </row>
    <row r="16" customFormat="1" spans="1:11">
      <c r="A16" s="5"/>
      <c r="B16" s="5"/>
      <c r="C16" s="23"/>
      <c r="D16" s="23"/>
      <c r="E16" s="22"/>
      <c r="F16" s="22"/>
      <c r="G16" s="22"/>
      <c r="H16" s="22"/>
      <c r="I16" s="35"/>
      <c r="J16" s="22"/>
      <c r="K16" s="22"/>
    </row>
    <row r="17" customFormat="1" spans="1:11">
      <c r="A17" s="5"/>
      <c r="B17" s="5"/>
      <c r="C17" s="23"/>
      <c r="D17" s="23"/>
      <c r="E17" s="22"/>
      <c r="F17" s="22"/>
      <c r="G17" s="22"/>
      <c r="H17" s="22"/>
      <c r="I17" s="35"/>
      <c r="J17" s="22"/>
      <c r="K17" s="22"/>
    </row>
    <row r="18" customFormat="1" spans="1:11">
      <c r="A18" s="5"/>
      <c r="B18" s="5"/>
      <c r="C18" s="23"/>
      <c r="D18" s="23"/>
      <c r="E18" s="22"/>
      <c r="F18" s="22"/>
      <c r="G18" s="22"/>
      <c r="H18" s="22"/>
      <c r="I18" s="35"/>
      <c r="J18" s="22"/>
      <c r="K18" s="22"/>
    </row>
    <row r="19" customFormat="1" spans="1:11">
      <c r="A19" s="5"/>
      <c r="B19" s="5"/>
      <c r="C19" s="23"/>
      <c r="D19" s="23"/>
      <c r="E19" s="22"/>
      <c r="F19" s="22"/>
      <c r="G19" s="22"/>
      <c r="H19" s="22"/>
      <c r="I19" s="35"/>
      <c r="J19" s="22"/>
      <c r="K19" s="22"/>
    </row>
    <row r="20" customFormat="1" spans="1:11">
      <c r="A20" s="5"/>
      <c r="B20" s="5"/>
      <c r="C20" s="22" t="s">
        <v>419</v>
      </c>
      <c r="D20" s="23"/>
      <c r="E20" s="22"/>
      <c r="F20" s="22"/>
      <c r="G20" s="22"/>
      <c r="H20" s="22"/>
      <c r="I20" s="34" t="s">
        <v>225</v>
      </c>
      <c r="J20" s="34"/>
      <c r="K20" s="34"/>
    </row>
    <row r="21" customFormat="1" spans="1:11">
      <c r="A21" s="5"/>
      <c r="B21" s="5"/>
      <c r="C21" s="6"/>
      <c r="D21" s="6"/>
      <c r="E21" s="5"/>
      <c r="F21" s="5"/>
      <c r="G21" s="5"/>
      <c r="H21" s="5"/>
      <c r="I21" s="25"/>
      <c r="J21" s="5"/>
      <c r="K21" s="5"/>
    </row>
  </sheetData>
  <mergeCells count="3">
    <mergeCell ref="I11:K11"/>
    <mergeCell ref="I13:K13"/>
    <mergeCell ref="I20:K20"/>
  </mergeCells>
  <printOptions horizontalCentered="1"/>
  <pageMargins left="0.161111111111111" right="0.161111111111111" top="0.393055555555556" bottom="0.314583333333333" header="0.354166666666667" footer="0.236111111111111"/>
  <pageSetup paperSize="256" scale="62" orientation="landscape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3"/>
  <sheetViews>
    <sheetView zoomScale="85" zoomScaleNormal="85" workbookViewId="0">
      <selection activeCell="A12" sqref="A12"/>
    </sheetView>
  </sheetViews>
  <sheetFormatPr defaultColWidth="8.88888888888889" defaultRowHeight="13.2"/>
  <cols>
    <col min="1" max="1" width="20.2592592592593" customWidth="1"/>
    <col min="2" max="2" width="12.9351851851852" customWidth="1"/>
    <col min="3" max="3" width="28.7592592592593" customWidth="1"/>
    <col min="4" max="4" width="30.4537037037037" customWidth="1"/>
    <col min="5" max="5" width="12.1388888888889" customWidth="1"/>
    <col min="6" max="6" width="11.4259259259259" customWidth="1"/>
    <col min="7" max="7" width="10" customWidth="1"/>
    <col min="8" max="8" width="8.28703703703704" customWidth="1"/>
    <col min="9" max="9" width="13.287037037037" customWidth="1"/>
    <col min="10" max="10" width="26.5555555555556" customWidth="1"/>
    <col min="11" max="11" width="17.5555555555556" customWidth="1"/>
    <col min="12" max="12" width="24.6944444444444" customWidth="1"/>
  </cols>
  <sheetData>
    <row r="1" customFormat="1" ht="15.6" spans="1:12">
      <c r="A1" s="2" t="s">
        <v>411</v>
      </c>
      <c r="B1" s="2"/>
      <c r="C1" s="2"/>
      <c r="D1" s="3"/>
      <c r="E1" s="4"/>
      <c r="F1" s="4"/>
      <c r="G1" s="4"/>
      <c r="H1" s="4"/>
      <c r="I1" s="24"/>
      <c r="J1" s="4"/>
      <c r="K1" s="4"/>
      <c r="L1" s="2"/>
    </row>
    <row r="2" customFormat="1" ht="15.6" spans="1:12">
      <c r="A2" s="3" t="s">
        <v>422</v>
      </c>
      <c r="B2" s="4"/>
      <c r="C2" s="3"/>
      <c r="D2" s="3"/>
      <c r="E2" s="4"/>
      <c r="F2" s="4"/>
      <c r="G2" s="4"/>
      <c r="H2" s="4"/>
      <c r="I2" s="24"/>
      <c r="J2" s="4"/>
      <c r="K2" s="4"/>
      <c r="L2" s="2"/>
    </row>
    <row r="3" customFormat="1" spans="1:11">
      <c r="A3" s="5"/>
      <c r="B3" s="5"/>
      <c r="C3" s="6"/>
      <c r="D3" s="6"/>
      <c r="E3" s="5"/>
      <c r="F3" s="5"/>
      <c r="G3" s="5"/>
      <c r="H3" s="5"/>
      <c r="I3" s="25"/>
      <c r="J3" s="5"/>
      <c r="K3" s="5"/>
    </row>
    <row r="4" customFormat="1" ht="39.6" spans="1:12">
      <c r="A4" s="7" t="s">
        <v>1</v>
      </c>
      <c r="B4" s="8" t="s">
        <v>4</v>
      </c>
      <c r="C4" s="7" t="s">
        <v>10</v>
      </c>
      <c r="D4" s="7" t="s">
        <v>12</v>
      </c>
      <c r="E4" s="8" t="s">
        <v>17</v>
      </c>
      <c r="F4" s="8" t="s">
        <v>22</v>
      </c>
      <c r="G4" s="8" t="s">
        <v>23</v>
      </c>
      <c r="H4" s="8" t="s">
        <v>24</v>
      </c>
      <c r="I4" s="26" t="s">
        <v>25</v>
      </c>
      <c r="J4" s="8" t="s">
        <v>29</v>
      </c>
      <c r="K4" s="8" t="s">
        <v>30</v>
      </c>
      <c r="L4" s="7" t="s">
        <v>31</v>
      </c>
    </row>
    <row r="5" customFormat="1" spans="1:12">
      <c r="A5" s="9" t="s">
        <v>107</v>
      </c>
      <c r="B5" s="9" t="s">
        <v>109</v>
      </c>
      <c r="C5" s="9" t="s">
        <v>112</v>
      </c>
      <c r="D5" s="9" t="s">
        <v>113</v>
      </c>
      <c r="E5" s="10">
        <v>46020</v>
      </c>
      <c r="F5" s="11" t="s">
        <v>52</v>
      </c>
      <c r="G5" s="12" t="s">
        <v>115</v>
      </c>
      <c r="H5" s="12" t="s">
        <v>54</v>
      </c>
      <c r="I5" s="27">
        <v>756050</v>
      </c>
      <c r="J5" s="9" t="s">
        <v>117</v>
      </c>
      <c r="K5" s="9" t="s">
        <v>118</v>
      </c>
      <c r="L5" s="9" t="s">
        <v>112</v>
      </c>
    </row>
    <row r="6" customFormat="1" spans="1:12">
      <c r="A6" s="9" t="s">
        <v>143</v>
      </c>
      <c r="B6" s="9" t="s">
        <v>145</v>
      </c>
      <c r="C6" s="9" t="s">
        <v>148</v>
      </c>
      <c r="D6" s="9" t="s">
        <v>103</v>
      </c>
      <c r="E6" s="10">
        <v>46020</v>
      </c>
      <c r="F6" s="11" t="s">
        <v>52</v>
      </c>
      <c r="G6" s="12" t="s">
        <v>115</v>
      </c>
      <c r="H6" s="12" t="s">
        <v>54</v>
      </c>
      <c r="I6" s="27">
        <v>2200000</v>
      </c>
      <c r="J6" s="9" t="s">
        <v>117</v>
      </c>
      <c r="K6" s="9" t="s">
        <v>149</v>
      </c>
      <c r="L6" s="9" t="s">
        <v>148</v>
      </c>
    </row>
    <row r="7" customFormat="1" spans="1:12">
      <c r="A7" s="9" t="s">
        <v>232</v>
      </c>
      <c r="B7" s="9" t="s">
        <v>234</v>
      </c>
      <c r="C7" s="9" t="s">
        <v>237</v>
      </c>
      <c r="D7" s="9" t="s">
        <v>47</v>
      </c>
      <c r="E7" s="10">
        <v>46020</v>
      </c>
      <c r="F7" s="11" t="s">
        <v>52</v>
      </c>
      <c r="G7" s="12" t="s">
        <v>115</v>
      </c>
      <c r="H7" s="12" t="s">
        <v>54</v>
      </c>
      <c r="I7" s="27">
        <v>850000</v>
      </c>
      <c r="J7" s="9" t="s">
        <v>117</v>
      </c>
      <c r="K7" s="9" t="s">
        <v>238</v>
      </c>
      <c r="L7" s="9" t="s">
        <v>237</v>
      </c>
    </row>
    <row r="8" customFormat="1" spans="1:12">
      <c r="A8" s="9" t="s">
        <v>107</v>
      </c>
      <c r="B8" s="9" t="s">
        <v>109</v>
      </c>
      <c r="C8" s="9" t="s">
        <v>112</v>
      </c>
      <c r="D8" s="9" t="s">
        <v>113</v>
      </c>
      <c r="E8" s="10">
        <v>46020</v>
      </c>
      <c r="F8" s="11" t="s">
        <v>52</v>
      </c>
      <c r="G8" s="12" t="s">
        <v>115</v>
      </c>
      <c r="H8" s="12" t="s">
        <v>54</v>
      </c>
      <c r="I8" s="27">
        <v>1665000</v>
      </c>
      <c r="J8" s="9" t="s">
        <v>117</v>
      </c>
      <c r="K8" s="9" t="s">
        <v>118</v>
      </c>
      <c r="L8" s="9" t="s">
        <v>112</v>
      </c>
    </row>
    <row r="9" customFormat="1" spans="1:12">
      <c r="A9" s="14"/>
      <c r="B9" s="14"/>
      <c r="C9" s="14"/>
      <c r="D9" s="11"/>
      <c r="E9" s="15"/>
      <c r="F9" s="14"/>
      <c r="G9" s="14"/>
      <c r="H9" s="14"/>
      <c r="I9" s="28"/>
      <c r="J9" s="14"/>
      <c r="K9" s="14"/>
      <c r="L9" s="14"/>
    </row>
    <row r="10" customFormat="1" spans="1:12">
      <c r="A10" s="16"/>
      <c r="B10" s="16"/>
      <c r="C10" s="16"/>
      <c r="D10" s="16"/>
      <c r="E10" s="17"/>
      <c r="F10" s="17"/>
      <c r="G10" s="17"/>
      <c r="H10" s="17" t="s">
        <v>413</v>
      </c>
      <c r="I10" s="29">
        <f>SUM(I5:I9)</f>
        <v>5471050</v>
      </c>
      <c r="J10" s="30"/>
      <c r="K10" s="30"/>
      <c r="L10" s="14"/>
    </row>
    <row r="11" customFormat="1" spans="1:12">
      <c r="A11" s="18" t="s">
        <v>423</v>
      </c>
      <c r="B11" s="18"/>
      <c r="C11" s="18"/>
      <c r="D11" s="18"/>
      <c r="E11" s="19"/>
      <c r="F11" s="19"/>
      <c r="G11" s="19"/>
      <c r="H11" s="19"/>
      <c r="I11" s="31"/>
      <c r="J11" s="19"/>
      <c r="K11" s="19"/>
      <c r="L11" s="18"/>
    </row>
    <row r="12" customFormat="1" spans="1:12">
      <c r="A12" s="20"/>
      <c r="B12" s="20"/>
      <c r="C12" s="20"/>
      <c r="D12" s="20"/>
      <c r="E12" s="21"/>
      <c r="F12" s="21"/>
      <c r="G12" s="21"/>
      <c r="H12" s="21"/>
      <c r="I12" s="32"/>
      <c r="J12" s="21"/>
      <c r="K12" s="21"/>
      <c r="L12" s="20"/>
    </row>
    <row r="13" customFormat="1" spans="1:11">
      <c r="A13" s="5"/>
      <c r="B13" s="5"/>
      <c r="C13" s="6"/>
      <c r="D13" s="6"/>
      <c r="E13" s="5"/>
      <c r="F13" s="5"/>
      <c r="G13" s="5"/>
      <c r="H13" s="5"/>
      <c r="I13" s="33" t="s">
        <v>415</v>
      </c>
      <c r="J13" s="33"/>
      <c r="K13" s="33"/>
    </row>
    <row r="14" customFormat="1" spans="1:11">
      <c r="A14" s="5"/>
      <c r="B14" s="5"/>
      <c r="C14" s="6"/>
      <c r="D14" s="6"/>
      <c r="E14" s="5"/>
      <c r="F14" s="5"/>
      <c r="G14" s="5"/>
      <c r="H14" s="5"/>
      <c r="I14" s="25"/>
      <c r="J14" s="5"/>
      <c r="K14" s="5"/>
    </row>
    <row r="15" customFormat="1" spans="1:11">
      <c r="A15" s="5"/>
      <c r="B15" s="5"/>
      <c r="C15" s="22" t="s">
        <v>416</v>
      </c>
      <c r="D15" s="23"/>
      <c r="E15" s="22"/>
      <c r="F15" s="22"/>
      <c r="G15" s="22"/>
      <c r="H15" s="22"/>
      <c r="I15" s="34" t="s">
        <v>417</v>
      </c>
      <c r="J15" s="34"/>
      <c r="K15" s="34"/>
    </row>
    <row r="16" customFormat="1" spans="1:11">
      <c r="A16" s="5"/>
      <c r="B16" s="5"/>
      <c r="C16" s="22" t="s">
        <v>418</v>
      </c>
      <c r="D16" s="23"/>
      <c r="E16" s="22"/>
      <c r="F16" s="22"/>
      <c r="G16" s="22"/>
      <c r="H16" s="22"/>
      <c r="I16" s="35"/>
      <c r="J16" s="22"/>
      <c r="K16" s="22"/>
    </row>
    <row r="17" customFormat="1" spans="1:11">
      <c r="A17" s="5"/>
      <c r="B17" s="5"/>
      <c r="C17" s="22"/>
      <c r="D17" s="23"/>
      <c r="E17" s="22"/>
      <c r="F17" s="22"/>
      <c r="G17" s="22"/>
      <c r="H17" s="22"/>
      <c r="I17" s="35"/>
      <c r="J17" s="22"/>
      <c r="K17" s="22"/>
    </row>
    <row r="18" customFormat="1" spans="1:11">
      <c r="A18" s="5"/>
      <c r="B18" s="5"/>
      <c r="C18" s="23"/>
      <c r="D18" s="23"/>
      <c r="E18" s="22"/>
      <c r="F18" s="22"/>
      <c r="G18" s="22"/>
      <c r="H18" s="22"/>
      <c r="I18" s="35"/>
      <c r="J18" s="22"/>
      <c r="K18" s="22"/>
    </row>
    <row r="19" customFormat="1" spans="1:11">
      <c r="A19" s="5"/>
      <c r="B19" s="5"/>
      <c r="C19" s="23"/>
      <c r="D19" s="23"/>
      <c r="E19" s="22"/>
      <c r="F19" s="22"/>
      <c r="G19" s="22"/>
      <c r="H19" s="22"/>
      <c r="I19" s="35"/>
      <c r="J19" s="22"/>
      <c r="K19" s="22"/>
    </row>
    <row r="20" customFormat="1" spans="1:11">
      <c r="A20" s="5"/>
      <c r="B20" s="5"/>
      <c r="C20" s="23"/>
      <c r="D20" s="23"/>
      <c r="E20" s="22"/>
      <c r="F20" s="22"/>
      <c r="G20" s="22"/>
      <c r="H20" s="22"/>
      <c r="I20" s="35"/>
      <c r="J20" s="22"/>
      <c r="K20" s="22"/>
    </row>
    <row r="21" customFormat="1" spans="1:11">
      <c r="A21" s="5"/>
      <c r="B21" s="5"/>
      <c r="C21" s="23"/>
      <c r="D21" s="23"/>
      <c r="E21" s="22"/>
      <c r="F21" s="22"/>
      <c r="G21" s="22"/>
      <c r="H21" s="22"/>
      <c r="I21" s="35"/>
      <c r="J21" s="22"/>
      <c r="K21" s="22"/>
    </row>
    <row r="22" customFormat="1" spans="1:11">
      <c r="A22" s="5"/>
      <c r="B22" s="5"/>
      <c r="C22" s="22" t="s">
        <v>419</v>
      </c>
      <c r="D22" s="23"/>
      <c r="E22" s="22"/>
      <c r="F22" s="22"/>
      <c r="G22" s="22"/>
      <c r="H22" s="22"/>
      <c r="I22" s="34" t="s">
        <v>225</v>
      </c>
      <c r="J22" s="34"/>
      <c r="K22" s="34"/>
    </row>
    <row r="23" customFormat="1" spans="1:11">
      <c r="A23" s="5"/>
      <c r="B23" s="5"/>
      <c r="C23" s="6"/>
      <c r="D23" s="6"/>
      <c r="E23" s="5"/>
      <c r="F23" s="5"/>
      <c r="G23" s="5"/>
      <c r="H23" s="5"/>
      <c r="I23" s="25"/>
      <c r="J23" s="5"/>
      <c r="K23" s="5"/>
    </row>
  </sheetData>
  <mergeCells count="3">
    <mergeCell ref="I13:K13"/>
    <mergeCell ref="I15:K15"/>
    <mergeCell ref="I22:K22"/>
  </mergeCells>
  <printOptions horizontalCentered="1"/>
  <pageMargins left="0.161111111111111" right="0.161111111111111" top="0.393055555555556" bottom="0.314583333333333" header="0.354166666666667" footer="0.236111111111111"/>
  <pageSetup paperSize="256" scale="64" orientation="landscape" horizont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35"/>
  <sheetViews>
    <sheetView zoomScale="85" zoomScaleNormal="85" workbookViewId="0">
      <selection activeCell="D31" sqref="D31"/>
    </sheetView>
  </sheetViews>
  <sheetFormatPr defaultColWidth="8.88888888888889" defaultRowHeight="13.2"/>
  <cols>
    <col min="1" max="1" width="20.2592592592593" customWidth="1"/>
    <col min="2" max="2" width="12.9351851851852" customWidth="1"/>
    <col min="3" max="3" width="30.3240740740741" customWidth="1"/>
    <col min="4" max="4" width="41.2962962962963" customWidth="1"/>
    <col min="5" max="5" width="12.1388888888889" customWidth="1"/>
    <col min="6" max="6" width="11.4259259259259" customWidth="1"/>
    <col min="7" max="7" width="10" customWidth="1"/>
    <col min="8" max="8" width="8.28703703703704" customWidth="1"/>
    <col min="9" max="9" width="13.287037037037" customWidth="1"/>
    <col min="10" max="10" width="28.1018518518519" customWidth="1"/>
    <col min="11" max="11" width="13.2037037037037" customWidth="1"/>
    <col min="12" max="12" width="26.5277777777778" customWidth="1"/>
  </cols>
  <sheetData>
    <row r="1" customFormat="1" ht="15.6" spans="1:12">
      <c r="A1" s="2" t="s">
        <v>411</v>
      </c>
      <c r="B1" s="2"/>
      <c r="C1" s="2"/>
      <c r="D1" s="3"/>
      <c r="E1" s="4"/>
      <c r="F1" s="4"/>
      <c r="G1" s="4"/>
      <c r="H1" s="4"/>
      <c r="I1" s="24"/>
      <c r="J1" s="4"/>
      <c r="K1" s="4"/>
      <c r="L1" s="2"/>
    </row>
    <row r="2" customFormat="1" ht="15.6" spans="1:12">
      <c r="A2" s="3" t="s">
        <v>424</v>
      </c>
      <c r="B2" s="4"/>
      <c r="C2" s="3"/>
      <c r="D2" s="3"/>
      <c r="E2" s="4"/>
      <c r="F2" s="4"/>
      <c r="G2" s="4"/>
      <c r="H2" s="4"/>
      <c r="I2" s="24"/>
      <c r="J2" s="4"/>
      <c r="K2" s="4"/>
      <c r="L2" s="2"/>
    </row>
    <row r="3" customFormat="1" spans="1:11">
      <c r="A3" s="5"/>
      <c r="B3" s="5"/>
      <c r="C3" s="6"/>
      <c r="D3" s="6"/>
      <c r="E3" s="5"/>
      <c r="F3" s="5"/>
      <c r="G3" s="5"/>
      <c r="H3" s="5"/>
      <c r="I3" s="25"/>
      <c r="J3" s="5"/>
      <c r="K3" s="5"/>
    </row>
    <row r="4" customFormat="1" ht="39.6" spans="1:12">
      <c r="A4" s="7" t="s">
        <v>1</v>
      </c>
      <c r="B4" s="8" t="s">
        <v>4</v>
      </c>
      <c r="C4" s="7" t="s">
        <v>10</v>
      </c>
      <c r="D4" s="7" t="s">
        <v>12</v>
      </c>
      <c r="E4" s="8" t="s">
        <v>17</v>
      </c>
      <c r="F4" s="8" t="s">
        <v>22</v>
      </c>
      <c r="G4" s="8" t="s">
        <v>23</v>
      </c>
      <c r="H4" s="8" t="s">
        <v>24</v>
      </c>
      <c r="I4" s="26" t="s">
        <v>25</v>
      </c>
      <c r="J4" s="8" t="s">
        <v>29</v>
      </c>
      <c r="K4" s="8" t="s">
        <v>30</v>
      </c>
      <c r="L4" s="7" t="s">
        <v>31</v>
      </c>
    </row>
    <row r="5" customFormat="1" spans="1:12">
      <c r="A5" s="9" t="s">
        <v>37</v>
      </c>
      <c r="B5" s="9" t="s">
        <v>40</v>
      </c>
      <c r="C5" s="9" t="s">
        <v>46</v>
      </c>
      <c r="D5" s="9" t="s">
        <v>47</v>
      </c>
      <c r="E5" s="10">
        <v>46020</v>
      </c>
      <c r="F5" s="11" t="s">
        <v>52</v>
      </c>
      <c r="G5" s="12" t="s">
        <v>53</v>
      </c>
      <c r="H5" s="12" t="s">
        <v>54</v>
      </c>
      <c r="I5" s="27">
        <v>3600000</v>
      </c>
      <c r="J5" s="9" t="s">
        <v>57</v>
      </c>
      <c r="K5" s="9" t="s">
        <v>58</v>
      </c>
      <c r="L5" s="9" t="s">
        <v>46</v>
      </c>
    </row>
    <row r="6" customFormat="1" spans="1:12">
      <c r="A6" s="9" t="s">
        <v>75</v>
      </c>
      <c r="B6" s="9" t="s">
        <v>77</v>
      </c>
      <c r="C6" s="9" t="s">
        <v>80</v>
      </c>
      <c r="D6" s="9" t="s">
        <v>81</v>
      </c>
      <c r="E6" s="10">
        <v>46020</v>
      </c>
      <c r="F6" s="11" t="s">
        <v>52</v>
      </c>
      <c r="G6" s="12" t="s">
        <v>53</v>
      </c>
      <c r="H6" s="12" t="s">
        <v>54</v>
      </c>
      <c r="I6" s="27">
        <v>1150000</v>
      </c>
      <c r="J6" s="9" t="s">
        <v>57</v>
      </c>
      <c r="K6" s="9" t="s">
        <v>85</v>
      </c>
      <c r="L6" s="9" t="s">
        <v>80</v>
      </c>
    </row>
    <row r="7" customFormat="1" spans="1:12">
      <c r="A7" s="9" t="s">
        <v>87</v>
      </c>
      <c r="B7" s="9" t="s">
        <v>89</v>
      </c>
      <c r="C7" s="9" t="s">
        <v>92</v>
      </c>
      <c r="D7" s="9" t="s">
        <v>93</v>
      </c>
      <c r="E7" s="10">
        <v>46020</v>
      </c>
      <c r="F7" s="11" t="s">
        <v>52</v>
      </c>
      <c r="G7" s="12" t="s">
        <v>53</v>
      </c>
      <c r="H7" s="12" t="s">
        <v>54</v>
      </c>
      <c r="I7" s="27">
        <v>6373000</v>
      </c>
      <c r="J7" s="9" t="s">
        <v>57</v>
      </c>
      <c r="K7" s="9" t="s">
        <v>95</v>
      </c>
      <c r="L7" s="9" t="s">
        <v>92</v>
      </c>
    </row>
    <row r="8" customFormat="1" spans="1:12">
      <c r="A8" s="9" t="s">
        <v>97</v>
      </c>
      <c r="B8" s="9" t="s">
        <v>99</v>
      </c>
      <c r="C8" s="9" t="s">
        <v>102</v>
      </c>
      <c r="D8" s="9" t="s">
        <v>103</v>
      </c>
      <c r="E8" s="10">
        <v>46020</v>
      </c>
      <c r="F8" s="11" t="s">
        <v>52</v>
      </c>
      <c r="G8" s="12" t="s">
        <v>53</v>
      </c>
      <c r="H8" s="12" t="s">
        <v>54</v>
      </c>
      <c r="I8" s="27">
        <v>2200000</v>
      </c>
      <c r="J8" s="9" t="s">
        <v>57</v>
      </c>
      <c r="K8" s="9" t="s">
        <v>105</v>
      </c>
      <c r="L8" s="9" t="s">
        <v>102</v>
      </c>
    </row>
    <row r="9" s="1" customFormat="1" spans="1:12">
      <c r="A9" s="9" t="s">
        <v>87</v>
      </c>
      <c r="B9" s="9" t="s">
        <v>121</v>
      </c>
      <c r="C9" s="9" t="s">
        <v>92</v>
      </c>
      <c r="D9" s="9" t="s">
        <v>123</v>
      </c>
      <c r="E9" s="10">
        <v>46020</v>
      </c>
      <c r="F9" s="13" t="s">
        <v>52</v>
      </c>
      <c r="G9" s="12" t="s">
        <v>53</v>
      </c>
      <c r="H9" s="12" t="s">
        <v>54</v>
      </c>
      <c r="I9" s="27">
        <v>1800000</v>
      </c>
      <c r="J9" s="9" t="s">
        <v>57</v>
      </c>
      <c r="K9" s="9" t="s">
        <v>95</v>
      </c>
      <c r="L9" s="9" t="s">
        <v>92</v>
      </c>
    </row>
    <row r="10" customFormat="1" spans="1:12">
      <c r="A10" s="9" t="s">
        <v>124</v>
      </c>
      <c r="B10" s="9" t="s">
        <v>126</v>
      </c>
      <c r="C10" s="9" t="s">
        <v>129</v>
      </c>
      <c r="D10" s="9" t="s">
        <v>123</v>
      </c>
      <c r="E10" s="10">
        <v>46020</v>
      </c>
      <c r="F10" s="11" t="s">
        <v>52</v>
      </c>
      <c r="G10" s="12" t="s">
        <v>53</v>
      </c>
      <c r="H10" s="12" t="s">
        <v>54</v>
      </c>
      <c r="I10" s="27">
        <v>6733847</v>
      </c>
      <c r="J10" s="9" t="s">
        <v>57</v>
      </c>
      <c r="K10" s="9" t="s">
        <v>130</v>
      </c>
      <c r="L10" s="9" t="s">
        <v>131</v>
      </c>
    </row>
    <row r="11" customFormat="1" spans="1:12">
      <c r="A11" s="9" t="s">
        <v>133</v>
      </c>
      <c r="B11" s="9" t="s">
        <v>135</v>
      </c>
      <c r="C11" s="9" t="s">
        <v>138</v>
      </c>
      <c r="D11" s="9" t="s">
        <v>139</v>
      </c>
      <c r="E11" s="10">
        <v>46020</v>
      </c>
      <c r="F11" s="11" t="s">
        <v>52</v>
      </c>
      <c r="G11" s="12" t="s">
        <v>53</v>
      </c>
      <c r="H11" s="12" t="s">
        <v>54</v>
      </c>
      <c r="I11" s="27">
        <v>700000</v>
      </c>
      <c r="J11" s="9" t="s">
        <v>57</v>
      </c>
      <c r="K11" s="9" t="s">
        <v>141</v>
      </c>
      <c r="L11" s="9" t="s">
        <v>138</v>
      </c>
    </row>
    <row r="12" customFormat="1" spans="1:12">
      <c r="A12" s="9" t="s">
        <v>174</v>
      </c>
      <c r="B12" s="9" t="s">
        <v>176</v>
      </c>
      <c r="C12" s="9" t="s">
        <v>179</v>
      </c>
      <c r="D12" s="9" t="s">
        <v>157</v>
      </c>
      <c r="E12" s="10">
        <v>46020</v>
      </c>
      <c r="F12" s="11" t="s">
        <v>52</v>
      </c>
      <c r="G12" s="12" t="s">
        <v>53</v>
      </c>
      <c r="H12" s="12" t="s">
        <v>54</v>
      </c>
      <c r="I12" s="27">
        <v>260000</v>
      </c>
      <c r="J12" s="9" t="s">
        <v>57</v>
      </c>
      <c r="K12" s="9" t="s">
        <v>181</v>
      </c>
      <c r="L12" s="9" t="s">
        <v>179</v>
      </c>
    </row>
    <row r="13" customFormat="1" spans="1:12">
      <c r="A13" s="9" t="s">
        <v>97</v>
      </c>
      <c r="B13" s="9" t="s">
        <v>183</v>
      </c>
      <c r="C13" s="9" t="s">
        <v>102</v>
      </c>
      <c r="D13" s="9" t="s">
        <v>47</v>
      </c>
      <c r="E13" s="10">
        <v>46020</v>
      </c>
      <c r="F13" s="11" t="s">
        <v>52</v>
      </c>
      <c r="G13" s="12" t="s">
        <v>53</v>
      </c>
      <c r="H13" s="12" t="s">
        <v>54</v>
      </c>
      <c r="I13" s="27">
        <v>850000</v>
      </c>
      <c r="J13" s="9" t="s">
        <v>57</v>
      </c>
      <c r="K13" s="9" t="s">
        <v>105</v>
      </c>
      <c r="L13" s="9" t="s">
        <v>102</v>
      </c>
    </row>
    <row r="14" customFormat="1" spans="1:12">
      <c r="A14" s="9" t="s">
        <v>220</v>
      </c>
      <c r="B14" s="9" t="s">
        <v>222</v>
      </c>
      <c r="C14" s="9" t="s">
        <v>225</v>
      </c>
      <c r="D14" s="9" t="s">
        <v>47</v>
      </c>
      <c r="E14" s="10">
        <v>46020</v>
      </c>
      <c r="F14" s="11" t="s">
        <v>52</v>
      </c>
      <c r="G14" s="12" t="s">
        <v>53</v>
      </c>
      <c r="H14" s="12" t="s">
        <v>54</v>
      </c>
      <c r="I14" s="27">
        <v>1000000</v>
      </c>
      <c r="J14" s="9" t="s">
        <v>57</v>
      </c>
      <c r="K14" s="9" t="s">
        <v>227</v>
      </c>
      <c r="L14" s="9" t="s">
        <v>225</v>
      </c>
    </row>
    <row r="15" s="1" customFormat="1" spans="1:12">
      <c r="A15" s="9" t="s">
        <v>87</v>
      </c>
      <c r="B15" s="9" t="s">
        <v>229</v>
      </c>
      <c r="C15" s="9" t="s">
        <v>92</v>
      </c>
      <c r="D15" s="9" t="s">
        <v>231</v>
      </c>
      <c r="E15" s="10">
        <v>46020</v>
      </c>
      <c r="F15" s="13" t="s">
        <v>52</v>
      </c>
      <c r="G15" s="12" t="s">
        <v>53</v>
      </c>
      <c r="H15" s="12" t="s">
        <v>54</v>
      </c>
      <c r="I15" s="27">
        <v>2390532</v>
      </c>
      <c r="J15" s="9" t="s">
        <v>57</v>
      </c>
      <c r="K15" s="9" t="s">
        <v>95</v>
      </c>
      <c r="L15" s="9" t="s">
        <v>92</v>
      </c>
    </row>
    <row r="16" customFormat="1" spans="1:12">
      <c r="A16" s="9" t="s">
        <v>251</v>
      </c>
      <c r="B16" s="9" t="s">
        <v>253</v>
      </c>
      <c r="C16" s="9" t="s">
        <v>256</v>
      </c>
      <c r="D16" s="9" t="s">
        <v>231</v>
      </c>
      <c r="E16" s="10">
        <v>46020</v>
      </c>
      <c r="F16" s="11" t="s">
        <v>52</v>
      </c>
      <c r="G16" s="12" t="s">
        <v>53</v>
      </c>
      <c r="H16" s="12" t="s">
        <v>54</v>
      </c>
      <c r="I16" s="27">
        <v>1825000</v>
      </c>
      <c r="J16" s="9" t="s">
        <v>57</v>
      </c>
      <c r="K16" s="9" t="s">
        <v>258</v>
      </c>
      <c r="L16" s="9" t="s">
        <v>256</v>
      </c>
    </row>
    <row r="17" customFormat="1" spans="1:12">
      <c r="A17" s="9" t="s">
        <v>174</v>
      </c>
      <c r="B17" s="9" t="s">
        <v>281</v>
      </c>
      <c r="C17" s="9" t="s">
        <v>179</v>
      </c>
      <c r="D17" s="9" t="s">
        <v>157</v>
      </c>
      <c r="E17" s="10">
        <v>46020</v>
      </c>
      <c r="F17" s="11" t="s">
        <v>52</v>
      </c>
      <c r="G17" s="12" t="s">
        <v>53</v>
      </c>
      <c r="H17" s="12" t="s">
        <v>54</v>
      </c>
      <c r="I17" s="27">
        <v>260000</v>
      </c>
      <c r="J17" s="9" t="s">
        <v>57</v>
      </c>
      <c r="K17" s="9" t="s">
        <v>181</v>
      </c>
      <c r="L17" s="9" t="s">
        <v>179</v>
      </c>
    </row>
    <row r="18" customFormat="1" spans="1:12">
      <c r="A18" s="9" t="s">
        <v>291</v>
      </c>
      <c r="B18" s="9" t="s">
        <v>293</v>
      </c>
      <c r="C18" s="9" t="s">
        <v>296</v>
      </c>
      <c r="D18" s="9" t="s">
        <v>139</v>
      </c>
      <c r="E18" s="10">
        <v>46020</v>
      </c>
      <c r="F18" s="11" t="s">
        <v>52</v>
      </c>
      <c r="G18" s="12" t="s">
        <v>53</v>
      </c>
      <c r="H18" s="12" t="s">
        <v>54</v>
      </c>
      <c r="I18" s="27">
        <v>550000</v>
      </c>
      <c r="J18" s="9" t="s">
        <v>57</v>
      </c>
      <c r="K18" s="9" t="s">
        <v>297</v>
      </c>
      <c r="L18" s="9" t="s">
        <v>296</v>
      </c>
    </row>
    <row r="19" customFormat="1" spans="1:12">
      <c r="A19" s="9" t="s">
        <v>308</v>
      </c>
      <c r="B19" s="9" t="s">
        <v>310</v>
      </c>
      <c r="C19" s="9" t="s">
        <v>313</v>
      </c>
      <c r="D19" s="9" t="s">
        <v>139</v>
      </c>
      <c r="E19" s="10">
        <v>46020</v>
      </c>
      <c r="F19" s="11" t="s">
        <v>52</v>
      </c>
      <c r="G19" s="12" t="s">
        <v>53</v>
      </c>
      <c r="H19" s="12" t="s">
        <v>54</v>
      </c>
      <c r="I19" s="27">
        <v>2175000</v>
      </c>
      <c r="J19" s="9" t="s">
        <v>57</v>
      </c>
      <c r="K19" s="9" t="s">
        <v>315</v>
      </c>
      <c r="L19" s="9" t="s">
        <v>313</v>
      </c>
    </row>
    <row r="20" customFormat="1" spans="1:12">
      <c r="A20" s="9" t="s">
        <v>362</v>
      </c>
      <c r="B20" s="9" t="s">
        <v>364</v>
      </c>
      <c r="C20" s="9" t="s">
        <v>367</v>
      </c>
      <c r="D20" s="9" t="s">
        <v>368</v>
      </c>
      <c r="E20" s="10">
        <v>46020</v>
      </c>
      <c r="F20" s="11" t="s">
        <v>52</v>
      </c>
      <c r="G20" s="12" t="s">
        <v>53</v>
      </c>
      <c r="H20" s="12" t="s">
        <v>54</v>
      </c>
      <c r="I20" s="27">
        <v>400000</v>
      </c>
      <c r="J20" s="9" t="s">
        <v>57</v>
      </c>
      <c r="K20" s="9" t="s">
        <v>370</v>
      </c>
      <c r="L20" s="9" t="s">
        <v>367</v>
      </c>
    </row>
    <row r="21" customFormat="1" spans="1:12">
      <c r="A21" s="14"/>
      <c r="B21" s="14"/>
      <c r="C21" s="14"/>
      <c r="D21" s="11"/>
      <c r="E21" s="15"/>
      <c r="F21" s="14"/>
      <c r="G21" s="14"/>
      <c r="H21" s="14"/>
      <c r="I21" s="28"/>
      <c r="J21" s="14"/>
      <c r="K21" s="14"/>
      <c r="L21" s="14"/>
    </row>
    <row r="22" customFormat="1" spans="1:12">
      <c r="A22" s="16"/>
      <c r="B22" s="16"/>
      <c r="C22" s="16"/>
      <c r="D22" s="16"/>
      <c r="E22" s="17"/>
      <c r="F22" s="17"/>
      <c r="G22" s="17"/>
      <c r="H22" s="17" t="s">
        <v>413</v>
      </c>
      <c r="I22" s="29">
        <f>SUM(I5:I21)</f>
        <v>32267379</v>
      </c>
      <c r="J22" s="30"/>
      <c r="K22" s="30"/>
      <c r="L22" s="14"/>
    </row>
    <row r="23" customFormat="1" spans="1:12">
      <c r="A23" s="18" t="s">
        <v>425</v>
      </c>
      <c r="B23" s="18"/>
      <c r="C23" s="18"/>
      <c r="D23" s="18"/>
      <c r="E23" s="19"/>
      <c r="F23" s="19"/>
      <c r="G23" s="19"/>
      <c r="H23" s="19"/>
      <c r="I23" s="31"/>
      <c r="J23" s="19"/>
      <c r="K23" s="19"/>
      <c r="L23" s="18"/>
    </row>
    <row r="24" customFormat="1" spans="1:12">
      <c r="A24" s="20"/>
      <c r="B24" s="20"/>
      <c r="C24" s="20"/>
      <c r="D24" s="20"/>
      <c r="E24" s="21"/>
      <c r="F24" s="21"/>
      <c r="G24" s="21"/>
      <c r="H24" s="21"/>
      <c r="I24" s="32"/>
      <c r="J24" s="21"/>
      <c r="K24" s="21"/>
      <c r="L24" s="20"/>
    </row>
    <row r="25" customFormat="1" spans="1:11">
      <c r="A25" s="5"/>
      <c r="B25" s="5"/>
      <c r="C25" s="6"/>
      <c r="D25" s="6"/>
      <c r="E25" s="5"/>
      <c r="F25" s="5"/>
      <c r="G25" s="5"/>
      <c r="H25" s="5"/>
      <c r="I25" s="33" t="s">
        <v>415</v>
      </c>
      <c r="J25" s="33"/>
      <c r="K25" s="33"/>
    </row>
    <row r="26" customFormat="1" spans="1:11">
      <c r="A26" s="5"/>
      <c r="B26" s="5"/>
      <c r="C26" s="6"/>
      <c r="D26" s="6"/>
      <c r="E26" s="5"/>
      <c r="F26" s="5"/>
      <c r="G26" s="5"/>
      <c r="H26" s="5"/>
      <c r="I26" s="25"/>
      <c r="J26" s="5"/>
      <c r="K26" s="5"/>
    </row>
    <row r="27" customFormat="1" spans="1:11">
      <c r="A27" s="5"/>
      <c r="B27" s="5"/>
      <c r="C27" s="22" t="s">
        <v>416</v>
      </c>
      <c r="D27" s="23"/>
      <c r="E27" s="22"/>
      <c r="F27" s="22"/>
      <c r="G27" s="22"/>
      <c r="H27" s="22"/>
      <c r="I27" s="34" t="s">
        <v>417</v>
      </c>
      <c r="J27" s="34"/>
      <c r="K27" s="34"/>
    </row>
    <row r="28" customFormat="1" spans="1:11">
      <c r="A28" s="5"/>
      <c r="B28" s="5"/>
      <c r="C28" s="22" t="s">
        <v>418</v>
      </c>
      <c r="D28" s="23"/>
      <c r="E28" s="22"/>
      <c r="F28" s="22"/>
      <c r="G28" s="22"/>
      <c r="H28" s="22"/>
      <c r="I28" s="35"/>
      <c r="J28" s="22"/>
      <c r="K28" s="22"/>
    </row>
    <row r="29" customFormat="1" spans="1:11">
      <c r="A29" s="5"/>
      <c r="B29" s="5"/>
      <c r="C29" s="22"/>
      <c r="D29" s="23"/>
      <c r="E29" s="22"/>
      <c r="F29" s="22"/>
      <c r="G29" s="22"/>
      <c r="H29" s="22"/>
      <c r="I29" s="35"/>
      <c r="J29" s="22"/>
      <c r="K29" s="22"/>
    </row>
    <row r="30" customFormat="1" spans="1:11">
      <c r="A30" s="5"/>
      <c r="B30" s="5"/>
      <c r="C30" s="23"/>
      <c r="D30" s="23"/>
      <c r="E30" s="22"/>
      <c r="F30" s="22"/>
      <c r="G30" s="22"/>
      <c r="H30" s="22"/>
      <c r="I30" s="35"/>
      <c r="J30" s="22"/>
      <c r="K30" s="22"/>
    </row>
    <row r="31" customFormat="1" spans="1:11">
      <c r="A31" s="5"/>
      <c r="B31" s="5"/>
      <c r="C31" s="23"/>
      <c r="D31" s="23"/>
      <c r="E31" s="22"/>
      <c r="F31" s="22"/>
      <c r="G31" s="22"/>
      <c r="H31" s="22"/>
      <c r="I31" s="35"/>
      <c r="J31" s="22"/>
      <c r="K31" s="22"/>
    </row>
    <row r="32" customFormat="1" spans="1:11">
      <c r="A32" s="5"/>
      <c r="B32" s="5"/>
      <c r="C32" s="23"/>
      <c r="D32" s="23"/>
      <c r="E32" s="22"/>
      <c r="F32" s="22"/>
      <c r="G32" s="22"/>
      <c r="H32" s="22"/>
      <c r="I32" s="35"/>
      <c r="J32" s="22"/>
      <c r="K32" s="22"/>
    </row>
    <row r="33" customFormat="1" spans="1:11">
      <c r="A33" s="5"/>
      <c r="B33" s="5"/>
      <c r="C33" s="23"/>
      <c r="D33" s="23"/>
      <c r="E33" s="22"/>
      <c r="F33" s="22"/>
      <c r="G33" s="22"/>
      <c r="H33" s="22"/>
      <c r="I33" s="35"/>
      <c r="J33" s="22"/>
      <c r="K33" s="22"/>
    </row>
    <row r="34" customFormat="1" spans="1:11">
      <c r="A34" s="5"/>
      <c r="B34" s="5"/>
      <c r="C34" s="22" t="s">
        <v>419</v>
      </c>
      <c r="D34" s="23"/>
      <c r="E34" s="22"/>
      <c r="F34" s="22"/>
      <c r="G34" s="22"/>
      <c r="H34" s="22"/>
      <c r="I34" s="34" t="s">
        <v>225</v>
      </c>
      <c r="J34" s="34"/>
      <c r="K34" s="34"/>
    </row>
    <row r="35" customFormat="1" spans="1:11">
      <c r="A35" s="5"/>
      <c r="B35" s="5"/>
      <c r="C35" s="6"/>
      <c r="D35" s="6"/>
      <c r="E35" s="5"/>
      <c r="F35" s="5"/>
      <c r="G35" s="5"/>
      <c r="H35" s="5"/>
      <c r="I35" s="25"/>
      <c r="J35" s="5"/>
      <c r="K35" s="5"/>
    </row>
  </sheetData>
  <mergeCells count="3">
    <mergeCell ref="I25:K25"/>
    <mergeCell ref="I27:K27"/>
    <mergeCell ref="I34:K34"/>
  </mergeCells>
  <printOptions horizontalCentered="1"/>
  <pageMargins left="0.161111111111111" right="0.161111111111111" top="0.393055555555556" bottom="0.314583333333333" header="0.354166666666667" footer="0.236111111111111"/>
  <pageSetup paperSize="256" scale="60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MANDIRI</vt:lpstr>
      <vt:lpstr>BNI</vt:lpstr>
      <vt:lpstr>BRI</vt:lpstr>
      <vt:lpstr>BSI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Armitha Hutami</cp:lastModifiedBy>
  <cp:revision>1</cp:revision>
  <dcterms:created xsi:type="dcterms:W3CDTF">2025-12-19T02:09:05Z</dcterms:created>
  <dcterms:modified xsi:type="dcterms:W3CDTF">2025-12-19T02:26:12Z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1033-12.2.0.23155</vt:lpwstr>
  </property>
  <property fmtid="{D5CDD505-2E9C-101B-9397-08002B2CF9AE}" pid="3" name="ICV">
    <vt:lpwstr>32CDD36698474DF6A3955CE492076C2F_12</vt:lpwstr>
  </property>
</Properties>
</file>