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MANDIRI" sheetId="2" r:id="rId2"/>
    <sheet name="BNI" sheetId="3" r:id="rId3"/>
    <sheet name="BRI" sheetId="4" r:id="rId4"/>
    <sheet name="BSI" sheetId="5" r:id="rId5"/>
  </sheets>
  <definedNames>
    <definedName name="_xlnm._FilterDatabase" localSheetId="0" hidden="1">Sheet1!$A$1:$AJ$31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<sst xmlns="http://schemas.openxmlformats.org/spreadsheetml/2006/main" count="1352" uniqueCount="241">
  <si>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</si>
  <si>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</si>
  <si>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</si>
  <si>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</si>
  <si>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</si>
  <si>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</si>
  <si>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</si>
  <si>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</si>
  <si>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</si>
  <si>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</si>
  <si>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</si>
  <si>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</si>
  <si>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</si>
  <si>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</si>
  <si>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</si>
  <si>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</si>
  <si>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</si>
  <si>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</si>
  <si>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</si>
  <si>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</si>
  <si>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</si>
  <si>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</si>
  <si>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</si>
  <si>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</si>
  <si>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</si>
  <si>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</si>
  <si>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</si>
  <si>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</si>
  <si>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</si>
  <si>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</si>
  <si>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</si>
  <si>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</si>
  <si>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</si>
  <si>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</si>
  <si>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</si>
  <si>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</si>
  <si>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</si>
  <si>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202512160000580839</t>
  </si>
  <si>
    <t>3</t>
  </si>
  <si>
    <t>99160105</t>
  </si>
  <si>
    <t>9916019056</t>
  </si>
  <si>
    <t>7400</t>
  </si>
  <si>
    <t>2600012236</t>
  </si>
  <si>
    <t>2025</t>
  </si>
  <si>
    <t>02</t>
  </si>
  <si>
    <t>299160105</t>
  </si>
  <si>
    <t/>
  </si>
  <si>
    <t>Kota Makassar - Kota Kendari</t>
  </si>
  <si>
    <t>Niaga dan Pemasaran Distribusi</t>
  </si>
  <si>
    <t>7401</t>
  </si>
  <si>
    <t>01</t>
  </si>
  <si>
    <t>1.7.6.2.4</t>
  </si>
  <si>
    <t>VANILLA</t>
  </si>
  <si>
    <t>1000</t>
  </si>
  <si>
    <t>BNI27</t>
  </si>
  <si>
    <t>IDR</t>
  </si>
  <si>
    <t>ID</t>
  </si>
  <si>
    <t>BSI-ID-JKT-0001</t>
  </si>
  <si>
    <t>PT BANK SYARIAH INDONESIA</t>
  </si>
  <si>
    <t>1273266166</t>
  </si>
  <si>
    <t>HANISAH</t>
  </si>
  <si>
    <t>@5B@ - Data berhasil disimpan</t>
  </si>
  <si>
    <t>202512160000580840</t>
  </si>
  <si>
    <t>9916019157</t>
  </si>
  <si>
    <t>2600012257</t>
  </si>
  <si>
    <t>Kota Makassar - Kota Kendari - Kota Makassar</t>
  </si>
  <si>
    <t>Penghapusan Aset Tidak Beroperasi</t>
  </si>
  <si>
    <t>2810101061</t>
  </si>
  <si>
    <t>Ismuhajar Jabal Nur</t>
  </si>
  <si>
    <t>202512160000580851</t>
  </si>
  <si>
    <t>99162707</t>
  </si>
  <si>
    <t>9916019146</t>
  </si>
  <si>
    <t>2600012265</t>
  </si>
  <si>
    <t>299162707</t>
  </si>
  <si>
    <t>Kota Makassar - Jakarta Selatan</t>
  </si>
  <si>
    <t>Tugas belajar</t>
  </si>
  <si>
    <t>7427</t>
  </si>
  <si>
    <t>1.7.5.2.16</t>
  </si>
  <si>
    <t>MD066</t>
  </si>
  <si>
    <t>MDR-ID-JKT-0055</t>
  </si>
  <si>
    <t>Bank Mandiri</t>
  </si>
  <si>
    <t>1260007656191</t>
  </si>
  <si>
    <t>BAYU BASKORO</t>
  </si>
  <si>
    <t>202512160000580853</t>
  </si>
  <si>
    <t>9916019151</t>
  </si>
  <si>
    <t>2600012240</t>
  </si>
  <si>
    <t>Kota Makassar - Kota Palopo</t>
  </si>
  <si>
    <t>1410011188232</t>
  </si>
  <si>
    <t>Dito Adhi Putra</t>
  </si>
  <si>
    <t>202512160000580848</t>
  </si>
  <si>
    <t>9916019153</t>
  </si>
  <si>
    <t>2600012261</t>
  </si>
  <si>
    <t>Jakarta Selatan - Kota Makassar</t>
  </si>
  <si>
    <t>BRI58</t>
  </si>
  <si>
    <t>BRI-ID-JKT-0615</t>
  </si>
  <si>
    <t>BANK RAKYAT INDONESIA</t>
  </si>
  <si>
    <t>154301002755501</t>
  </si>
  <si>
    <t>GALIH RENDRA</t>
  </si>
  <si>
    <t>202512160000580857</t>
  </si>
  <si>
    <t>9916019150</t>
  </si>
  <si>
    <t>2600012239</t>
  </si>
  <si>
    <t>Kota Makassar - Kab. Mamuju</t>
  </si>
  <si>
    <t>1740000141366</t>
  </si>
  <si>
    <t>Ayu Febrina Anggityaningrum</t>
  </si>
  <si>
    <t>202512160000580844</t>
  </si>
  <si>
    <t>99161407</t>
  </si>
  <si>
    <t>9916019122</t>
  </si>
  <si>
    <t>2600012251</t>
  </si>
  <si>
    <t>299161407</t>
  </si>
  <si>
    <t>Kab. Bombana - Kota Kendari</t>
  </si>
  <si>
    <t>Mutasi Jabatan</t>
  </si>
  <si>
    <t>7414</t>
  </si>
  <si>
    <t>7254435338</t>
  </si>
  <si>
    <t>AHMAD AKMAL</t>
  </si>
  <si>
    <t>202512160000580841</t>
  </si>
  <si>
    <t>9916019148</t>
  </si>
  <si>
    <t>2600012237</t>
  </si>
  <si>
    <t>Kota Makassar - Kab. Bulukumba</t>
  </si>
  <si>
    <t>BNI-ID-JKT-0352</t>
  </si>
  <si>
    <t>BANK NEGARA INDONESIA</t>
  </si>
  <si>
    <t>327968346</t>
  </si>
  <si>
    <t>ANDI MUH NURMAARIF NURDIN</t>
  </si>
  <si>
    <t>202512160000580849</t>
  </si>
  <si>
    <t>9916019152</t>
  </si>
  <si>
    <t>2600012241</t>
  </si>
  <si>
    <t>184701003344507</t>
  </si>
  <si>
    <t>ELNY EANANTHA MANGEKA</t>
  </si>
  <si>
    <t>202512160000580859</t>
  </si>
  <si>
    <t>9916019121</t>
  </si>
  <si>
    <t>2600012250</t>
  </si>
  <si>
    <t>Kota Kendari - Kab. Kolaka Utara</t>
  </si>
  <si>
    <t>9000011150647</t>
  </si>
  <si>
    <t>FEIB AKRAM RASIDIN</t>
  </si>
  <si>
    <t>202512160000580858</t>
  </si>
  <si>
    <t>9916019123</t>
  </si>
  <si>
    <t>2600012252</t>
  </si>
  <si>
    <t>Kab. Kolaka - Kab. Konawe</t>
  </si>
  <si>
    <t>9000009061111</t>
  </si>
  <si>
    <t>MUHAMMAD IKHSAN ZULKIFLI</t>
  </si>
  <si>
    <t>202512160000580836</t>
  </si>
  <si>
    <t>2600012242</t>
  </si>
  <si>
    <t>0231719759</t>
  </si>
  <si>
    <t>Nurul Annisa</t>
  </si>
  <si>
    <t>202512160000580845</t>
  </si>
  <si>
    <t>9916019124</t>
  </si>
  <si>
    <t>2600012253</t>
  </si>
  <si>
    <t>Kota Kendari - Kab. Pangkajene Dan Kepulauan</t>
  </si>
  <si>
    <t>033901131920500</t>
  </si>
  <si>
    <t>AURELLIA AFRIANI MOKOAGOW</t>
  </si>
  <si>
    <t>202512160000580856</t>
  </si>
  <si>
    <t>9916019149</t>
  </si>
  <si>
    <t>2600012238</t>
  </si>
  <si>
    <t>1700001055593</t>
  </si>
  <si>
    <t>MELY WULANSARI</t>
  </si>
  <si>
    <t>202512160000580847</t>
  </si>
  <si>
    <t>9916019155</t>
  </si>
  <si>
    <t>2600012244</t>
  </si>
  <si>
    <t>123701005970507</t>
  </si>
  <si>
    <t>STEFANUS CHRISTIAN DWI TIYANTO</t>
  </si>
  <si>
    <t>202512160000580855</t>
  </si>
  <si>
    <t>99160107</t>
  </si>
  <si>
    <t>9916019067</t>
  </si>
  <si>
    <t>2600012256</t>
  </si>
  <si>
    <t>299160107</t>
  </si>
  <si>
    <t>Unit PLN</t>
  </si>
  <si>
    <t>REIMBURSE TIKET AN. EDYANSYAH</t>
  </si>
  <si>
    <t>1620010564130</t>
  </si>
  <si>
    <t>ARJINOFALTIN</t>
  </si>
  <si>
    <t>202512160000580850</t>
  </si>
  <si>
    <t>9916019154</t>
  </si>
  <si>
    <t>2600012243</t>
  </si>
  <si>
    <t>184701004022506</t>
  </si>
  <si>
    <t>Agus Darma Saputra</t>
  </si>
  <si>
    <t>202512160000580843</t>
  </si>
  <si>
    <t>99161907</t>
  </si>
  <si>
    <t>9916019147</t>
  </si>
  <si>
    <t>2600012255</t>
  </si>
  <si>
    <t>299161907</t>
  </si>
  <si>
    <t>Kab. Mamuju - Kota Makassar</t>
  </si>
  <si>
    <t>Orientasi Mutasi Jabatan</t>
  </si>
  <si>
    <t>7419</t>
  </si>
  <si>
    <t>7135438938</t>
  </si>
  <si>
    <t>ZAENAL ABIDIN</t>
  </si>
  <si>
    <t>2600012260</t>
  </si>
  <si>
    <t>202512160000580854</t>
  </si>
  <si>
    <t>9916019156</t>
  </si>
  <si>
    <t>2600012245</t>
  </si>
  <si>
    <t>1540007546553</t>
  </si>
  <si>
    <t>OKTAVIANUS PASOMBA</t>
  </si>
  <si>
    <t>202512160000580846</t>
  </si>
  <si>
    <t>9916019158</t>
  </si>
  <si>
    <t>2600012246</t>
  </si>
  <si>
    <t>Kota Makassar - Kota Baubau</t>
  </si>
  <si>
    <t>123701005419501</t>
  </si>
  <si>
    <t>Sabri Gazali</t>
  </si>
  <si>
    <t>202512160000580852</t>
  </si>
  <si>
    <t>9916019142</t>
  </si>
  <si>
    <t>2600012254</t>
  </si>
  <si>
    <t>Kab. Mamuju - Kota Surabaya</t>
  </si>
  <si>
    <t>Hubungan Industrial</t>
  </si>
  <si>
    <t>1260012446513</t>
  </si>
  <si>
    <t>James Bima Danisswari Putra</t>
  </si>
  <si>
    <t>2600012264</t>
  </si>
  <si>
    <t>9916019066</t>
  </si>
  <si>
    <t>2600012247</t>
  </si>
  <si>
    <t>Kota Makassar - Kendari - Bulukumba</t>
  </si>
  <si>
    <t>REIMBURSE PENGINAPAN &amp; TIKET AN. EDYANSYAH</t>
  </si>
  <si>
    <t>202512160000580837</t>
  </si>
  <si>
    <t>9916019119</t>
  </si>
  <si>
    <t>2600012248</t>
  </si>
  <si>
    <t>Kota Kendari - Kota Baubau</t>
  </si>
  <si>
    <t>0714506006</t>
  </si>
  <si>
    <t>ANDRI AGUSTA</t>
  </si>
  <si>
    <t>202512160000580842</t>
  </si>
  <si>
    <t>2600012263</t>
  </si>
  <si>
    <t>7032207159</t>
  </si>
  <si>
    <t>ROSMALAWATY SATTUANG</t>
  </si>
  <si>
    <t>202512160000580838</t>
  </si>
  <si>
    <t>9916019120</t>
  </si>
  <si>
    <t>2600012249</t>
  </si>
  <si>
    <t>Kab. Kolaka - Kab. Takalar</t>
  </si>
  <si>
    <t>0801463742</t>
  </si>
  <si>
    <t>LAILATUL FAUZIYAH</t>
  </si>
  <si>
    <t>2600012262</t>
  </si>
  <si>
    <t>2600012258</t>
  </si>
  <si>
    <t>2600012259</t>
  </si>
  <si>
    <t>SPPD NON PEGAWAI PLN UID SULSELRABAR</t>
  </si>
  <si>
    <t>BANK MANDIRI</t>
  </si>
  <si>
    <t>TOTAL</t>
  </si>
  <si>
    <t>TERBILANG : LIMA PULUH LIMA JUTA EMPAT RATUS ENAM PULUH DELAPAN RIBU SERATUS DELAPAN PULUH RUPIAH</t>
  </si>
  <si>
    <t>Makassar, 16 Desember 2025</t>
  </si>
  <si>
    <t>SENIOR MANAGER KEUANGAN, KOMUNIKASI</t>
  </si>
  <si>
    <t>PLH MANAGER ASET PROPERTI DAN UMUM</t>
  </si>
  <si>
    <t>DAN UMUM</t>
  </si>
  <si>
    <t>AMBO TUWO</t>
  </si>
  <si>
    <t>BNI</t>
  </si>
  <si>
    <t>TERBILANG : LIMA PULUH TIGA JUTA TUJUH RATUS TUJUH PULUH LIMA RIBU RUPIAH</t>
  </si>
  <si>
    <t>BRI</t>
  </si>
  <si>
    <t>TERBILANG : DUA PULUH EMPAT JUTA TUJUH RATUS SEMBILAN PULUH SATU RIBU LIMA RATUS DELAPAN PULUH RUPIAH</t>
  </si>
  <si>
    <t>BSI</t>
  </si>
  <si>
    <t>TERBILANG : EMPAT PULUH DUA JUTA EMPAT RATUS LIMA PULUH RIBU RUPIAH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</si>
</sst>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_(* #,##0_);_(* \(#,##0\);_(* &quot;-&quot;??_);_(@_)"/>
  </numFmts>
  <fonts count="23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</cellStyleXfs>
  <cellXfs count="41"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181" fontId="0" fillId="0" borderId="1" xfId="1" applyNumberForma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ont="1" applyBorder="1" applyAlignment="1">
      <alignment vertical="top"/>
    </xf>
    <xf numFmtId="58" fontId="0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81" fontId="1" fillId="0" borderId="0" xfId="49" applyNumberFormat="1" applyFont="1" applyAlignment="1">
      <alignment vertical="top"/>
    </xf>
    <xf numFmtId="181" fontId="0" fillId="0" borderId="0" xfId="49" applyNumberFormat="1" applyFont="1" applyAlignment="1">
      <alignment vertical="top"/>
    </xf>
    <xf numFmtId="181" fontId="2" fillId="2" borderId="1" xfId="49" applyNumberFormat="1" applyFont="1" applyFill="1" applyBorder="1" applyAlignment="1">
      <alignment horizontal="center" vertical="center" wrapText="1"/>
    </xf>
    <xf numFmtId="181" fontId="0" fillId="0" borderId="1" xfId="1" applyNumberFormat="1" applyBorder="1" applyAlignment="1">
      <alignment horizontal="right" vertical="top"/>
    </xf>
    <xf numFmtId="41" fontId="0" fillId="0" borderId="1" xfId="4" applyNumberFormat="1" applyFont="1" applyBorder="1" applyAlignment="1">
      <alignment horizontal="right" vertical="top"/>
    </xf>
    <xf numFmtId="181" fontId="2" fillId="0" borderId="1" xfId="49" applyNumberFormat="1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181" fontId="2" fillId="0" borderId="1" xfId="49" applyNumberFormat="1" applyFont="1" applyBorder="1" applyAlignment="1">
      <alignment vertical="center"/>
    </xf>
    <xf numFmtId="181" fontId="2" fillId="0" borderId="0" xfId="49" applyNumberFormat="1" applyFont="1" applyAlignment="1">
      <alignment horizontal="left" vertical="center"/>
    </xf>
    <xf numFmtId="0" fontId="0" fillId="0" borderId="0" xfId="0" applyFont="1" applyAlignment="1">
      <alignment horizontal="center" vertical="top"/>
    </xf>
    <xf numFmtId="181" fontId="2" fillId="0" borderId="0" xfId="49" applyNumberFormat="1" applyFont="1" applyAlignment="1">
      <alignment horizontal="center" vertical="top"/>
    </xf>
    <xf numFmtId="181" fontId="2" fillId="0" borderId="0" xfId="49" applyNumberFormat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81" fontId="0" fillId="0" borderId="0" xfId="0" applyNumberFormat="1" applyAlignment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3"/>
  <sheetViews>
    <sheetView tabSelected="1" zoomScale="85" zoomScaleNormal="85" topLeftCell="P2" workbookViewId="0">
      <selection activeCell="Z34" sqref="Z34"/>
    </sheetView>
  </sheetViews>
  <sheetFormatPr defaultColWidth="9" defaultRowHeight="13.2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15" customWidth="1"/>
    <col min="12" max="12" width="17" customWidth="1"/>
    <col min="13" max="13" width="46" customWidth="1"/>
    <col min="14" max="14" width="44" customWidth="1"/>
    <col min="15" max="16" width="17" customWidth="1"/>
    <col min="17" max="17" width="15" customWidth="1"/>
    <col min="18" max="18" width="23" customWidth="1"/>
    <col min="19" max="19" width="11" customWidth="1"/>
    <col min="20" max="20" width="12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32" customWidth="1"/>
    <col min="33" max="33" width="16" customWidth="1"/>
    <col min="34" max="34" width="22" customWidth="1"/>
    <col min="35" max="35" width="16" customWidth="1"/>
    <col min="36" max="36" width="31" customWidth="1"/>
  </cols>
  <sheetData>
    <row r="1" ht="66" spans="1:36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7" t="s">
        <v>18</v>
      </c>
      <c r="T1" s="36" t="s">
        <v>19</v>
      </c>
      <c r="U1" s="36" t="s">
        <v>20</v>
      </c>
      <c r="V1" s="36" t="s">
        <v>21</v>
      </c>
      <c r="W1" s="37" t="s">
        <v>22</v>
      </c>
      <c r="X1" s="37" t="s">
        <v>23</v>
      </c>
      <c r="Y1" s="36" t="s">
        <v>24</v>
      </c>
      <c r="Z1" s="36" t="s">
        <v>25</v>
      </c>
      <c r="AA1" s="36" t="s">
        <v>26</v>
      </c>
      <c r="AB1" s="37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38">
        <v>46007</v>
      </c>
      <c r="M2" t="s">
        <v>47</v>
      </c>
      <c r="N2" t="s">
        <v>48</v>
      </c>
      <c r="O2" s="38">
        <v>45916</v>
      </c>
      <c r="P2" s="38">
        <v>45918</v>
      </c>
      <c r="Q2" t="s">
        <v>49</v>
      </c>
      <c r="R2" s="38">
        <v>46014</v>
      </c>
      <c r="S2" t="s">
        <v>50</v>
      </c>
      <c r="T2" t="s">
        <v>51</v>
      </c>
      <c r="U2" t="s">
        <v>50</v>
      </c>
      <c r="V2" t="s">
        <v>52</v>
      </c>
      <c r="W2" t="s">
        <v>53</v>
      </c>
      <c r="X2" t="s">
        <v>54</v>
      </c>
      <c r="Y2" t="s">
        <v>55</v>
      </c>
      <c r="Z2" s="39">
        <v>1150000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46</v>
      </c>
      <c r="AH2" t="s">
        <v>46</v>
      </c>
      <c r="AI2" t="s">
        <v>46</v>
      </c>
      <c r="AJ2" t="s">
        <v>61</v>
      </c>
    </row>
    <row r="3" spans="1:36">
      <c r="A3" t="s">
        <v>36</v>
      </c>
      <c r="B3" t="s">
        <v>62</v>
      </c>
      <c r="C3" t="s">
        <v>38</v>
      </c>
      <c r="D3" t="s">
        <v>39</v>
      </c>
      <c r="E3" t="s">
        <v>63</v>
      </c>
      <c r="F3" t="s">
        <v>41</v>
      </c>
      <c r="G3" t="s">
        <v>64</v>
      </c>
      <c r="H3" t="s">
        <v>43</v>
      </c>
      <c r="I3" t="s">
        <v>44</v>
      </c>
      <c r="J3" t="s">
        <v>45</v>
      </c>
      <c r="K3" t="s">
        <v>46</v>
      </c>
      <c r="L3" s="38">
        <v>46007</v>
      </c>
      <c r="M3" t="s">
        <v>65</v>
      </c>
      <c r="N3" t="s">
        <v>66</v>
      </c>
      <c r="O3" s="38">
        <v>45995</v>
      </c>
      <c r="P3" s="38">
        <v>45997</v>
      </c>
      <c r="Q3" t="s">
        <v>49</v>
      </c>
      <c r="R3" s="38">
        <v>46014</v>
      </c>
      <c r="S3" t="s">
        <v>50</v>
      </c>
      <c r="T3" t="s">
        <v>51</v>
      </c>
      <c r="U3" t="s">
        <v>50</v>
      </c>
      <c r="V3" t="s">
        <v>52</v>
      </c>
      <c r="W3" t="s">
        <v>53</v>
      </c>
      <c r="X3" t="s">
        <v>54</v>
      </c>
      <c r="Y3" t="s">
        <v>55</v>
      </c>
      <c r="Z3" s="39">
        <v>1500000</v>
      </c>
      <c r="AA3" t="s">
        <v>55</v>
      </c>
      <c r="AB3" t="s">
        <v>56</v>
      </c>
      <c r="AC3" t="s">
        <v>57</v>
      </c>
      <c r="AD3" t="s">
        <v>58</v>
      </c>
      <c r="AE3" t="s">
        <v>67</v>
      </c>
      <c r="AF3" t="s">
        <v>68</v>
      </c>
      <c r="AG3" t="s">
        <v>46</v>
      </c>
      <c r="AH3" t="s">
        <v>46</v>
      </c>
      <c r="AI3" t="s">
        <v>46</v>
      </c>
      <c r="AJ3" t="s">
        <v>61</v>
      </c>
    </row>
    <row r="4" spans="1:36">
      <c r="A4" t="s">
        <v>36</v>
      </c>
      <c r="B4" t="s">
        <v>69</v>
      </c>
      <c r="C4" t="s">
        <v>38</v>
      </c>
      <c r="D4" t="s">
        <v>70</v>
      </c>
      <c r="E4" t="s">
        <v>71</v>
      </c>
      <c r="F4" t="s">
        <v>41</v>
      </c>
      <c r="G4" t="s">
        <v>72</v>
      </c>
      <c r="H4" t="s">
        <v>43</v>
      </c>
      <c r="I4" t="s">
        <v>44</v>
      </c>
      <c r="J4" t="s">
        <v>73</v>
      </c>
      <c r="K4" t="s">
        <v>46</v>
      </c>
      <c r="L4" s="38">
        <v>46007</v>
      </c>
      <c r="M4" t="s">
        <v>74</v>
      </c>
      <c r="N4" t="s">
        <v>75</v>
      </c>
      <c r="O4" s="38">
        <v>45931</v>
      </c>
      <c r="P4" s="38">
        <v>45936</v>
      </c>
      <c r="Q4" t="s">
        <v>76</v>
      </c>
      <c r="R4" s="38">
        <v>46014</v>
      </c>
      <c r="S4" t="s">
        <v>50</v>
      </c>
      <c r="T4" t="s">
        <v>77</v>
      </c>
      <c r="U4" t="s">
        <v>50</v>
      </c>
      <c r="V4" t="s">
        <v>52</v>
      </c>
      <c r="W4" t="s">
        <v>53</v>
      </c>
      <c r="X4" t="s">
        <v>78</v>
      </c>
      <c r="Y4" t="s">
        <v>55</v>
      </c>
      <c r="Z4" s="39">
        <v>12750000</v>
      </c>
      <c r="AA4" t="s">
        <v>55</v>
      </c>
      <c r="AB4" t="s">
        <v>56</v>
      </c>
      <c r="AC4" t="s">
        <v>79</v>
      </c>
      <c r="AD4" t="s">
        <v>80</v>
      </c>
      <c r="AE4" t="s">
        <v>81</v>
      </c>
      <c r="AF4" t="s">
        <v>82</v>
      </c>
      <c r="AG4" t="s">
        <v>46</v>
      </c>
      <c r="AH4" t="s">
        <v>46</v>
      </c>
      <c r="AI4" t="s">
        <v>46</v>
      </c>
      <c r="AJ4" t="s">
        <v>61</v>
      </c>
    </row>
    <row r="5" spans="1:36">
      <c r="A5" t="s">
        <v>36</v>
      </c>
      <c r="B5" t="s">
        <v>83</v>
      </c>
      <c r="C5" t="s">
        <v>38</v>
      </c>
      <c r="D5" t="s">
        <v>39</v>
      </c>
      <c r="E5" t="s">
        <v>84</v>
      </c>
      <c r="F5" t="s">
        <v>41</v>
      </c>
      <c r="G5" t="s">
        <v>85</v>
      </c>
      <c r="H5" t="s">
        <v>43</v>
      </c>
      <c r="I5" t="s">
        <v>44</v>
      </c>
      <c r="J5" t="s">
        <v>45</v>
      </c>
      <c r="K5" t="s">
        <v>46</v>
      </c>
      <c r="L5" s="38">
        <v>46007</v>
      </c>
      <c r="M5" t="s">
        <v>86</v>
      </c>
      <c r="N5" t="s">
        <v>66</v>
      </c>
      <c r="O5" s="38">
        <v>45994</v>
      </c>
      <c r="P5" s="38">
        <v>45997</v>
      </c>
      <c r="Q5" t="s">
        <v>49</v>
      </c>
      <c r="R5" s="38">
        <v>46014</v>
      </c>
      <c r="S5" t="s">
        <v>50</v>
      </c>
      <c r="T5" t="s">
        <v>51</v>
      </c>
      <c r="U5" t="s">
        <v>50</v>
      </c>
      <c r="V5" t="s">
        <v>52</v>
      </c>
      <c r="W5" t="s">
        <v>53</v>
      </c>
      <c r="X5" t="s">
        <v>78</v>
      </c>
      <c r="Y5" t="s">
        <v>55</v>
      </c>
      <c r="Z5" s="39">
        <v>1900000</v>
      </c>
      <c r="AA5" t="s">
        <v>55</v>
      </c>
      <c r="AB5" t="s">
        <v>56</v>
      </c>
      <c r="AC5" t="s">
        <v>79</v>
      </c>
      <c r="AD5" t="s">
        <v>80</v>
      </c>
      <c r="AE5" t="s">
        <v>87</v>
      </c>
      <c r="AF5" t="s">
        <v>88</v>
      </c>
      <c r="AG5" t="s">
        <v>46</v>
      </c>
      <c r="AH5" t="s">
        <v>46</v>
      </c>
      <c r="AI5" t="s">
        <v>46</v>
      </c>
      <c r="AJ5" t="s">
        <v>61</v>
      </c>
    </row>
    <row r="6" spans="1:36">
      <c r="A6" t="s">
        <v>36</v>
      </c>
      <c r="B6" t="s">
        <v>89</v>
      </c>
      <c r="C6" t="s">
        <v>38</v>
      </c>
      <c r="D6" t="s">
        <v>39</v>
      </c>
      <c r="E6" t="s">
        <v>90</v>
      </c>
      <c r="F6" t="s">
        <v>41</v>
      </c>
      <c r="G6" t="s">
        <v>91</v>
      </c>
      <c r="H6" t="s">
        <v>43</v>
      </c>
      <c r="I6" t="s">
        <v>44</v>
      </c>
      <c r="J6" t="s">
        <v>45</v>
      </c>
      <c r="K6" t="s">
        <v>46</v>
      </c>
      <c r="L6" s="38">
        <v>46007</v>
      </c>
      <c r="M6" t="s">
        <v>92</v>
      </c>
      <c r="N6" t="s">
        <v>66</v>
      </c>
      <c r="O6" s="38">
        <v>45992</v>
      </c>
      <c r="P6" s="38">
        <v>45997</v>
      </c>
      <c r="Q6" t="s">
        <v>49</v>
      </c>
      <c r="R6" s="38">
        <v>46014</v>
      </c>
      <c r="S6" t="s">
        <v>50</v>
      </c>
      <c r="T6" t="s">
        <v>51</v>
      </c>
      <c r="U6" t="s">
        <v>50</v>
      </c>
      <c r="V6" t="s">
        <v>52</v>
      </c>
      <c r="W6" t="s">
        <v>53</v>
      </c>
      <c r="X6" t="s">
        <v>93</v>
      </c>
      <c r="Y6" t="s">
        <v>55</v>
      </c>
      <c r="Z6" s="39">
        <v>1776580</v>
      </c>
      <c r="AA6" t="s">
        <v>55</v>
      </c>
      <c r="AB6" t="s">
        <v>56</v>
      </c>
      <c r="AC6" t="s">
        <v>94</v>
      </c>
      <c r="AD6" t="s">
        <v>95</v>
      </c>
      <c r="AE6" t="s">
        <v>96</v>
      </c>
      <c r="AF6" t="s">
        <v>97</v>
      </c>
      <c r="AG6" t="s">
        <v>46</v>
      </c>
      <c r="AH6" t="s">
        <v>46</v>
      </c>
      <c r="AI6" t="s">
        <v>46</v>
      </c>
      <c r="AJ6" t="s">
        <v>61</v>
      </c>
    </row>
    <row r="7" spans="1:36">
      <c r="A7" t="s">
        <v>36</v>
      </c>
      <c r="B7" t="s">
        <v>98</v>
      </c>
      <c r="C7" t="s">
        <v>38</v>
      </c>
      <c r="D7" t="s">
        <v>39</v>
      </c>
      <c r="E7" t="s">
        <v>99</v>
      </c>
      <c r="F7" t="s">
        <v>41</v>
      </c>
      <c r="G7" t="s">
        <v>100</v>
      </c>
      <c r="H7" t="s">
        <v>43</v>
      </c>
      <c r="I7" t="s">
        <v>44</v>
      </c>
      <c r="J7" t="s">
        <v>45</v>
      </c>
      <c r="K7" t="s">
        <v>46</v>
      </c>
      <c r="L7" s="38">
        <v>46007</v>
      </c>
      <c r="M7" t="s">
        <v>101</v>
      </c>
      <c r="N7" t="s">
        <v>66</v>
      </c>
      <c r="O7" s="38">
        <v>45992</v>
      </c>
      <c r="P7" s="38">
        <v>45996</v>
      </c>
      <c r="Q7" t="s">
        <v>49</v>
      </c>
      <c r="R7" s="38">
        <v>46014</v>
      </c>
      <c r="S7" t="s">
        <v>50</v>
      </c>
      <c r="T7" t="s">
        <v>51</v>
      </c>
      <c r="U7" t="s">
        <v>50</v>
      </c>
      <c r="V7" t="s">
        <v>52</v>
      </c>
      <c r="W7" t="s">
        <v>53</v>
      </c>
      <c r="X7" t="s">
        <v>78</v>
      </c>
      <c r="Y7" t="s">
        <v>55</v>
      </c>
      <c r="Z7" s="39">
        <v>1900000</v>
      </c>
      <c r="AA7" t="s">
        <v>55</v>
      </c>
      <c r="AB7" t="s">
        <v>56</v>
      </c>
      <c r="AC7" t="s">
        <v>79</v>
      </c>
      <c r="AD7" t="s">
        <v>80</v>
      </c>
      <c r="AE7" t="s">
        <v>102</v>
      </c>
      <c r="AF7" t="s">
        <v>103</v>
      </c>
      <c r="AG7" t="s">
        <v>46</v>
      </c>
      <c r="AH7" t="s">
        <v>46</v>
      </c>
      <c r="AI7" t="s">
        <v>46</v>
      </c>
      <c r="AJ7" t="s">
        <v>61</v>
      </c>
    </row>
    <row r="8" spans="1:36">
      <c r="A8" t="s">
        <v>36</v>
      </c>
      <c r="B8" t="s">
        <v>104</v>
      </c>
      <c r="C8" t="s">
        <v>38</v>
      </c>
      <c r="D8" t="s">
        <v>105</v>
      </c>
      <c r="E8" t="s">
        <v>106</v>
      </c>
      <c r="F8" t="s">
        <v>41</v>
      </c>
      <c r="G8" t="s">
        <v>107</v>
      </c>
      <c r="H8" t="s">
        <v>43</v>
      </c>
      <c r="I8" t="s">
        <v>44</v>
      </c>
      <c r="J8" t="s">
        <v>108</v>
      </c>
      <c r="K8" t="s">
        <v>46</v>
      </c>
      <c r="L8" s="38">
        <v>46007</v>
      </c>
      <c r="M8" t="s">
        <v>109</v>
      </c>
      <c r="N8" t="s">
        <v>110</v>
      </c>
      <c r="O8" s="38">
        <v>45936</v>
      </c>
      <c r="P8" s="38">
        <v>45939</v>
      </c>
      <c r="Q8" t="s">
        <v>111</v>
      </c>
      <c r="R8" s="38">
        <v>46014</v>
      </c>
      <c r="S8" t="s">
        <v>50</v>
      </c>
      <c r="T8" t="s">
        <v>77</v>
      </c>
      <c r="U8" t="s">
        <v>50</v>
      </c>
      <c r="V8" t="s">
        <v>52</v>
      </c>
      <c r="W8" t="s">
        <v>53</v>
      </c>
      <c r="X8" t="s">
        <v>54</v>
      </c>
      <c r="Y8" t="s">
        <v>55</v>
      </c>
      <c r="Z8" s="39">
        <v>14900000</v>
      </c>
      <c r="AA8" t="s">
        <v>55</v>
      </c>
      <c r="AB8" t="s">
        <v>56</v>
      </c>
      <c r="AC8" t="s">
        <v>57</v>
      </c>
      <c r="AD8" t="s">
        <v>58</v>
      </c>
      <c r="AE8" t="s">
        <v>112</v>
      </c>
      <c r="AF8" t="s">
        <v>113</v>
      </c>
      <c r="AG8" t="s">
        <v>46</v>
      </c>
      <c r="AH8" t="s">
        <v>46</v>
      </c>
      <c r="AI8" t="s">
        <v>46</v>
      </c>
      <c r="AJ8" t="s">
        <v>61</v>
      </c>
    </row>
    <row r="9" spans="1:36">
      <c r="A9" t="s">
        <v>36</v>
      </c>
      <c r="B9" t="s">
        <v>114</v>
      </c>
      <c r="C9" t="s">
        <v>38</v>
      </c>
      <c r="D9" t="s">
        <v>39</v>
      </c>
      <c r="E9" t="s">
        <v>115</v>
      </c>
      <c r="F9" t="s">
        <v>41</v>
      </c>
      <c r="G9" t="s">
        <v>116</v>
      </c>
      <c r="H9" t="s">
        <v>43</v>
      </c>
      <c r="I9" t="s">
        <v>44</v>
      </c>
      <c r="J9" t="s">
        <v>45</v>
      </c>
      <c r="K9" t="s">
        <v>46</v>
      </c>
      <c r="L9" s="38">
        <v>46007</v>
      </c>
      <c r="M9" t="s">
        <v>117</v>
      </c>
      <c r="N9" t="s">
        <v>66</v>
      </c>
      <c r="O9" s="38">
        <v>45993</v>
      </c>
      <c r="P9" s="38">
        <v>45996</v>
      </c>
      <c r="Q9" t="s">
        <v>49</v>
      </c>
      <c r="R9" s="38">
        <v>46014</v>
      </c>
      <c r="S9" t="s">
        <v>50</v>
      </c>
      <c r="T9" t="s">
        <v>51</v>
      </c>
      <c r="U9" t="s">
        <v>50</v>
      </c>
      <c r="V9" t="s">
        <v>52</v>
      </c>
      <c r="W9" t="s">
        <v>53</v>
      </c>
      <c r="X9" t="s">
        <v>54</v>
      </c>
      <c r="Y9" t="s">
        <v>55</v>
      </c>
      <c r="Z9" s="39">
        <v>1500000</v>
      </c>
      <c r="AA9" t="s">
        <v>55</v>
      </c>
      <c r="AB9" t="s">
        <v>56</v>
      </c>
      <c r="AC9" t="s">
        <v>118</v>
      </c>
      <c r="AD9" t="s">
        <v>119</v>
      </c>
      <c r="AE9" t="s">
        <v>120</v>
      </c>
      <c r="AF9" t="s">
        <v>121</v>
      </c>
      <c r="AG9" t="s">
        <v>46</v>
      </c>
      <c r="AH9" t="s">
        <v>46</v>
      </c>
      <c r="AI9" t="s">
        <v>46</v>
      </c>
      <c r="AJ9" t="s">
        <v>61</v>
      </c>
    </row>
    <row r="10" spans="1:36">
      <c r="A10" t="s">
        <v>36</v>
      </c>
      <c r="B10" t="s">
        <v>122</v>
      </c>
      <c r="C10" t="s">
        <v>38</v>
      </c>
      <c r="D10" t="s">
        <v>39</v>
      </c>
      <c r="E10" t="s">
        <v>123</v>
      </c>
      <c r="F10" t="s">
        <v>41</v>
      </c>
      <c r="G10" t="s">
        <v>124</v>
      </c>
      <c r="H10" t="s">
        <v>43</v>
      </c>
      <c r="I10" t="s">
        <v>44</v>
      </c>
      <c r="J10" t="s">
        <v>45</v>
      </c>
      <c r="K10" t="s">
        <v>46</v>
      </c>
      <c r="L10" s="38">
        <v>46007</v>
      </c>
      <c r="M10" t="s">
        <v>86</v>
      </c>
      <c r="N10" t="s">
        <v>66</v>
      </c>
      <c r="O10" s="38">
        <v>45994</v>
      </c>
      <c r="P10" s="38">
        <v>45997</v>
      </c>
      <c r="Q10" t="s">
        <v>49</v>
      </c>
      <c r="R10" s="38">
        <v>46014</v>
      </c>
      <c r="S10" t="s">
        <v>50</v>
      </c>
      <c r="T10" t="s">
        <v>51</v>
      </c>
      <c r="U10" t="s">
        <v>50</v>
      </c>
      <c r="V10" t="s">
        <v>52</v>
      </c>
      <c r="W10" t="s">
        <v>53</v>
      </c>
      <c r="X10" t="s">
        <v>93</v>
      </c>
      <c r="Y10" t="s">
        <v>55</v>
      </c>
      <c r="Z10" s="39">
        <v>1900000</v>
      </c>
      <c r="AA10" t="s">
        <v>55</v>
      </c>
      <c r="AB10" t="s">
        <v>56</v>
      </c>
      <c r="AC10" t="s">
        <v>94</v>
      </c>
      <c r="AD10" t="s">
        <v>95</v>
      </c>
      <c r="AE10" t="s">
        <v>125</v>
      </c>
      <c r="AF10" t="s">
        <v>126</v>
      </c>
      <c r="AG10" t="s">
        <v>46</v>
      </c>
      <c r="AH10" t="s">
        <v>46</v>
      </c>
      <c r="AI10" t="s">
        <v>46</v>
      </c>
      <c r="AJ10" t="s">
        <v>61</v>
      </c>
    </row>
    <row r="11" spans="1:36">
      <c r="A11" t="s">
        <v>36</v>
      </c>
      <c r="B11" t="s">
        <v>127</v>
      </c>
      <c r="C11" t="s">
        <v>38</v>
      </c>
      <c r="D11" t="s">
        <v>105</v>
      </c>
      <c r="E11" t="s">
        <v>128</v>
      </c>
      <c r="F11" t="s">
        <v>41</v>
      </c>
      <c r="G11" t="s">
        <v>129</v>
      </c>
      <c r="H11" t="s">
        <v>43</v>
      </c>
      <c r="I11" t="s">
        <v>44</v>
      </c>
      <c r="J11" t="s">
        <v>108</v>
      </c>
      <c r="K11" t="s">
        <v>46</v>
      </c>
      <c r="L11" s="38">
        <v>46007</v>
      </c>
      <c r="M11" t="s">
        <v>130</v>
      </c>
      <c r="N11" t="s">
        <v>110</v>
      </c>
      <c r="O11" s="38">
        <v>45936</v>
      </c>
      <c r="P11" s="38">
        <v>45940</v>
      </c>
      <c r="Q11" t="s">
        <v>111</v>
      </c>
      <c r="R11" s="38">
        <v>46014</v>
      </c>
      <c r="S11" t="s">
        <v>50</v>
      </c>
      <c r="T11" t="s">
        <v>77</v>
      </c>
      <c r="U11" t="s">
        <v>50</v>
      </c>
      <c r="V11" t="s">
        <v>52</v>
      </c>
      <c r="W11" t="s">
        <v>53</v>
      </c>
      <c r="X11" t="s">
        <v>78</v>
      </c>
      <c r="Y11" t="s">
        <v>55</v>
      </c>
      <c r="Z11" s="39">
        <v>16725000</v>
      </c>
      <c r="AA11" t="s">
        <v>55</v>
      </c>
      <c r="AB11" t="s">
        <v>56</v>
      </c>
      <c r="AC11" t="s">
        <v>79</v>
      </c>
      <c r="AD11" t="s">
        <v>80</v>
      </c>
      <c r="AE11" t="s">
        <v>131</v>
      </c>
      <c r="AF11" t="s">
        <v>132</v>
      </c>
      <c r="AG11" t="s">
        <v>46</v>
      </c>
      <c r="AH11" t="s">
        <v>46</v>
      </c>
      <c r="AI11" t="s">
        <v>46</v>
      </c>
      <c r="AJ11" t="s">
        <v>61</v>
      </c>
    </row>
    <row r="12" spans="1:36">
      <c r="A12" t="s">
        <v>36</v>
      </c>
      <c r="B12" t="s">
        <v>133</v>
      </c>
      <c r="C12" t="s">
        <v>38</v>
      </c>
      <c r="D12" t="s">
        <v>105</v>
      </c>
      <c r="E12" t="s">
        <v>134</v>
      </c>
      <c r="F12" t="s">
        <v>41</v>
      </c>
      <c r="G12" t="s">
        <v>135</v>
      </c>
      <c r="H12" t="s">
        <v>43</v>
      </c>
      <c r="I12" t="s">
        <v>44</v>
      </c>
      <c r="J12" t="s">
        <v>108</v>
      </c>
      <c r="K12" t="s">
        <v>46</v>
      </c>
      <c r="L12" s="38">
        <v>46007</v>
      </c>
      <c r="M12" t="s">
        <v>136</v>
      </c>
      <c r="N12" t="s">
        <v>110</v>
      </c>
      <c r="O12" s="38">
        <v>45936</v>
      </c>
      <c r="P12" s="38">
        <v>45937</v>
      </c>
      <c r="Q12" t="s">
        <v>111</v>
      </c>
      <c r="R12" s="38">
        <v>46014</v>
      </c>
      <c r="S12" t="s">
        <v>50</v>
      </c>
      <c r="T12" t="s">
        <v>77</v>
      </c>
      <c r="U12" t="s">
        <v>50</v>
      </c>
      <c r="V12" t="s">
        <v>52</v>
      </c>
      <c r="W12" t="s">
        <v>53</v>
      </c>
      <c r="X12" t="s">
        <v>78</v>
      </c>
      <c r="Y12" t="s">
        <v>55</v>
      </c>
      <c r="Z12" s="39">
        <v>11250000</v>
      </c>
      <c r="AA12" t="s">
        <v>55</v>
      </c>
      <c r="AB12" t="s">
        <v>56</v>
      </c>
      <c r="AC12" t="s">
        <v>79</v>
      </c>
      <c r="AD12" t="s">
        <v>80</v>
      </c>
      <c r="AE12" t="s">
        <v>137</v>
      </c>
      <c r="AF12" t="s">
        <v>138</v>
      </c>
      <c r="AG12" t="s">
        <v>46</v>
      </c>
      <c r="AH12" t="s">
        <v>46</v>
      </c>
      <c r="AI12" t="s">
        <v>46</v>
      </c>
      <c r="AJ12" t="s">
        <v>61</v>
      </c>
    </row>
    <row r="13" spans="1:36">
      <c r="A13" t="s">
        <v>36</v>
      </c>
      <c r="B13" t="s">
        <v>139</v>
      </c>
      <c r="C13" t="s">
        <v>38</v>
      </c>
      <c r="D13" t="s">
        <v>39</v>
      </c>
      <c r="E13" t="s">
        <v>90</v>
      </c>
      <c r="F13" t="s">
        <v>41</v>
      </c>
      <c r="G13" t="s">
        <v>140</v>
      </c>
      <c r="H13" t="s">
        <v>43</v>
      </c>
      <c r="I13" t="s">
        <v>44</v>
      </c>
      <c r="J13" t="s">
        <v>45</v>
      </c>
      <c r="K13" t="s">
        <v>46</v>
      </c>
      <c r="L13" s="38">
        <v>46007</v>
      </c>
      <c r="M13" t="s">
        <v>92</v>
      </c>
      <c r="N13" t="s">
        <v>66</v>
      </c>
      <c r="O13" s="38">
        <v>45992</v>
      </c>
      <c r="P13" s="38">
        <v>45997</v>
      </c>
      <c r="Q13" t="s">
        <v>49</v>
      </c>
      <c r="R13" s="38">
        <v>46014</v>
      </c>
      <c r="S13" t="s">
        <v>50</v>
      </c>
      <c r="T13" t="s">
        <v>51</v>
      </c>
      <c r="U13" t="s">
        <v>50</v>
      </c>
      <c r="V13" t="s">
        <v>52</v>
      </c>
      <c r="W13" t="s">
        <v>53</v>
      </c>
      <c r="X13" t="s">
        <v>54</v>
      </c>
      <c r="Y13" t="s">
        <v>55</v>
      </c>
      <c r="Z13" s="39">
        <v>2700000</v>
      </c>
      <c r="AA13" t="s">
        <v>55</v>
      </c>
      <c r="AB13" t="s">
        <v>56</v>
      </c>
      <c r="AC13" t="s">
        <v>118</v>
      </c>
      <c r="AD13" t="s">
        <v>119</v>
      </c>
      <c r="AE13" t="s">
        <v>141</v>
      </c>
      <c r="AF13" t="s">
        <v>142</v>
      </c>
      <c r="AG13" t="s">
        <v>46</v>
      </c>
      <c r="AH13" t="s">
        <v>46</v>
      </c>
      <c r="AI13" t="s">
        <v>46</v>
      </c>
      <c r="AJ13" t="s">
        <v>61</v>
      </c>
    </row>
    <row r="14" spans="1:36">
      <c r="A14" t="s">
        <v>36</v>
      </c>
      <c r="B14" t="s">
        <v>143</v>
      </c>
      <c r="C14" t="s">
        <v>38</v>
      </c>
      <c r="D14" t="s">
        <v>105</v>
      </c>
      <c r="E14" t="s">
        <v>144</v>
      </c>
      <c r="F14" t="s">
        <v>41</v>
      </c>
      <c r="G14" t="s">
        <v>145</v>
      </c>
      <c r="H14" t="s">
        <v>43</v>
      </c>
      <c r="I14" t="s">
        <v>44</v>
      </c>
      <c r="J14" t="s">
        <v>108</v>
      </c>
      <c r="K14" t="s">
        <v>46</v>
      </c>
      <c r="L14" s="38">
        <v>46007</v>
      </c>
      <c r="M14" t="s">
        <v>146</v>
      </c>
      <c r="N14" t="s">
        <v>110</v>
      </c>
      <c r="O14" s="38">
        <v>45937</v>
      </c>
      <c r="P14" s="38">
        <v>45941</v>
      </c>
      <c r="Q14" t="s">
        <v>111</v>
      </c>
      <c r="R14" s="38">
        <v>46014</v>
      </c>
      <c r="S14" t="s">
        <v>50</v>
      </c>
      <c r="T14" t="s">
        <v>77</v>
      </c>
      <c r="U14" t="s">
        <v>50</v>
      </c>
      <c r="V14" t="s">
        <v>52</v>
      </c>
      <c r="W14" t="s">
        <v>53</v>
      </c>
      <c r="X14" t="s">
        <v>93</v>
      </c>
      <c r="Y14" t="s">
        <v>55</v>
      </c>
      <c r="Z14" s="39">
        <v>11675000</v>
      </c>
      <c r="AA14" t="s">
        <v>55</v>
      </c>
      <c r="AB14" t="s">
        <v>56</v>
      </c>
      <c r="AC14" t="s">
        <v>94</v>
      </c>
      <c r="AD14" t="s">
        <v>95</v>
      </c>
      <c r="AE14" t="s">
        <v>147</v>
      </c>
      <c r="AF14" t="s">
        <v>148</v>
      </c>
      <c r="AG14" t="s">
        <v>46</v>
      </c>
      <c r="AH14" t="s">
        <v>46</v>
      </c>
      <c r="AI14" t="s">
        <v>46</v>
      </c>
      <c r="AJ14" t="s">
        <v>61</v>
      </c>
    </row>
    <row r="15" spans="1:36">
      <c r="A15" t="s">
        <v>36</v>
      </c>
      <c r="B15" t="s">
        <v>149</v>
      </c>
      <c r="C15" t="s">
        <v>38</v>
      </c>
      <c r="D15" t="s">
        <v>39</v>
      </c>
      <c r="E15" t="s">
        <v>150</v>
      </c>
      <c r="F15" t="s">
        <v>41</v>
      </c>
      <c r="G15" t="s">
        <v>151</v>
      </c>
      <c r="H15" t="s">
        <v>43</v>
      </c>
      <c r="I15" t="s">
        <v>44</v>
      </c>
      <c r="J15" t="s">
        <v>45</v>
      </c>
      <c r="K15" t="s">
        <v>46</v>
      </c>
      <c r="L15" s="38">
        <v>46007</v>
      </c>
      <c r="M15" t="s">
        <v>101</v>
      </c>
      <c r="N15" t="s">
        <v>66</v>
      </c>
      <c r="O15" s="38">
        <v>45992</v>
      </c>
      <c r="P15" s="38">
        <v>45996</v>
      </c>
      <c r="Q15" t="s">
        <v>49</v>
      </c>
      <c r="R15" s="38">
        <v>46014</v>
      </c>
      <c r="S15" t="s">
        <v>50</v>
      </c>
      <c r="T15" t="s">
        <v>51</v>
      </c>
      <c r="U15" t="s">
        <v>50</v>
      </c>
      <c r="V15" t="s">
        <v>52</v>
      </c>
      <c r="W15" t="s">
        <v>53</v>
      </c>
      <c r="X15" t="s">
        <v>78</v>
      </c>
      <c r="Y15" t="s">
        <v>55</v>
      </c>
      <c r="Z15" s="39">
        <v>1900000</v>
      </c>
      <c r="AA15" t="s">
        <v>55</v>
      </c>
      <c r="AB15" t="s">
        <v>56</v>
      </c>
      <c r="AC15" t="s">
        <v>79</v>
      </c>
      <c r="AD15" t="s">
        <v>80</v>
      </c>
      <c r="AE15" t="s">
        <v>152</v>
      </c>
      <c r="AF15" t="s">
        <v>153</v>
      </c>
      <c r="AG15" t="s">
        <v>46</v>
      </c>
      <c r="AH15" t="s">
        <v>46</v>
      </c>
      <c r="AI15" t="s">
        <v>46</v>
      </c>
      <c r="AJ15" t="s">
        <v>61</v>
      </c>
    </row>
    <row r="16" spans="1:36">
      <c r="A16" t="s">
        <v>36</v>
      </c>
      <c r="B16" t="s">
        <v>154</v>
      </c>
      <c r="C16" t="s">
        <v>38</v>
      </c>
      <c r="D16" t="s">
        <v>39</v>
      </c>
      <c r="E16" t="s">
        <v>155</v>
      </c>
      <c r="F16" t="s">
        <v>41</v>
      </c>
      <c r="G16" t="s">
        <v>156</v>
      </c>
      <c r="H16" t="s">
        <v>43</v>
      </c>
      <c r="I16" t="s">
        <v>44</v>
      </c>
      <c r="J16" t="s">
        <v>45</v>
      </c>
      <c r="K16" t="s">
        <v>46</v>
      </c>
      <c r="L16" s="38">
        <v>46007</v>
      </c>
      <c r="M16" t="s">
        <v>92</v>
      </c>
      <c r="N16" t="s">
        <v>66</v>
      </c>
      <c r="O16" s="38">
        <v>45992</v>
      </c>
      <c r="P16" s="38">
        <v>45997</v>
      </c>
      <c r="Q16" t="s">
        <v>49</v>
      </c>
      <c r="R16" s="38">
        <v>46014</v>
      </c>
      <c r="S16" t="s">
        <v>50</v>
      </c>
      <c r="T16" t="s">
        <v>51</v>
      </c>
      <c r="U16" t="s">
        <v>50</v>
      </c>
      <c r="V16" t="s">
        <v>52</v>
      </c>
      <c r="W16" t="s">
        <v>53</v>
      </c>
      <c r="X16" t="s">
        <v>93</v>
      </c>
      <c r="Y16" t="s">
        <v>55</v>
      </c>
      <c r="Z16" s="39">
        <v>2700000</v>
      </c>
      <c r="AA16" t="s">
        <v>55</v>
      </c>
      <c r="AB16" t="s">
        <v>56</v>
      </c>
      <c r="AC16" t="s">
        <v>94</v>
      </c>
      <c r="AD16" t="s">
        <v>95</v>
      </c>
      <c r="AE16" t="s">
        <v>157</v>
      </c>
      <c r="AF16" t="s">
        <v>158</v>
      </c>
      <c r="AG16" t="s">
        <v>46</v>
      </c>
      <c r="AH16" t="s">
        <v>46</v>
      </c>
      <c r="AI16" t="s">
        <v>46</v>
      </c>
      <c r="AJ16" t="s">
        <v>61</v>
      </c>
    </row>
    <row r="17" spans="1:36">
      <c r="A17" t="s">
        <v>36</v>
      </c>
      <c r="B17" t="s">
        <v>159</v>
      </c>
      <c r="C17" t="s">
        <v>38</v>
      </c>
      <c r="D17" t="s">
        <v>160</v>
      </c>
      <c r="E17" t="s">
        <v>161</v>
      </c>
      <c r="F17" t="s">
        <v>41</v>
      </c>
      <c r="G17" t="s">
        <v>162</v>
      </c>
      <c r="H17" t="s">
        <v>43</v>
      </c>
      <c r="I17" t="s">
        <v>44</v>
      </c>
      <c r="J17" t="s">
        <v>163</v>
      </c>
      <c r="K17" t="s">
        <v>164</v>
      </c>
      <c r="L17" s="38">
        <v>46007</v>
      </c>
      <c r="M17" t="s">
        <v>74</v>
      </c>
      <c r="N17" t="s">
        <v>165</v>
      </c>
      <c r="O17" s="38">
        <v>45951</v>
      </c>
      <c r="P17" s="38">
        <v>45952</v>
      </c>
      <c r="Q17" t="s">
        <v>49</v>
      </c>
      <c r="R17" s="38">
        <v>46014</v>
      </c>
      <c r="S17" t="s">
        <v>50</v>
      </c>
      <c r="T17" t="s">
        <v>51</v>
      </c>
      <c r="U17" t="s">
        <v>50</v>
      </c>
      <c r="V17" t="s">
        <v>52</v>
      </c>
      <c r="W17" t="s">
        <v>53</v>
      </c>
      <c r="X17" t="s">
        <v>78</v>
      </c>
      <c r="Y17" t="s">
        <v>55</v>
      </c>
      <c r="Z17" s="39">
        <v>1813500</v>
      </c>
      <c r="AA17" t="s">
        <v>55</v>
      </c>
      <c r="AB17" t="s">
        <v>56</v>
      </c>
      <c r="AC17" t="s">
        <v>79</v>
      </c>
      <c r="AD17" t="s">
        <v>80</v>
      </c>
      <c r="AE17" t="s">
        <v>166</v>
      </c>
      <c r="AF17" t="s">
        <v>167</v>
      </c>
      <c r="AG17" t="s">
        <v>46</v>
      </c>
      <c r="AH17" t="s">
        <v>46</v>
      </c>
      <c r="AI17" t="s">
        <v>46</v>
      </c>
      <c r="AJ17" t="s">
        <v>61</v>
      </c>
    </row>
    <row r="18" spans="1:36">
      <c r="A18" t="s">
        <v>36</v>
      </c>
      <c r="B18" t="s">
        <v>168</v>
      </c>
      <c r="C18" t="s">
        <v>38</v>
      </c>
      <c r="D18" t="s">
        <v>39</v>
      </c>
      <c r="E18" t="s">
        <v>169</v>
      </c>
      <c r="F18" t="s">
        <v>41</v>
      </c>
      <c r="G18" t="s">
        <v>170</v>
      </c>
      <c r="H18" t="s">
        <v>43</v>
      </c>
      <c r="I18" t="s">
        <v>44</v>
      </c>
      <c r="J18" t="s">
        <v>45</v>
      </c>
      <c r="K18" t="s">
        <v>46</v>
      </c>
      <c r="L18" s="38">
        <v>46007</v>
      </c>
      <c r="M18" t="s">
        <v>92</v>
      </c>
      <c r="N18" t="s">
        <v>66</v>
      </c>
      <c r="O18" s="38">
        <v>45992</v>
      </c>
      <c r="P18" s="38">
        <v>45997</v>
      </c>
      <c r="Q18" t="s">
        <v>49</v>
      </c>
      <c r="R18" s="38">
        <v>46014</v>
      </c>
      <c r="S18" t="s">
        <v>50</v>
      </c>
      <c r="T18" t="s">
        <v>51</v>
      </c>
      <c r="U18" t="s">
        <v>50</v>
      </c>
      <c r="V18" t="s">
        <v>52</v>
      </c>
      <c r="W18" t="s">
        <v>53</v>
      </c>
      <c r="X18" t="s">
        <v>93</v>
      </c>
      <c r="Y18" t="s">
        <v>55</v>
      </c>
      <c r="Z18" s="39">
        <v>2700000</v>
      </c>
      <c r="AA18" t="s">
        <v>55</v>
      </c>
      <c r="AB18" t="s">
        <v>56</v>
      </c>
      <c r="AC18" t="s">
        <v>94</v>
      </c>
      <c r="AD18" t="s">
        <v>95</v>
      </c>
      <c r="AE18" t="s">
        <v>171</v>
      </c>
      <c r="AF18" t="s">
        <v>172</v>
      </c>
      <c r="AG18" t="s">
        <v>46</v>
      </c>
      <c r="AH18" t="s">
        <v>46</v>
      </c>
      <c r="AI18" t="s">
        <v>46</v>
      </c>
      <c r="AJ18" t="s">
        <v>61</v>
      </c>
    </row>
    <row r="19" spans="1:36">
      <c r="A19" t="s">
        <v>36</v>
      </c>
      <c r="B19" t="s">
        <v>173</v>
      </c>
      <c r="C19" t="s">
        <v>38</v>
      </c>
      <c r="D19" t="s">
        <v>174</v>
      </c>
      <c r="E19" t="s">
        <v>175</v>
      </c>
      <c r="F19" t="s">
        <v>41</v>
      </c>
      <c r="G19" t="s">
        <v>176</v>
      </c>
      <c r="H19" t="s">
        <v>43</v>
      </c>
      <c r="I19" t="s">
        <v>44</v>
      </c>
      <c r="J19" t="s">
        <v>177</v>
      </c>
      <c r="K19" t="s">
        <v>46</v>
      </c>
      <c r="L19" s="38">
        <v>46007</v>
      </c>
      <c r="M19" t="s">
        <v>178</v>
      </c>
      <c r="N19" t="s">
        <v>179</v>
      </c>
      <c r="O19" s="38">
        <v>45977</v>
      </c>
      <c r="P19" s="38">
        <v>45982</v>
      </c>
      <c r="Q19" t="s">
        <v>180</v>
      </c>
      <c r="R19" s="38">
        <v>46014</v>
      </c>
      <c r="S19" t="s">
        <v>50</v>
      </c>
      <c r="T19" t="s">
        <v>77</v>
      </c>
      <c r="U19" t="s">
        <v>50</v>
      </c>
      <c r="V19" t="s">
        <v>52</v>
      </c>
      <c r="W19" t="s">
        <v>53</v>
      </c>
      <c r="X19" t="s">
        <v>54</v>
      </c>
      <c r="Y19" t="s">
        <v>55</v>
      </c>
      <c r="Z19" s="39">
        <v>16800000</v>
      </c>
      <c r="AA19" t="s">
        <v>55</v>
      </c>
      <c r="AB19" t="s">
        <v>56</v>
      </c>
      <c r="AC19" t="s">
        <v>57</v>
      </c>
      <c r="AD19" t="s">
        <v>58</v>
      </c>
      <c r="AE19" t="s">
        <v>181</v>
      </c>
      <c r="AF19" t="s">
        <v>182</v>
      </c>
      <c r="AG19" t="s">
        <v>46</v>
      </c>
      <c r="AH19" t="s">
        <v>46</v>
      </c>
      <c r="AI19" t="s">
        <v>46</v>
      </c>
      <c r="AJ19" t="s">
        <v>61</v>
      </c>
    </row>
    <row r="20" spans="1:36">
      <c r="A20" t="s">
        <v>36</v>
      </c>
      <c r="B20" t="s">
        <v>89</v>
      </c>
      <c r="C20" t="s">
        <v>38</v>
      </c>
      <c r="D20" t="s">
        <v>39</v>
      </c>
      <c r="E20" t="s">
        <v>123</v>
      </c>
      <c r="F20" t="s">
        <v>41</v>
      </c>
      <c r="G20" t="s">
        <v>183</v>
      </c>
      <c r="H20" t="s">
        <v>43</v>
      </c>
      <c r="I20" t="s">
        <v>44</v>
      </c>
      <c r="J20" t="s">
        <v>45</v>
      </c>
      <c r="K20" t="s">
        <v>46</v>
      </c>
      <c r="L20" s="38">
        <v>46007</v>
      </c>
      <c r="M20" t="s">
        <v>86</v>
      </c>
      <c r="N20" t="s">
        <v>66</v>
      </c>
      <c r="O20" s="38">
        <v>45994</v>
      </c>
      <c r="P20" s="38">
        <v>45997</v>
      </c>
      <c r="Q20" t="s">
        <v>49</v>
      </c>
      <c r="R20" s="38">
        <v>46014</v>
      </c>
      <c r="S20" t="s">
        <v>50</v>
      </c>
      <c r="T20" t="s">
        <v>51</v>
      </c>
      <c r="U20" t="s">
        <v>50</v>
      </c>
      <c r="V20" t="s">
        <v>52</v>
      </c>
      <c r="W20" t="s">
        <v>53</v>
      </c>
      <c r="X20" t="s">
        <v>93</v>
      </c>
      <c r="Y20" t="s">
        <v>55</v>
      </c>
      <c r="Z20" s="39">
        <v>379000</v>
      </c>
      <c r="AA20" t="s">
        <v>55</v>
      </c>
      <c r="AB20" t="s">
        <v>56</v>
      </c>
      <c r="AC20" t="s">
        <v>94</v>
      </c>
      <c r="AD20" t="s">
        <v>95</v>
      </c>
      <c r="AE20" t="s">
        <v>96</v>
      </c>
      <c r="AF20" t="s">
        <v>97</v>
      </c>
      <c r="AG20" t="s">
        <v>46</v>
      </c>
      <c r="AH20" t="s">
        <v>46</v>
      </c>
      <c r="AI20" t="s">
        <v>46</v>
      </c>
      <c r="AJ20" t="s">
        <v>61</v>
      </c>
    </row>
    <row r="21" spans="1:36">
      <c r="A21" t="s">
        <v>36</v>
      </c>
      <c r="B21" t="s">
        <v>184</v>
      </c>
      <c r="C21" t="s">
        <v>38</v>
      </c>
      <c r="D21" t="s">
        <v>39</v>
      </c>
      <c r="E21" t="s">
        <v>185</v>
      </c>
      <c r="F21" t="s">
        <v>41</v>
      </c>
      <c r="G21" t="s">
        <v>186</v>
      </c>
      <c r="H21" t="s">
        <v>43</v>
      </c>
      <c r="I21" t="s">
        <v>44</v>
      </c>
      <c r="J21" t="s">
        <v>45</v>
      </c>
      <c r="K21" t="s">
        <v>46</v>
      </c>
      <c r="L21" s="38">
        <v>46007</v>
      </c>
      <c r="M21" t="s">
        <v>117</v>
      </c>
      <c r="N21" t="s">
        <v>66</v>
      </c>
      <c r="O21" s="38">
        <v>45993</v>
      </c>
      <c r="P21" s="38">
        <v>45996</v>
      </c>
      <c r="Q21" t="s">
        <v>49</v>
      </c>
      <c r="R21" s="38">
        <v>46014</v>
      </c>
      <c r="S21" t="s">
        <v>50</v>
      </c>
      <c r="T21" t="s">
        <v>51</v>
      </c>
      <c r="U21" t="s">
        <v>50</v>
      </c>
      <c r="V21" t="s">
        <v>52</v>
      </c>
      <c r="W21" t="s">
        <v>53</v>
      </c>
      <c r="X21" t="s">
        <v>78</v>
      </c>
      <c r="Y21" t="s">
        <v>55</v>
      </c>
      <c r="Z21" s="39">
        <v>1700000</v>
      </c>
      <c r="AA21" t="s">
        <v>55</v>
      </c>
      <c r="AB21" t="s">
        <v>56</v>
      </c>
      <c r="AC21" t="s">
        <v>79</v>
      </c>
      <c r="AD21" t="s">
        <v>80</v>
      </c>
      <c r="AE21" t="s">
        <v>187</v>
      </c>
      <c r="AF21" t="s">
        <v>188</v>
      </c>
      <c r="AG21" t="s">
        <v>46</v>
      </c>
      <c r="AH21" t="s">
        <v>46</v>
      </c>
      <c r="AI21" t="s">
        <v>46</v>
      </c>
      <c r="AJ21" t="s">
        <v>61</v>
      </c>
    </row>
    <row r="22" spans="1:36">
      <c r="A22" t="s">
        <v>36</v>
      </c>
      <c r="B22" t="s">
        <v>189</v>
      </c>
      <c r="C22" t="s">
        <v>38</v>
      </c>
      <c r="D22" t="s">
        <v>39</v>
      </c>
      <c r="E22" t="s">
        <v>190</v>
      </c>
      <c r="F22" t="s">
        <v>41</v>
      </c>
      <c r="G22" t="s">
        <v>191</v>
      </c>
      <c r="H22" t="s">
        <v>43</v>
      </c>
      <c r="I22" t="s">
        <v>44</v>
      </c>
      <c r="J22" t="s">
        <v>45</v>
      </c>
      <c r="K22" t="s">
        <v>46</v>
      </c>
      <c r="L22" s="38">
        <v>46007</v>
      </c>
      <c r="M22" t="s">
        <v>192</v>
      </c>
      <c r="N22" t="s">
        <v>66</v>
      </c>
      <c r="O22" s="38">
        <v>45993</v>
      </c>
      <c r="P22" s="38">
        <v>45997</v>
      </c>
      <c r="Q22" t="s">
        <v>49</v>
      </c>
      <c r="R22" s="38">
        <v>46014</v>
      </c>
      <c r="S22" t="s">
        <v>50</v>
      </c>
      <c r="T22" t="s">
        <v>51</v>
      </c>
      <c r="U22" t="s">
        <v>50</v>
      </c>
      <c r="V22" t="s">
        <v>52</v>
      </c>
      <c r="W22" t="s">
        <v>53</v>
      </c>
      <c r="X22" t="s">
        <v>93</v>
      </c>
      <c r="Y22" t="s">
        <v>55</v>
      </c>
      <c r="Z22" s="39">
        <v>2300000</v>
      </c>
      <c r="AA22" t="s">
        <v>55</v>
      </c>
      <c r="AB22" t="s">
        <v>56</v>
      </c>
      <c r="AC22" t="s">
        <v>94</v>
      </c>
      <c r="AD22" t="s">
        <v>95</v>
      </c>
      <c r="AE22" t="s">
        <v>193</v>
      </c>
      <c r="AF22" t="s">
        <v>194</v>
      </c>
      <c r="AG22" t="s">
        <v>46</v>
      </c>
      <c r="AH22" t="s">
        <v>46</v>
      </c>
      <c r="AI22" t="s">
        <v>46</v>
      </c>
      <c r="AJ22" t="s">
        <v>61</v>
      </c>
    </row>
    <row r="23" spans="1:36">
      <c r="A23" t="s">
        <v>36</v>
      </c>
      <c r="B23" t="s">
        <v>195</v>
      </c>
      <c r="C23" t="s">
        <v>38</v>
      </c>
      <c r="D23" t="s">
        <v>174</v>
      </c>
      <c r="E23" t="s">
        <v>196</v>
      </c>
      <c r="F23" t="s">
        <v>41</v>
      </c>
      <c r="G23" t="s">
        <v>197</v>
      </c>
      <c r="H23" t="s">
        <v>43</v>
      </c>
      <c r="I23" t="s">
        <v>44</v>
      </c>
      <c r="J23" t="s">
        <v>177</v>
      </c>
      <c r="K23" t="s">
        <v>46</v>
      </c>
      <c r="L23" s="38">
        <v>46007</v>
      </c>
      <c r="M23" t="s">
        <v>198</v>
      </c>
      <c r="N23" t="s">
        <v>199</v>
      </c>
      <c r="O23" s="38">
        <v>45913</v>
      </c>
      <c r="P23" s="38">
        <v>45927</v>
      </c>
      <c r="Q23" t="s">
        <v>180</v>
      </c>
      <c r="R23" s="38">
        <v>46014</v>
      </c>
      <c r="S23" t="s">
        <v>50</v>
      </c>
      <c r="T23" t="s">
        <v>51</v>
      </c>
      <c r="U23" t="s">
        <v>50</v>
      </c>
      <c r="V23" t="s">
        <v>52</v>
      </c>
      <c r="W23" t="s">
        <v>53</v>
      </c>
      <c r="X23" t="s">
        <v>78</v>
      </c>
      <c r="Y23" t="s">
        <v>55</v>
      </c>
      <c r="Z23" s="39">
        <v>2361200</v>
      </c>
      <c r="AA23" t="s">
        <v>55</v>
      </c>
      <c r="AB23" t="s">
        <v>56</v>
      </c>
      <c r="AC23" t="s">
        <v>79</v>
      </c>
      <c r="AD23" t="s">
        <v>80</v>
      </c>
      <c r="AE23" t="s">
        <v>200</v>
      </c>
      <c r="AF23" t="s">
        <v>201</v>
      </c>
      <c r="AG23" t="s">
        <v>46</v>
      </c>
      <c r="AH23" t="s">
        <v>46</v>
      </c>
      <c r="AI23" t="s">
        <v>46</v>
      </c>
      <c r="AJ23" t="s">
        <v>61</v>
      </c>
    </row>
    <row r="24" spans="1:36">
      <c r="A24" t="s">
        <v>36</v>
      </c>
      <c r="B24" t="s">
        <v>89</v>
      </c>
      <c r="C24" t="s">
        <v>38</v>
      </c>
      <c r="D24" t="s">
        <v>39</v>
      </c>
      <c r="E24" t="s">
        <v>190</v>
      </c>
      <c r="F24" t="s">
        <v>41</v>
      </c>
      <c r="G24" t="s">
        <v>202</v>
      </c>
      <c r="H24" t="s">
        <v>43</v>
      </c>
      <c r="I24" t="s">
        <v>44</v>
      </c>
      <c r="J24" t="s">
        <v>45</v>
      </c>
      <c r="K24" t="s">
        <v>46</v>
      </c>
      <c r="L24" s="38">
        <v>46007</v>
      </c>
      <c r="M24" t="s">
        <v>192</v>
      </c>
      <c r="N24" t="s">
        <v>66</v>
      </c>
      <c r="O24" s="38">
        <v>45993</v>
      </c>
      <c r="P24" s="38">
        <v>45997</v>
      </c>
      <c r="Q24" t="s">
        <v>49</v>
      </c>
      <c r="R24" s="38">
        <v>46014</v>
      </c>
      <c r="S24" t="s">
        <v>50</v>
      </c>
      <c r="T24" t="s">
        <v>51</v>
      </c>
      <c r="U24" t="s">
        <v>50</v>
      </c>
      <c r="V24" t="s">
        <v>52</v>
      </c>
      <c r="W24" t="s">
        <v>53</v>
      </c>
      <c r="X24" t="s">
        <v>93</v>
      </c>
      <c r="Y24" t="s">
        <v>55</v>
      </c>
      <c r="Z24" s="39">
        <v>982000</v>
      </c>
      <c r="AA24" t="s">
        <v>55</v>
      </c>
      <c r="AB24" t="s">
        <v>56</v>
      </c>
      <c r="AC24" t="s">
        <v>94</v>
      </c>
      <c r="AD24" t="s">
        <v>95</v>
      </c>
      <c r="AE24" t="s">
        <v>96</v>
      </c>
      <c r="AF24" t="s">
        <v>97</v>
      </c>
      <c r="AG24" t="s">
        <v>46</v>
      </c>
      <c r="AH24" t="s">
        <v>46</v>
      </c>
      <c r="AI24" t="s">
        <v>46</v>
      </c>
      <c r="AJ24" t="s">
        <v>61</v>
      </c>
    </row>
    <row r="25" spans="1:36">
      <c r="A25" t="s">
        <v>36</v>
      </c>
      <c r="B25" t="s">
        <v>159</v>
      </c>
      <c r="C25" t="s">
        <v>38</v>
      </c>
      <c r="D25" t="s">
        <v>160</v>
      </c>
      <c r="E25" t="s">
        <v>203</v>
      </c>
      <c r="F25" t="s">
        <v>41</v>
      </c>
      <c r="G25" t="s">
        <v>204</v>
      </c>
      <c r="H25" t="s">
        <v>43</v>
      </c>
      <c r="I25" t="s">
        <v>44</v>
      </c>
      <c r="J25" t="s">
        <v>163</v>
      </c>
      <c r="K25" t="s">
        <v>164</v>
      </c>
      <c r="L25" s="38">
        <v>46007</v>
      </c>
      <c r="M25" t="s">
        <v>205</v>
      </c>
      <c r="N25" t="s">
        <v>206</v>
      </c>
      <c r="O25" s="38">
        <v>45967</v>
      </c>
      <c r="P25" s="38">
        <v>45969</v>
      </c>
      <c r="Q25" t="s">
        <v>49</v>
      </c>
      <c r="R25" s="38">
        <v>46014</v>
      </c>
      <c r="S25" t="s">
        <v>50</v>
      </c>
      <c r="T25" t="s">
        <v>51</v>
      </c>
      <c r="U25" t="s">
        <v>50</v>
      </c>
      <c r="V25" t="s">
        <v>52</v>
      </c>
      <c r="W25" t="s">
        <v>53</v>
      </c>
      <c r="X25" t="s">
        <v>78</v>
      </c>
      <c r="Y25" t="s">
        <v>55</v>
      </c>
      <c r="Z25" s="39">
        <v>3168480</v>
      </c>
      <c r="AA25" t="s">
        <v>55</v>
      </c>
      <c r="AB25" t="s">
        <v>56</v>
      </c>
      <c r="AC25" t="s">
        <v>79</v>
      </c>
      <c r="AD25" t="s">
        <v>80</v>
      </c>
      <c r="AE25" t="s">
        <v>166</v>
      </c>
      <c r="AF25" t="s">
        <v>167</v>
      </c>
      <c r="AG25" t="s">
        <v>46</v>
      </c>
      <c r="AH25" t="s">
        <v>46</v>
      </c>
      <c r="AI25" t="s">
        <v>46</v>
      </c>
      <c r="AJ25" t="s">
        <v>61</v>
      </c>
    </row>
    <row r="26" spans="1:36">
      <c r="A26" t="s">
        <v>36</v>
      </c>
      <c r="B26" t="s">
        <v>207</v>
      </c>
      <c r="C26" t="s">
        <v>38</v>
      </c>
      <c r="D26" t="s">
        <v>105</v>
      </c>
      <c r="E26" t="s">
        <v>208</v>
      </c>
      <c r="F26" t="s">
        <v>41</v>
      </c>
      <c r="G26" t="s">
        <v>209</v>
      </c>
      <c r="H26" t="s">
        <v>43</v>
      </c>
      <c r="I26" t="s">
        <v>44</v>
      </c>
      <c r="J26" t="s">
        <v>108</v>
      </c>
      <c r="K26" t="s">
        <v>46</v>
      </c>
      <c r="L26" s="38">
        <v>46007</v>
      </c>
      <c r="M26" t="s">
        <v>210</v>
      </c>
      <c r="N26" t="s">
        <v>110</v>
      </c>
      <c r="O26" s="38">
        <v>45950</v>
      </c>
      <c r="P26" s="38">
        <v>45953</v>
      </c>
      <c r="Q26" t="s">
        <v>111</v>
      </c>
      <c r="R26" s="38">
        <v>46014</v>
      </c>
      <c r="S26" t="s">
        <v>50</v>
      </c>
      <c r="T26" t="s">
        <v>77</v>
      </c>
      <c r="U26" t="s">
        <v>50</v>
      </c>
      <c r="V26" t="s">
        <v>52</v>
      </c>
      <c r="W26" t="s">
        <v>53</v>
      </c>
      <c r="X26" t="s">
        <v>54</v>
      </c>
      <c r="Y26" t="s">
        <v>55</v>
      </c>
      <c r="Z26" s="39">
        <v>36650000</v>
      </c>
      <c r="AA26" t="s">
        <v>55</v>
      </c>
      <c r="AB26" t="s">
        <v>56</v>
      </c>
      <c r="AC26" t="s">
        <v>118</v>
      </c>
      <c r="AD26" t="s">
        <v>119</v>
      </c>
      <c r="AE26" t="s">
        <v>211</v>
      </c>
      <c r="AF26" t="s">
        <v>212</v>
      </c>
      <c r="AG26" t="s">
        <v>46</v>
      </c>
      <c r="AH26" t="s">
        <v>46</v>
      </c>
      <c r="AI26" t="s">
        <v>46</v>
      </c>
      <c r="AJ26" t="s">
        <v>61</v>
      </c>
    </row>
    <row r="27" spans="1:36">
      <c r="A27" t="s">
        <v>36</v>
      </c>
      <c r="B27" t="s">
        <v>213</v>
      </c>
      <c r="C27" t="s">
        <v>38</v>
      </c>
      <c r="D27" t="s">
        <v>39</v>
      </c>
      <c r="E27" t="s">
        <v>185</v>
      </c>
      <c r="F27" t="s">
        <v>41</v>
      </c>
      <c r="G27" t="s">
        <v>214</v>
      </c>
      <c r="H27" t="s">
        <v>43</v>
      </c>
      <c r="I27" t="s">
        <v>44</v>
      </c>
      <c r="J27" t="s">
        <v>45</v>
      </c>
      <c r="K27" t="s">
        <v>46</v>
      </c>
      <c r="L27" s="38">
        <v>46007</v>
      </c>
      <c r="M27" t="s">
        <v>117</v>
      </c>
      <c r="N27" t="s">
        <v>66</v>
      </c>
      <c r="O27" s="38">
        <v>45993</v>
      </c>
      <c r="P27" s="38">
        <v>45996</v>
      </c>
      <c r="Q27" t="s">
        <v>49</v>
      </c>
      <c r="R27" s="38">
        <v>46014</v>
      </c>
      <c r="S27" t="s">
        <v>50</v>
      </c>
      <c r="T27" t="s">
        <v>51</v>
      </c>
      <c r="U27" t="s">
        <v>50</v>
      </c>
      <c r="V27" t="s">
        <v>52</v>
      </c>
      <c r="W27" t="s">
        <v>53</v>
      </c>
      <c r="X27" t="s">
        <v>54</v>
      </c>
      <c r="Y27" t="s">
        <v>55</v>
      </c>
      <c r="Z27" s="39">
        <v>3600000</v>
      </c>
      <c r="AA27" t="s">
        <v>55</v>
      </c>
      <c r="AB27" t="s">
        <v>56</v>
      </c>
      <c r="AC27" t="s">
        <v>57</v>
      </c>
      <c r="AD27" t="s">
        <v>58</v>
      </c>
      <c r="AE27" t="s">
        <v>215</v>
      </c>
      <c r="AF27" t="s">
        <v>216</v>
      </c>
      <c r="AG27" t="s">
        <v>46</v>
      </c>
      <c r="AH27" t="s">
        <v>46</v>
      </c>
      <c r="AI27" t="s">
        <v>46</v>
      </c>
      <c r="AJ27" t="s">
        <v>61</v>
      </c>
    </row>
    <row r="28" spans="1:36">
      <c r="A28" t="s">
        <v>36</v>
      </c>
      <c r="B28" t="s">
        <v>217</v>
      </c>
      <c r="C28" t="s">
        <v>38</v>
      </c>
      <c r="D28" t="s">
        <v>105</v>
      </c>
      <c r="E28" t="s">
        <v>218</v>
      </c>
      <c r="F28" t="s">
        <v>41</v>
      </c>
      <c r="G28" t="s">
        <v>219</v>
      </c>
      <c r="H28" t="s">
        <v>43</v>
      </c>
      <c r="I28" t="s">
        <v>44</v>
      </c>
      <c r="J28" t="s">
        <v>108</v>
      </c>
      <c r="K28" t="s">
        <v>46</v>
      </c>
      <c r="L28" s="38">
        <v>46007</v>
      </c>
      <c r="M28" t="s">
        <v>220</v>
      </c>
      <c r="N28" t="s">
        <v>110</v>
      </c>
      <c r="O28" s="38">
        <v>45938</v>
      </c>
      <c r="P28" s="38">
        <v>45941</v>
      </c>
      <c r="Q28" t="s">
        <v>111</v>
      </c>
      <c r="R28" s="38">
        <v>46014</v>
      </c>
      <c r="S28" t="s">
        <v>50</v>
      </c>
      <c r="T28" t="s">
        <v>77</v>
      </c>
      <c r="U28" t="s">
        <v>50</v>
      </c>
      <c r="V28" t="s">
        <v>52</v>
      </c>
      <c r="W28" t="s">
        <v>53</v>
      </c>
      <c r="X28" t="s">
        <v>54</v>
      </c>
      <c r="Y28" t="s">
        <v>55</v>
      </c>
      <c r="Z28" s="39">
        <v>12925000</v>
      </c>
      <c r="AA28" t="s">
        <v>55</v>
      </c>
      <c r="AB28" t="s">
        <v>56</v>
      </c>
      <c r="AC28" t="s">
        <v>118</v>
      </c>
      <c r="AD28" t="s">
        <v>119</v>
      </c>
      <c r="AE28" t="s">
        <v>221</v>
      </c>
      <c r="AF28" t="s">
        <v>222</v>
      </c>
      <c r="AG28" t="s">
        <v>46</v>
      </c>
      <c r="AH28" t="s">
        <v>46</v>
      </c>
      <c r="AI28" t="s">
        <v>46</v>
      </c>
      <c r="AJ28" t="s">
        <v>61</v>
      </c>
    </row>
    <row r="29" spans="1:36">
      <c r="A29" t="s">
        <v>36</v>
      </c>
      <c r="B29" t="s">
        <v>213</v>
      </c>
      <c r="C29" t="s">
        <v>38</v>
      </c>
      <c r="D29" t="s">
        <v>39</v>
      </c>
      <c r="E29" t="s">
        <v>169</v>
      </c>
      <c r="F29" t="s">
        <v>41</v>
      </c>
      <c r="G29" t="s">
        <v>223</v>
      </c>
      <c r="H29" t="s">
        <v>43</v>
      </c>
      <c r="I29" t="s">
        <v>44</v>
      </c>
      <c r="J29" t="s">
        <v>45</v>
      </c>
      <c r="K29" t="s">
        <v>46</v>
      </c>
      <c r="L29" s="38">
        <v>46007</v>
      </c>
      <c r="M29" t="s">
        <v>92</v>
      </c>
      <c r="N29" t="s">
        <v>66</v>
      </c>
      <c r="O29" s="38">
        <v>45992</v>
      </c>
      <c r="P29" s="38">
        <v>45997</v>
      </c>
      <c r="Q29" t="s">
        <v>49</v>
      </c>
      <c r="R29" s="38">
        <v>46014</v>
      </c>
      <c r="S29" t="s">
        <v>50</v>
      </c>
      <c r="T29" t="s">
        <v>51</v>
      </c>
      <c r="U29" t="s">
        <v>50</v>
      </c>
      <c r="V29" t="s">
        <v>52</v>
      </c>
      <c r="W29" t="s">
        <v>53</v>
      </c>
      <c r="X29" t="s">
        <v>54</v>
      </c>
      <c r="Y29" t="s">
        <v>55</v>
      </c>
      <c r="Z29" s="39">
        <v>2250000</v>
      </c>
      <c r="AA29" t="s">
        <v>55</v>
      </c>
      <c r="AB29" t="s">
        <v>56</v>
      </c>
      <c r="AC29" t="s">
        <v>57</v>
      </c>
      <c r="AD29" t="s">
        <v>58</v>
      </c>
      <c r="AE29" t="s">
        <v>215</v>
      </c>
      <c r="AF29" t="s">
        <v>216</v>
      </c>
      <c r="AG29" t="s">
        <v>46</v>
      </c>
      <c r="AH29" t="s">
        <v>46</v>
      </c>
      <c r="AI29" t="s">
        <v>46</v>
      </c>
      <c r="AJ29" t="s">
        <v>61</v>
      </c>
    </row>
    <row r="30" spans="1:36">
      <c r="A30" t="s">
        <v>36</v>
      </c>
      <c r="B30" t="s">
        <v>213</v>
      </c>
      <c r="C30" t="s">
        <v>38</v>
      </c>
      <c r="D30" t="s">
        <v>39</v>
      </c>
      <c r="E30" t="s">
        <v>115</v>
      </c>
      <c r="F30" t="s">
        <v>41</v>
      </c>
      <c r="G30" t="s">
        <v>224</v>
      </c>
      <c r="H30" t="s">
        <v>43</v>
      </c>
      <c r="I30" t="s">
        <v>44</v>
      </c>
      <c r="J30" t="s">
        <v>45</v>
      </c>
      <c r="K30" t="s">
        <v>46</v>
      </c>
      <c r="L30" s="38">
        <v>46007</v>
      </c>
      <c r="M30" t="s">
        <v>117</v>
      </c>
      <c r="N30" t="s">
        <v>66</v>
      </c>
      <c r="O30" s="38">
        <v>45993</v>
      </c>
      <c r="P30" s="38">
        <v>45996</v>
      </c>
      <c r="Q30" t="s">
        <v>49</v>
      </c>
      <c r="R30" s="38">
        <v>46014</v>
      </c>
      <c r="S30" t="s">
        <v>50</v>
      </c>
      <c r="T30" t="s">
        <v>51</v>
      </c>
      <c r="U30" t="s">
        <v>50</v>
      </c>
      <c r="V30" t="s">
        <v>52</v>
      </c>
      <c r="W30" t="s">
        <v>53</v>
      </c>
      <c r="X30" t="s">
        <v>54</v>
      </c>
      <c r="Y30" t="s">
        <v>55</v>
      </c>
      <c r="Z30" s="39">
        <v>2250000</v>
      </c>
      <c r="AA30" t="s">
        <v>55</v>
      </c>
      <c r="AB30" t="s">
        <v>56</v>
      </c>
      <c r="AC30" t="s">
        <v>57</v>
      </c>
      <c r="AD30" t="s">
        <v>58</v>
      </c>
      <c r="AE30" t="s">
        <v>215</v>
      </c>
      <c r="AF30" t="s">
        <v>216</v>
      </c>
      <c r="AG30" t="s">
        <v>46</v>
      </c>
      <c r="AH30" t="s">
        <v>46</v>
      </c>
      <c r="AI30" t="s">
        <v>46</v>
      </c>
      <c r="AJ30" t="s">
        <v>61</v>
      </c>
    </row>
    <row r="31" spans="1:36">
      <c r="A31" t="s">
        <v>36</v>
      </c>
      <c r="B31" t="s">
        <v>89</v>
      </c>
      <c r="C31" t="s">
        <v>38</v>
      </c>
      <c r="D31" t="s">
        <v>39</v>
      </c>
      <c r="E31" t="s">
        <v>84</v>
      </c>
      <c r="F31" t="s">
        <v>41</v>
      </c>
      <c r="G31" t="s">
        <v>225</v>
      </c>
      <c r="H31" t="s">
        <v>43</v>
      </c>
      <c r="I31" t="s">
        <v>44</v>
      </c>
      <c r="J31" t="s">
        <v>45</v>
      </c>
      <c r="K31" t="s">
        <v>46</v>
      </c>
      <c r="L31" s="38">
        <v>46007</v>
      </c>
      <c r="M31" t="s">
        <v>86</v>
      </c>
      <c r="N31" t="s">
        <v>66</v>
      </c>
      <c r="O31" s="38">
        <v>45994</v>
      </c>
      <c r="P31" s="38">
        <v>45997</v>
      </c>
      <c r="Q31" t="s">
        <v>49</v>
      </c>
      <c r="R31" s="38">
        <v>46014</v>
      </c>
      <c r="S31" t="s">
        <v>50</v>
      </c>
      <c r="T31" t="s">
        <v>51</v>
      </c>
      <c r="U31" t="s">
        <v>50</v>
      </c>
      <c r="V31" t="s">
        <v>52</v>
      </c>
      <c r="W31" t="s">
        <v>53</v>
      </c>
      <c r="X31" t="s">
        <v>93</v>
      </c>
      <c r="Y31" t="s">
        <v>55</v>
      </c>
      <c r="Z31" s="39">
        <v>379000</v>
      </c>
      <c r="AA31" t="s">
        <v>55</v>
      </c>
      <c r="AB31" t="s">
        <v>56</v>
      </c>
      <c r="AC31" t="s">
        <v>94</v>
      </c>
      <c r="AD31" t="s">
        <v>95</v>
      </c>
      <c r="AE31" t="s">
        <v>96</v>
      </c>
      <c r="AF31" t="s">
        <v>97</v>
      </c>
      <c r="AG31" t="s">
        <v>46</v>
      </c>
      <c r="AH31" t="s">
        <v>46</v>
      </c>
      <c r="AI31" t="s">
        <v>46</v>
      </c>
      <c r="AJ31" t="s">
        <v>61</v>
      </c>
    </row>
    <row r="32" spans="26:26">
      <c r="Z32">
        <f>SUM(Z2:Z31)</f>
        <v>176484760</v>
      </c>
    </row>
    <row r="33" spans="26:26">
      <c r="Z33" s="40">
        <f>MANDIRI!I16+BNI!I10+BRI!I15+BSI!I13</f>
        <v>176484760</v>
      </c>
    </row>
  </sheetData>
  <autoFilter xmlns:etc="http://www.wps.cn/officeDocument/2017/etCustomData" ref="A1:AJ31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"/>
  <sheetViews>
    <sheetView zoomScale="85" zoomScaleNormal="85" workbookViewId="0">
      <selection activeCell="A18" sqref="A18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1.962962962963" customWidth="1"/>
    <col min="4" max="4" width="33.9814814814815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1.4351851851852" customWidth="1"/>
    <col min="11" max="11" width="15.2222222222222" customWidth="1"/>
    <col min="12" max="12" width="28.6203703703704" customWidth="1"/>
  </cols>
  <sheetData>
    <row r="1" customFormat="1" ht="15.6" spans="1:12">
      <c r="A1" s="2" t="s">
        <v>226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227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69</v>
      </c>
      <c r="B5" s="9" t="s">
        <v>71</v>
      </c>
      <c r="C5" s="9" t="s">
        <v>46</v>
      </c>
      <c r="D5" s="9" t="s">
        <v>74</v>
      </c>
      <c r="E5" s="10">
        <v>46014</v>
      </c>
      <c r="F5" s="11" t="s">
        <v>53</v>
      </c>
      <c r="G5" s="12" t="s">
        <v>78</v>
      </c>
      <c r="H5" s="12" t="s">
        <v>55</v>
      </c>
      <c r="I5" s="27">
        <v>12750000</v>
      </c>
      <c r="J5" s="9" t="s">
        <v>80</v>
      </c>
      <c r="K5" s="9" t="s">
        <v>81</v>
      </c>
      <c r="L5" s="9" t="s">
        <v>82</v>
      </c>
    </row>
    <row r="6" customFormat="1" spans="1:12">
      <c r="A6" s="9" t="s">
        <v>83</v>
      </c>
      <c r="B6" s="9" t="s">
        <v>84</v>
      </c>
      <c r="C6" s="9" t="s">
        <v>46</v>
      </c>
      <c r="D6" s="9" t="s">
        <v>86</v>
      </c>
      <c r="E6" s="10">
        <v>46014</v>
      </c>
      <c r="F6" s="11" t="s">
        <v>53</v>
      </c>
      <c r="G6" s="12" t="s">
        <v>78</v>
      </c>
      <c r="H6" s="12" t="s">
        <v>55</v>
      </c>
      <c r="I6" s="27">
        <v>1900000</v>
      </c>
      <c r="J6" s="9" t="s">
        <v>80</v>
      </c>
      <c r="K6" s="9" t="s">
        <v>87</v>
      </c>
      <c r="L6" s="9" t="s">
        <v>88</v>
      </c>
    </row>
    <row r="7" customFormat="1" spans="1:12">
      <c r="A7" s="9" t="s">
        <v>98</v>
      </c>
      <c r="B7" s="9" t="s">
        <v>99</v>
      </c>
      <c r="C7" s="9" t="s">
        <v>46</v>
      </c>
      <c r="D7" s="9" t="s">
        <v>101</v>
      </c>
      <c r="E7" s="10">
        <v>46014</v>
      </c>
      <c r="F7" s="11" t="s">
        <v>53</v>
      </c>
      <c r="G7" s="12" t="s">
        <v>78</v>
      </c>
      <c r="H7" s="12" t="s">
        <v>55</v>
      </c>
      <c r="I7" s="27">
        <v>1900000</v>
      </c>
      <c r="J7" s="9" t="s">
        <v>80</v>
      </c>
      <c r="K7" s="9" t="s">
        <v>102</v>
      </c>
      <c r="L7" s="9" t="s">
        <v>103</v>
      </c>
    </row>
    <row r="8" customFormat="1" spans="1:12">
      <c r="A8" s="9" t="s">
        <v>127</v>
      </c>
      <c r="B8" s="9" t="s">
        <v>128</v>
      </c>
      <c r="C8" s="9" t="s">
        <v>46</v>
      </c>
      <c r="D8" s="9" t="s">
        <v>130</v>
      </c>
      <c r="E8" s="10">
        <v>46014</v>
      </c>
      <c r="F8" s="11" t="s">
        <v>53</v>
      </c>
      <c r="G8" s="12" t="s">
        <v>78</v>
      </c>
      <c r="H8" s="12" t="s">
        <v>55</v>
      </c>
      <c r="I8" s="27">
        <v>16725000</v>
      </c>
      <c r="J8" s="9" t="s">
        <v>80</v>
      </c>
      <c r="K8" s="9" t="s">
        <v>131</v>
      </c>
      <c r="L8" s="9" t="s">
        <v>132</v>
      </c>
    </row>
    <row r="9" s="1" customFormat="1" spans="1:12">
      <c r="A9" s="9" t="s">
        <v>133</v>
      </c>
      <c r="B9" s="9" t="s">
        <v>134</v>
      </c>
      <c r="C9" s="9" t="s">
        <v>46</v>
      </c>
      <c r="D9" s="9" t="s">
        <v>136</v>
      </c>
      <c r="E9" s="10">
        <v>46014</v>
      </c>
      <c r="F9" s="13" t="s">
        <v>53</v>
      </c>
      <c r="G9" s="12" t="s">
        <v>78</v>
      </c>
      <c r="H9" s="12" t="s">
        <v>55</v>
      </c>
      <c r="I9" s="27">
        <v>11250000</v>
      </c>
      <c r="J9" s="9" t="s">
        <v>80</v>
      </c>
      <c r="K9" s="9" t="s">
        <v>137</v>
      </c>
      <c r="L9" s="9" t="s">
        <v>138</v>
      </c>
    </row>
    <row r="10" customFormat="1" spans="1:12">
      <c r="A10" s="9" t="s">
        <v>149</v>
      </c>
      <c r="B10" s="9" t="s">
        <v>150</v>
      </c>
      <c r="C10" s="9" t="s">
        <v>46</v>
      </c>
      <c r="D10" s="9" t="s">
        <v>101</v>
      </c>
      <c r="E10" s="10">
        <v>46014</v>
      </c>
      <c r="F10" s="11" t="s">
        <v>53</v>
      </c>
      <c r="G10" s="12" t="s">
        <v>78</v>
      </c>
      <c r="H10" s="12" t="s">
        <v>55</v>
      </c>
      <c r="I10" s="27">
        <v>1900000</v>
      </c>
      <c r="J10" s="9" t="s">
        <v>80</v>
      </c>
      <c r="K10" s="9" t="s">
        <v>152</v>
      </c>
      <c r="L10" s="9" t="s">
        <v>153</v>
      </c>
    </row>
    <row r="11" customFormat="1" spans="1:12">
      <c r="A11" s="9" t="s">
        <v>159</v>
      </c>
      <c r="B11" s="9" t="s">
        <v>161</v>
      </c>
      <c r="C11" s="9" t="s">
        <v>164</v>
      </c>
      <c r="D11" s="9" t="s">
        <v>74</v>
      </c>
      <c r="E11" s="10">
        <v>46014</v>
      </c>
      <c r="F11" s="11" t="s">
        <v>53</v>
      </c>
      <c r="G11" s="12" t="s">
        <v>78</v>
      </c>
      <c r="H11" s="12" t="s">
        <v>55</v>
      </c>
      <c r="I11" s="27">
        <v>1813500</v>
      </c>
      <c r="J11" s="9" t="s">
        <v>80</v>
      </c>
      <c r="K11" s="9" t="s">
        <v>166</v>
      </c>
      <c r="L11" s="9" t="s">
        <v>167</v>
      </c>
    </row>
    <row r="12" customFormat="1" spans="1:12">
      <c r="A12" s="9" t="s">
        <v>184</v>
      </c>
      <c r="B12" s="9" t="s">
        <v>185</v>
      </c>
      <c r="C12" s="9" t="s">
        <v>46</v>
      </c>
      <c r="D12" s="9" t="s">
        <v>117</v>
      </c>
      <c r="E12" s="10">
        <v>46014</v>
      </c>
      <c r="F12" s="11" t="s">
        <v>53</v>
      </c>
      <c r="G12" s="12" t="s">
        <v>78</v>
      </c>
      <c r="H12" s="12" t="s">
        <v>55</v>
      </c>
      <c r="I12" s="27">
        <v>1700000</v>
      </c>
      <c r="J12" s="9" t="s">
        <v>80</v>
      </c>
      <c r="K12" s="9" t="s">
        <v>187</v>
      </c>
      <c r="L12" s="9" t="s">
        <v>188</v>
      </c>
    </row>
    <row r="13" customFormat="1" spans="1:12">
      <c r="A13" s="9" t="s">
        <v>195</v>
      </c>
      <c r="B13" s="9" t="s">
        <v>196</v>
      </c>
      <c r="C13" s="9" t="s">
        <v>46</v>
      </c>
      <c r="D13" s="9" t="s">
        <v>198</v>
      </c>
      <c r="E13" s="10">
        <v>46014</v>
      </c>
      <c r="F13" s="11" t="s">
        <v>53</v>
      </c>
      <c r="G13" s="12" t="s">
        <v>78</v>
      </c>
      <c r="H13" s="12" t="s">
        <v>55</v>
      </c>
      <c r="I13" s="27">
        <v>2361200</v>
      </c>
      <c r="J13" s="9" t="s">
        <v>80</v>
      </c>
      <c r="K13" s="9" t="s">
        <v>200</v>
      </c>
      <c r="L13" s="9" t="s">
        <v>201</v>
      </c>
    </row>
    <row r="14" customFormat="1" spans="1:12">
      <c r="A14" s="9" t="s">
        <v>159</v>
      </c>
      <c r="B14" s="9" t="s">
        <v>203</v>
      </c>
      <c r="C14" s="9" t="s">
        <v>164</v>
      </c>
      <c r="D14" s="9" t="s">
        <v>205</v>
      </c>
      <c r="E14" s="10">
        <v>46014</v>
      </c>
      <c r="F14" s="11" t="s">
        <v>53</v>
      </c>
      <c r="G14" s="12" t="s">
        <v>78</v>
      </c>
      <c r="H14" s="12" t="s">
        <v>55</v>
      </c>
      <c r="I14" s="27">
        <v>3168480</v>
      </c>
      <c r="J14" s="9" t="s">
        <v>80</v>
      </c>
      <c r="K14" s="9" t="s">
        <v>166</v>
      </c>
      <c r="L14" s="9" t="s">
        <v>167</v>
      </c>
    </row>
    <row r="15" customFormat="1" spans="1:12">
      <c r="A15" s="14"/>
      <c r="B15" s="14"/>
      <c r="C15" s="14"/>
      <c r="D15" s="11"/>
      <c r="E15" s="15"/>
      <c r="F15" s="14"/>
      <c r="G15" s="14"/>
      <c r="H15" s="14"/>
      <c r="I15" s="28"/>
      <c r="J15" s="14"/>
      <c r="K15" s="14"/>
      <c r="L15" s="14"/>
    </row>
    <row r="16" customFormat="1" spans="1:12">
      <c r="A16" s="16"/>
      <c r="B16" s="16"/>
      <c r="C16" s="16"/>
      <c r="D16" s="16"/>
      <c r="E16" s="17"/>
      <c r="F16" s="17"/>
      <c r="G16" s="17"/>
      <c r="H16" s="17" t="s">
        <v>228</v>
      </c>
      <c r="I16" s="29">
        <f>SUM(I5:I15)</f>
        <v>55468180</v>
      </c>
      <c r="J16" s="30"/>
      <c r="K16" s="30"/>
      <c r="L16" s="14"/>
    </row>
    <row r="17" customFormat="1" spans="1:12">
      <c r="A17" s="18" t="s">
        <v>229</v>
      </c>
      <c r="B17" s="18"/>
      <c r="C17" s="18"/>
      <c r="D17" s="18"/>
      <c r="E17" s="19"/>
      <c r="F17" s="19"/>
      <c r="G17" s="19"/>
      <c r="H17" s="19"/>
      <c r="I17" s="31"/>
      <c r="J17" s="19"/>
      <c r="K17" s="19"/>
      <c r="L17" s="18"/>
    </row>
    <row r="18" customFormat="1" spans="1:12">
      <c r="A18" s="20"/>
      <c r="B18" s="20"/>
      <c r="C18" s="20"/>
      <c r="D18" s="20"/>
      <c r="E18" s="21"/>
      <c r="F18" s="21"/>
      <c r="G18" s="21"/>
      <c r="H18" s="21"/>
      <c r="I18" s="32"/>
      <c r="J18" s="21"/>
      <c r="K18" s="21"/>
      <c r="L18" s="20"/>
    </row>
    <row r="19" customFormat="1" spans="1:11">
      <c r="A19" s="5"/>
      <c r="B19" s="5"/>
      <c r="C19" s="6"/>
      <c r="D19" s="6"/>
      <c r="E19" s="5"/>
      <c r="F19" s="5"/>
      <c r="G19" s="5"/>
      <c r="H19" s="5"/>
      <c r="I19" s="33" t="s">
        <v>230</v>
      </c>
      <c r="J19" s="33"/>
      <c r="K19" s="33"/>
    </row>
    <row r="20" customFormat="1" spans="1:11">
      <c r="A20" s="5"/>
      <c r="B20" s="5"/>
      <c r="C20" s="6"/>
      <c r="D20" s="6"/>
      <c r="E20" s="5"/>
      <c r="F20" s="5"/>
      <c r="G20" s="5"/>
      <c r="H20" s="5"/>
      <c r="I20" s="25"/>
      <c r="J20" s="5"/>
      <c r="K20" s="5"/>
    </row>
    <row r="21" customFormat="1" spans="1:11">
      <c r="A21" s="5"/>
      <c r="B21" s="5"/>
      <c r="C21" s="22" t="s">
        <v>231</v>
      </c>
      <c r="D21" s="23"/>
      <c r="E21" s="22"/>
      <c r="F21" s="22"/>
      <c r="G21" s="22"/>
      <c r="H21" s="22"/>
      <c r="I21" s="34" t="s">
        <v>232</v>
      </c>
      <c r="J21" s="34"/>
      <c r="K21" s="34"/>
    </row>
    <row r="22" customFormat="1" spans="1:11">
      <c r="A22" s="5"/>
      <c r="B22" s="5"/>
      <c r="C22" s="22" t="s">
        <v>233</v>
      </c>
      <c r="D22" s="23"/>
      <c r="E22" s="22"/>
      <c r="F22" s="22"/>
      <c r="G22" s="22"/>
      <c r="H22" s="22"/>
      <c r="I22" s="35"/>
      <c r="J22" s="22"/>
      <c r="K22" s="22"/>
    </row>
    <row r="23" customFormat="1" spans="1:11">
      <c r="A23" s="5"/>
      <c r="B23" s="5"/>
      <c r="C23" s="22"/>
      <c r="D23" s="23"/>
      <c r="E23" s="22"/>
      <c r="F23" s="22"/>
      <c r="G23" s="22"/>
      <c r="H23" s="22"/>
      <c r="I23" s="35"/>
      <c r="J23" s="22"/>
      <c r="K23" s="22"/>
    </row>
    <row r="24" customFormat="1" spans="1:11">
      <c r="A24" s="5"/>
      <c r="B24" s="5"/>
      <c r="C24" s="23"/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3"/>
      <c r="D25" s="23"/>
      <c r="E25" s="22"/>
      <c r="F25" s="22"/>
      <c r="G25" s="22"/>
      <c r="H25" s="22"/>
      <c r="I25" s="35"/>
      <c r="J25" s="22"/>
      <c r="K25" s="22"/>
    </row>
    <row r="26" customFormat="1" spans="1:11">
      <c r="A26" s="5"/>
      <c r="B26" s="5"/>
      <c r="C26" s="23"/>
      <c r="D26" s="23"/>
      <c r="E26" s="22"/>
      <c r="F26" s="22"/>
      <c r="G26" s="22"/>
      <c r="H26" s="22"/>
      <c r="I26" s="35"/>
      <c r="J26" s="22"/>
      <c r="K26" s="22"/>
    </row>
    <row r="27" customFormat="1" spans="1:11">
      <c r="A27" s="5"/>
      <c r="B27" s="5"/>
      <c r="C27" s="23"/>
      <c r="D27" s="23"/>
      <c r="E27" s="22"/>
      <c r="F27" s="22"/>
      <c r="G27" s="22"/>
      <c r="H27" s="22"/>
      <c r="I27" s="35"/>
      <c r="J27" s="22"/>
      <c r="K27" s="22"/>
    </row>
    <row r="28" customFormat="1" spans="1:11">
      <c r="A28" s="5"/>
      <c r="B28" s="5"/>
      <c r="C28" s="22" t="s">
        <v>234</v>
      </c>
      <c r="D28" s="23"/>
      <c r="E28" s="22"/>
      <c r="F28" s="22"/>
      <c r="G28" s="22"/>
      <c r="H28" s="22"/>
      <c r="I28" s="34" t="s">
        <v>167</v>
      </c>
      <c r="J28" s="34"/>
      <c r="K28" s="34"/>
    </row>
    <row r="29" customFormat="1" spans="1:11">
      <c r="A29" s="5"/>
      <c r="B29" s="5"/>
      <c r="C29" s="6"/>
      <c r="D29" s="6"/>
      <c r="E29" s="5"/>
      <c r="F29" s="5"/>
      <c r="G29" s="5"/>
      <c r="H29" s="5"/>
      <c r="I29" s="25"/>
      <c r="J29" s="5"/>
      <c r="K29" s="5"/>
    </row>
  </sheetData>
  <mergeCells count="3">
    <mergeCell ref="I19:K19"/>
    <mergeCell ref="I21:K21"/>
    <mergeCell ref="I28:K28"/>
  </mergeCells>
  <printOptions horizontalCentered="1"/>
  <pageMargins left="0.161111111111111" right="0.161111111111111" top="0.393055555555556" bottom="0.314583333333333" header="0.354166666666667" footer="0.236111111111111"/>
  <pageSetup paperSize="256" scale="66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zoomScale="85" zoomScaleNormal="85" workbookViewId="0">
      <selection activeCell="A12" sqref="A12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1.962962962963" customWidth="1"/>
    <col min="4" max="4" width="33.9814814814815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8888888888889" customWidth="1"/>
    <col min="11" max="11" width="15.2222222222222" customWidth="1"/>
    <col min="12" max="12" width="28.6203703703704" customWidth="1"/>
  </cols>
  <sheetData>
    <row r="1" customFormat="1" ht="15.6" spans="1:12">
      <c r="A1" s="2" t="s">
        <v>226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235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114</v>
      </c>
      <c r="B5" s="9" t="s">
        <v>115</v>
      </c>
      <c r="C5" s="9" t="s">
        <v>46</v>
      </c>
      <c r="D5" s="9" t="s">
        <v>117</v>
      </c>
      <c r="E5" s="10">
        <v>46014</v>
      </c>
      <c r="F5" s="11" t="s">
        <v>53</v>
      </c>
      <c r="G5" s="12" t="s">
        <v>54</v>
      </c>
      <c r="H5" s="12" t="s">
        <v>55</v>
      </c>
      <c r="I5" s="27">
        <v>1500000</v>
      </c>
      <c r="J5" s="9" t="s">
        <v>119</v>
      </c>
      <c r="K5" s="9" t="s">
        <v>120</v>
      </c>
      <c r="L5" s="9" t="s">
        <v>121</v>
      </c>
    </row>
    <row r="6" customFormat="1" spans="1:12">
      <c r="A6" s="9" t="s">
        <v>139</v>
      </c>
      <c r="B6" s="9" t="s">
        <v>90</v>
      </c>
      <c r="C6" s="9" t="s">
        <v>46</v>
      </c>
      <c r="D6" s="9" t="s">
        <v>92</v>
      </c>
      <c r="E6" s="10">
        <v>46014</v>
      </c>
      <c r="F6" s="11" t="s">
        <v>53</v>
      </c>
      <c r="G6" s="12" t="s">
        <v>54</v>
      </c>
      <c r="H6" s="12" t="s">
        <v>55</v>
      </c>
      <c r="I6" s="27">
        <v>2700000</v>
      </c>
      <c r="J6" s="9" t="s">
        <v>119</v>
      </c>
      <c r="K6" s="9" t="s">
        <v>141</v>
      </c>
      <c r="L6" s="9" t="s">
        <v>142</v>
      </c>
    </row>
    <row r="7" customFormat="1" spans="1:12">
      <c r="A7" s="9" t="s">
        <v>207</v>
      </c>
      <c r="B7" s="9" t="s">
        <v>208</v>
      </c>
      <c r="C7" s="9" t="s">
        <v>46</v>
      </c>
      <c r="D7" s="9" t="s">
        <v>210</v>
      </c>
      <c r="E7" s="10">
        <v>46014</v>
      </c>
      <c r="F7" s="11" t="s">
        <v>53</v>
      </c>
      <c r="G7" s="12" t="s">
        <v>54</v>
      </c>
      <c r="H7" s="12" t="s">
        <v>55</v>
      </c>
      <c r="I7" s="27">
        <v>36650000</v>
      </c>
      <c r="J7" s="9" t="s">
        <v>119</v>
      </c>
      <c r="K7" s="9" t="s">
        <v>211</v>
      </c>
      <c r="L7" s="9" t="s">
        <v>212</v>
      </c>
    </row>
    <row r="8" customFormat="1" spans="1:12">
      <c r="A8" s="9" t="s">
        <v>217</v>
      </c>
      <c r="B8" s="9" t="s">
        <v>218</v>
      </c>
      <c r="C8" s="9" t="s">
        <v>46</v>
      </c>
      <c r="D8" s="9" t="s">
        <v>220</v>
      </c>
      <c r="E8" s="10">
        <v>46014</v>
      </c>
      <c r="F8" s="11" t="s">
        <v>53</v>
      </c>
      <c r="G8" s="12" t="s">
        <v>54</v>
      </c>
      <c r="H8" s="12" t="s">
        <v>55</v>
      </c>
      <c r="I8" s="27">
        <v>12925000</v>
      </c>
      <c r="J8" s="9" t="s">
        <v>119</v>
      </c>
      <c r="K8" s="9" t="s">
        <v>221</v>
      </c>
      <c r="L8" s="9" t="s">
        <v>222</v>
      </c>
    </row>
    <row r="9" customFormat="1" spans="1:12">
      <c r="A9" s="14"/>
      <c r="B9" s="14"/>
      <c r="C9" s="14"/>
      <c r="D9" s="11"/>
      <c r="E9" s="15"/>
      <c r="F9" s="14"/>
      <c r="G9" s="14"/>
      <c r="H9" s="14"/>
      <c r="I9" s="28"/>
      <c r="J9" s="14"/>
      <c r="K9" s="14"/>
      <c r="L9" s="14"/>
    </row>
    <row r="10" customFormat="1" spans="1:12">
      <c r="A10" s="16"/>
      <c r="B10" s="16"/>
      <c r="C10" s="16"/>
      <c r="D10" s="16"/>
      <c r="E10" s="17"/>
      <c r="F10" s="17"/>
      <c r="G10" s="17"/>
      <c r="H10" s="17" t="s">
        <v>228</v>
      </c>
      <c r="I10" s="29">
        <f>SUM(I5:I9)</f>
        <v>53775000</v>
      </c>
      <c r="J10" s="30"/>
      <c r="K10" s="30"/>
      <c r="L10" s="14"/>
    </row>
    <row r="11" customFormat="1" spans="1:12">
      <c r="A11" s="18" t="s">
        <v>236</v>
      </c>
      <c r="B11" s="18"/>
      <c r="C11" s="18"/>
      <c r="D11" s="18"/>
      <c r="E11" s="19"/>
      <c r="F11" s="19"/>
      <c r="G11" s="19"/>
      <c r="H11" s="19"/>
      <c r="I11" s="31"/>
      <c r="J11" s="19"/>
      <c r="K11" s="19"/>
      <c r="L11" s="18"/>
    </row>
    <row r="12" customFormat="1" spans="1:12">
      <c r="A12" s="20"/>
      <c r="B12" s="20"/>
      <c r="C12" s="20"/>
      <c r="D12" s="20"/>
      <c r="E12" s="21"/>
      <c r="F12" s="21"/>
      <c r="G12" s="21"/>
      <c r="H12" s="21"/>
      <c r="I12" s="32"/>
      <c r="J12" s="21"/>
      <c r="K12" s="21"/>
      <c r="L12" s="20"/>
    </row>
    <row r="13" customFormat="1" spans="1:11">
      <c r="A13" s="5"/>
      <c r="B13" s="5"/>
      <c r="C13" s="6"/>
      <c r="D13" s="6"/>
      <c r="E13" s="5"/>
      <c r="F13" s="5"/>
      <c r="G13" s="5"/>
      <c r="H13" s="5"/>
      <c r="I13" s="33" t="s">
        <v>230</v>
      </c>
      <c r="J13" s="33"/>
      <c r="K13" s="33"/>
    </row>
    <row r="14" customFormat="1" spans="1:11">
      <c r="A14" s="5"/>
      <c r="B14" s="5"/>
      <c r="C14" s="6"/>
      <c r="D14" s="6"/>
      <c r="E14" s="5"/>
      <c r="F14" s="5"/>
      <c r="G14" s="5"/>
      <c r="H14" s="5"/>
      <c r="I14" s="25"/>
      <c r="J14" s="5"/>
      <c r="K14" s="5"/>
    </row>
    <row r="15" customFormat="1" spans="1:11">
      <c r="A15" s="5"/>
      <c r="B15" s="5"/>
      <c r="C15" s="22" t="s">
        <v>231</v>
      </c>
      <c r="D15" s="23"/>
      <c r="E15" s="22"/>
      <c r="F15" s="22"/>
      <c r="G15" s="22"/>
      <c r="H15" s="22"/>
      <c r="I15" s="34" t="s">
        <v>232</v>
      </c>
      <c r="J15" s="34"/>
      <c r="K15" s="34"/>
    </row>
    <row r="16" customFormat="1" spans="1:11">
      <c r="A16" s="5"/>
      <c r="B16" s="5"/>
      <c r="C16" s="22" t="s">
        <v>233</v>
      </c>
      <c r="D16" s="23"/>
      <c r="E16" s="22"/>
      <c r="F16" s="22"/>
      <c r="G16" s="22"/>
      <c r="H16" s="22"/>
      <c r="I16" s="35"/>
      <c r="J16" s="22"/>
      <c r="K16" s="22"/>
    </row>
    <row r="17" customFormat="1" spans="1:11">
      <c r="A17" s="5"/>
      <c r="B17" s="5"/>
      <c r="C17" s="22"/>
      <c r="D17" s="23"/>
      <c r="E17" s="22"/>
      <c r="F17" s="22"/>
      <c r="G17" s="22"/>
      <c r="H17" s="22"/>
      <c r="I17" s="35"/>
      <c r="J17" s="22"/>
      <c r="K17" s="22"/>
    </row>
    <row r="18" customFormat="1" spans="1:11">
      <c r="A18" s="5"/>
      <c r="B18" s="5"/>
      <c r="C18" s="23"/>
      <c r="D18" s="23"/>
      <c r="E18" s="22"/>
      <c r="F18" s="22"/>
      <c r="G18" s="22"/>
      <c r="H18" s="22"/>
      <c r="I18" s="35"/>
      <c r="J18" s="22"/>
      <c r="K18" s="22"/>
    </row>
    <row r="19" customFormat="1" spans="1:11">
      <c r="A19" s="5"/>
      <c r="B19" s="5"/>
      <c r="C19" s="23"/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3"/>
      <c r="D20" s="23"/>
      <c r="E20" s="22"/>
      <c r="F20" s="22"/>
      <c r="G20" s="22"/>
      <c r="H20" s="22"/>
      <c r="I20" s="35"/>
      <c r="J20" s="22"/>
      <c r="K20" s="22"/>
    </row>
    <row r="21" customFormat="1" spans="1:11">
      <c r="A21" s="5"/>
      <c r="B21" s="5"/>
      <c r="C21" s="23"/>
      <c r="D21" s="23"/>
      <c r="E21" s="22"/>
      <c r="F21" s="22"/>
      <c r="G21" s="22"/>
      <c r="H21" s="22"/>
      <c r="I21" s="35"/>
      <c r="J21" s="22"/>
      <c r="K21" s="22"/>
    </row>
    <row r="22" customFormat="1" spans="1:11">
      <c r="A22" s="5"/>
      <c r="B22" s="5"/>
      <c r="C22" s="22" t="s">
        <v>234</v>
      </c>
      <c r="D22" s="23"/>
      <c r="E22" s="22"/>
      <c r="F22" s="22"/>
      <c r="G22" s="22"/>
      <c r="H22" s="22"/>
      <c r="I22" s="34" t="s">
        <v>167</v>
      </c>
      <c r="J22" s="34"/>
      <c r="K22" s="34"/>
    </row>
    <row r="23" customFormat="1" spans="1:11">
      <c r="A23" s="5"/>
      <c r="B23" s="5"/>
      <c r="C23" s="6"/>
      <c r="D23" s="6"/>
      <c r="E23" s="5"/>
      <c r="F23" s="5"/>
      <c r="G23" s="5"/>
      <c r="H23" s="5"/>
      <c r="I23" s="25"/>
      <c r="J23" s="5"/>
      <c r="K23" s="5"/>
    </row>
  </sheetData>
  <mergeCells count="3">
    <mergeCell ref="I13:K13"/>
    <mergeCell ref="I15:K15"/>
    <mergeCell ref="I22:K22"/>
  </mergeCells>
  <printOptions horizontalCentered="1"/>
  <pageMargins left="0.161111111111111" right="0.161111111111111" top="0.393055555555556" bottom="0.314583333333333" header="0.354166666666667" footer="0.236111111111111"/>
  <pageSetup paperSize="256" scale="64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"/>
  <sheetViews>
    <sheetView zoomScale="85" zoomScaleNormal="85" workbookViewId="0">
      <selection activeCell="A17" sqref="A17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1.962962962963" customWidth="1"/>
    <col min="4" max="4" width="41.8240740740741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5555555555556" customWidth="1"/>
    <col min="11" max="11" width="17.6388888888889" customWidth="1"/>
    <col min="12" max="12" width="33.462962962963" customWidth="1"/>
  </cols>
  <sheetData>
    <row r="1" customFormat="1" ht="15.6" spans="1:12">
      <c r="A1" s="2" t="s">
        <v>226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237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89</v>
      </c>
      <c r="B5" s="9" t="s">
        <v>90</v>
      </c>
      <c r="C5" s="9" t="s">
        <v>46</v>
      </c>
      <c r="D5" s="9" t="s">
        <v>92</v>
      </c>
      <c r="E5" s="10">
        <v>46014</v>
      </c>
      <c r="F5" s="11" t="s">
        <v>53</v>
      </c>
      <c r="G5" s="9" t="s">
        <v>93</v>
      </c>
      <c r="H5" s="9" t="s">
        <v>55</v>
      </c>
      <c r="I5" s="27">
        <v>1776580</v>
      </c>
      <c r="J5" s="9" t="s">
        <v>95</v>
      </c>
      <c r="K5" s="9" t="s">
        <v>96</v>
      </c>
      <c r="L5" s="9" t="s">
        <v>97</v>
      </c>
    </row>
    <row r="6" customFormat="1" spans="1:12">
      <c r="A6" s="9" t="s">
        <v>122</v>
      </c>
      <c r="B6" s="9" t="s">
        <v>123</v>
      </c>
      <c r="C6" s="9" t="s">
        <v>46</v>
      </c>
      <c r="D6" s="9" t="s">
        <v>86</v>
      </c>
      <c r="E6" s="10">
        <v>46014</v>
      </c>
      <c r="F6" s="11" t="s">
        <v>53</v>
      </c>
      <c r="G6" s="9" t="s">
        <v>93</v>
      </c>
      <c r="H6" s="9" t="s">
        <v>55</v>
      </c>
      <c r="I6" s="27">
        <v>1900000</v>
      </c>
      <c r="J6" s="9" t="s">
        <v>95</v>
      </c>
      <c r="K6" s="9" t="s">
        <v>125</v>
      </c>
      <c r="L6" s="9" t="s">
        <v>126</v>
      </c>
    </row>
    <row r="7" customFormat="1" spans="1:12">
      <c r="A7" s="9" t="s">
        <v>143</v>
      </c>
      <c r="B7" s="9" t="s">
        <v>144</v>
      </c>
      <c r="C7" s="9" t="s">
        <v>46</v>
      </c>
      <c r="D7" s="9" t="s">
        <v>146</v>
      </c>
      <c r="E7" s="10">
        <v>46014</v>
      </c>
      <c r="F7" s="11" t="s">
        <v>53</v>
      </c>
      <c r="G7" s="9" t="s">
        <v>93</v>
      </c>
      <c r="H7" s="9" t="s">
        <v>55</v>
      </c>
      <c r="I7" s="27">
        <v>11675000</v>
      </c>
      <c r="J7" s="9" t="s">
        <v>95</v>
      </c>
      <c r="K7" s="9" t="s">
        <v>147</v>
      </c>
      <c r="L7" s="9" t="s">
        <v>148</v>
      </c>
    </row>
    <row r="8" customFormat="1" spans="1:12">
      <c r="A8" s="9" t="s">
        <v>154</v>
      </c>
      <c r="B8" s="9" t="s">
        <v>155</v>
      </c>
      <c r="C8" s="9" t="s">
        <v>46</v>
      </c>
      <c r="D8" s="9" t="s">
        <v>92</v>
      </c>
      <c r="E8" s="10">
        <v>46014</v>
      </c>
      <c r="F8" s="11" t="s">
        <v>53</v>
      </c>
      <c r="G8" s="9" t="s">
        <v>93</v>
      </c>
      <c r="H8" s="9" t="s">
        <v>55</v>
      </c>
      <c r="I8" s="27">
        <v>2700000</v>
      </c>
      <c r="J8" s="9" t="s">
        <v>95</v>
      </c>
      <c r="K8" s="9" t="s">
        <v>157</v>
      </c>
      <c r="L8" s="9" t="s">
        <v>158</v>
      </c>
    </row>
    <row r="9" s="1" customFormat="1" spans="1:12">
      <c r="A9" s="9" t="s">
        <v>168</v>
      </c>
      <c r="B9" s="9" t="s">
        <v>169</v>
      </c>
      <c r="C9" s="9" t="s">
        <v>46</v>
      </c>
      <c r="D9" s="9" t="s">
        <v>92</v>
      </c>
      <c r="E9" s="10">
        <v>46014</v>
      </c>
      <c r="F9" s="13" t="s">
        <v>53</v>
      </c>
      <c r="G9" s="9" t="s">
        <v>93</v>
      </c>
      <c r="H9" s="9" t="s">
        <v>55</v>
      </c>
      <c r="I9" s="27">
        <v>2700000</v>
      </c>
      <c r="J9" s="9" t="s">
        <v>95</v>
      </c>
      <c r="K9" s="9" t="s">
        <v>171</v>
      </c>
      <c r="L9" s="9" t="s">
        <v>172</v>
      </c>
    </row>
    <row r="10" customFormat="1" spans="1:12">
      <c r="A10" s="9" t="s">
        <v>89</v>
      </c>
      <c r="B10" s="9" t="s">
        <v>123</v>
      </c>
      <c r="C10" s="9" t="s">
        <v>46</v>
      </c>
      <c r="D10" s="9" t="s">
        <v>86</v>
      </c>
      <c r="E10" s="10">
        <v>46014</v>
      </c>
      <c r="F10" s="11" t="s">
        <v>53</v>
      </c>
      <c r="G10" s="9" t="s">
        <v>93</v>
      </c>
      <c r="H10" s="9" t="s">
        <v>55</v>
      </c>
      <c r="I10" s="27">
        <v>379000</v>
      </c>
      <c r="J10" s="9" t="s">
        <v>95</v>
      </c>
      <c r="K10" s="9" t="s">
        <v>96</v>
      </c>
      <c r="L10" s="9" t="s">
        <v>97</v>
      </c>
    </row>
    <row r="11" customFormat="1" spans="1:12">
      <c r="A11" s="9" t="s">
        <v>189</v>
      </c>
      <c r="B11" s="9" t="s">
        <v>190</v>
      </c>
      <c r="C11" s="9"/>
      <c r="D11" s="9" t="s">
        <v>192</v>
      </c>
      <c r="E11" s="10">
        <v>46014</v>
      </c>
      <c r="F11" s="11" t="s">
        <v>53</v>
      </c>
      <c r="G11" s="9" t="s">
        <v>93</v>
      </c>
      <c r="H11" s="9" t="s">
        <v>55</v>
      </c>
      <c r="I11" s="27">
        <v>2300000</v>
      </c>
      <c r="J11" s="9" t="s">
        <v>95</v>
      </c>
      <c r="K11" s="9" t="s">
        <v>193</v>
      </c>
      <c r="L11" s="9" t="s">
        <v>194</v>
      </c>
    </row>
    <row r="12" customFormat="1" spans="1:12">
      <c r="A12" s="9" t="s">
        <v>89</v>
      </c>
      <c r="B12" s="9" t="s">
        <v>190</v>
      </c>
      <c r="C12" s="9" t="s">
        <v>46</v>
      </c>
      <c r="D12" s="9" t="s">
        <v>192</v>
      </c>
      <c r="E12" s="10">
        <v>46014</v>
      </c>
      <c r="F12" s="11" t="s">
        <v>53</v>
      </c>
      <c r="G12" s="9" t="s">
        <v>93</v>
      </c>
      <c r="H12" s="9" t="s">
        <v>55</v>
      </c>
      <c r="I12" s="27">
        <v>982000</v>
      </c>
      <c r="J12" s="9" t="s">
        <v>95</v>
      </c>
      <c r="K12" s="9" t="s">
        <v>96</v>
      </c>
      <c r="L12" s="9" t="s">
        <v>97</v>
      </c>
    </row>
    <row r="13" customFormat="1" spans="1:12">
      <c r="A13" s="9" t="s">
        <v>89</v>
      </c>
      <c r="B13" s="9" t="s">
        <v>84</v>
      </c>
      <c r="C13" s="9" t="s">
        <v>46</v>
      </c>
      <c r="D13" s="9" t="s">
        <v>86</v>
      </c>
      <c r="E13" s="10">
        <v>46014</v>
      </c>
      <c r="F13" s="11" t="s">
        <v>53</v>
      </c>
      <c r="G13" s="9" t="s">
        <v>93</v>
      </c>
      <c r="H13" s="9" t="s">
        <v>55</v>
      </c>
      <c r="I13" s="27">
        <v>379000</v>
      </c>
      <c r="J13" s="9" t="s">
        <v>95</v>
      </c>
      <c r="K13" s="9" t="s">
        <v>96</v>
      </c>
      <c r="L13" s="9" t="s">
        <v>97</v>
      </c>
    </row>
    <row r="14" customFormat="1" spans="1:12">
      <c r="A14" s="14"/>
      <c r="B14" s="14"/>
      <c r="C14" s="14"/>
      <c r="D14" s="11"/>
      <c r="E14" s="15"/>
      <c r="F14" s="14"/>
      <c r="G14" s="14"/>
      <c r="H14" s="14"/>
      <c r="I14" s="28"/>
      <c r="J14" s="14"/>
      <c r="K14" s="14"/>
      <c r="L14" s="14"/>
    </row>
    <row r="15" customFormat="1" spans="1:12">
      <c r="A15" s="16"/>
      <c r="B15" s="16"/>
      <c r="C15" s="16"/>
      <c r="D15" s="16"/>
      <c r="E15" s="17"/>
      <c r="F15" s="17"/>
      <c r="G15" s="17"/>
      <c r="H15" s="17" t="s">
        <v>228</v>
      </c>
      <c r="I15" s="29">
        <f>SUM(I5:I14)</f>
        <v>24791580</v>
      </c>
      <c r="J15" s="30"/>
      <c r="K15" s="30"/>
      <c r="L15" s="14"/>
    </row>
    <row r="16" customFormat="1" spans="1:12">
      <c r="A16" s="18" t="s">
        <v>238</v>
      </c>
      <c r="B16" s="18"/>
      <c r="C16" s="18"/>
      <c r="D16" s="18"/>
      <c r="E16" s="19"/>
      <c r="F16" s="19"/>
      <c r="G16" s="19"/>
      <c r="H16" s="19"/>
      <c r="I16" s="31"/>
      <c r="J16" s="19"/>
      <c r="K16" s="19"/>
      <c r="L16" s="18"/>
    </row>
    <row r="17" customFormat="1" spans="1:12">
      <c r="A17" s="20"/>
      <c r="B17" s="20"/>
      <c r="C17" s="20"/>
      <c r="D17" s="20"/>
      <c r="E17" s="21"/>
      <c r="F17" s="21"/>
      <c r="G17" s="21"/>
      <c r="H17" s="21"/>
      <c r="I17" s="32"/>
      <c r="J17" s="21"/>
      <c r="K17" s="21"/>
      <c r="L17" s="20"/>
    </row>
    <row r="18" customFormat="1" spans="1:11">
      <c r="A18" s="5"/>
      <c r="B18" s="5"/>
      <c r="C18" s="6"/>
      <c r="D18" s="6"/>
      <c r="E18" s="5"/>
      <c r="F18" s="5"/>
      <c r="G18" s="5"/>
      <c r="H18" s="5"/>
      <c r="I18" s="33" t="s">
        <v>230</v>
      </c>
      <c r="J18" s="33"/>
      <c r="K18" s="33"/>
    </row>
    <row r="19" customFormat="1" spans="1:11">
      <c r="A19" s="5"/>
      <c r="B19" s="5"/>
      <c r="C19" s="6"/>
      <c r="D19" s="6"/>
      <c r="E19" s="5"/>
      <c r="F19" s="5"/>
      <c r="G19" s="5"/>
      <c r="H19" s="5"/>
      <c r="I19" s="25"/>
      <c r="J19" s="5"/>
      <c r="K19" s="5"/>
    </row>
    <row r="20" customFormat="1" spans="1:11">
      <c r="A20" s="5"/>
      <c r="B20" s="5"/>
      <c r="C20" s="22" t="s">
        <v>231</v>
      </c>
      <c r="D20" s="23"/>
      <c r="E20" s="22"/>
      <c r="F20" s="22"/>
      <c r="G20" s="22"/>
      <c r="H20" s="22"/>
      <c r="I20" s="34" t="s">
        <v>232</v>
      </c>
      <c r="J20" s="34"/>
      <c r="K20" s="34"/>
    </row>
    <row r="21" customFormat="1" spans="1:11">
      <c r="A21" s="5"/>
      <c r="B21" s="5"/>
      <c r="C21" s="22" t="s">
        <v>233</v>
      </c>
      <c r="D21" s="23"/>
      <c r="E21" s="22"/>
      <c r="F21" s="22"/>
      <c r="G21" s="22"/>
      <c r="H21" s="22"/>
      <c r="I21" s="35"/>
      <c r="J21" s="22"/>
      <c r="K21" s="22"/>
    </row>
    <row r="22" customFormat="1" spans="1:11">
      <c r="A22" s="5"/>
      <c r="B22" s="5"/>
      <c r="C22" s="22"/>
      <c r="D22" s="23"/>
      <c r="E22" s="22"/>
      <c r="F22" s="22"/>
      <c r="G22" s="22"/>
      <c r="H22" s="22"/>
      <c r="I22" s="35"/>
      <c r="J22" s="22"/>
      <c r="K22" s="22"/>
    </row>
    <row r="23" customFormat="1" spans="1:11">
      <c r="A23" s="5"/>
      <c r="B23" s="5"/>
      <c r="C23" s="23"/>
      <c r="D23" s="23"/>
      <c r="E23" s="22"/>
      <c r="F23" s="22"/>
      <c r="G23" s="22"/>
      <c r="H23" s="22"/>
      <c r="I23" s="35"/>
      <c r="J23" s="22"/>
      <c r="K23" s="22"/>
    </row>
    <row r="24" customFormat="1" spans="1:11">
      <c r="A24" s="5"/>
      <c r="B24" s="5"/>
      <c r="C24" s="23"/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3"/>
      <c r="D25" s="23"/>
      <c r="E25" s="22"/>
      <c r="F25" s="22"/>
      <c r="G25" s="22"/>
      <c r="H25" s="22"/>
      <c r="I25" s="35"/>
      <c r="J25" s="22"/>
      <c r="K25" s="22"/>
    </row>
    <row r="26" customFormat="1" spans="1:11">
      <c r="A26" s="5"/>
      <c r="B26" s="5"/>
      <c r="C26" s="23"/>
      <c r="D26" s="23"/>
      <c r="E26" s="22"/>
      <c r="F26" s="22"/>
      <c r="G26" s="22"/>
      <c r="H26" s="22"/>
      <c r="I26" s="35"/>
      <c r="J26" s="22"/>
      <c r="K26" s="22"/>
    </row>
    <row r="27" customFormat="1" spans="1:11">
      <c r="A27" s="5"/>
      <c r="B27" s="5"/>
      <c r="C27" s="22" t="s">
        <v>234</v>
      </c>
      <c r="D27" s="23"/>
      <c r="E27" s="22"/>
      <c r="F27" s="22"/>
      <c r="G27" s="22"/>
      <c r="H27" s="22"/>
      <c r="I27" s="34" t="s">
        <v>167</v>
      </c>
      <c r="J27" s="34"/>
      <c r="K27" s="34"/>
    </row>
    <row r="28" customFormat="1" spans="1:11">
      <c r="A28" s="5"/>
      <c r="B28" s="5"/>
      <c r="C28" s="6"/>
      <c r="D28" s="6"/>
      <c r="E28" s="5"/>
      <c r="F28" s="5"/>
      <c r="G28" s="5"/>
      <c r="H28" s="5"/>
      <c r="I28" s="25"/>
      <c r="J28" s="5"/>
      <c r="K28" s="5"/>
    </row>
  </sheetData>
  <mergeCells count="3">
    <mergeCell ref="I18:K18"/>
    <mergeCell ref="I20:K20"/>
    <mergeCell ref="I27:K27"/>
  </mergeCells>
  <printOptions horizontalCentered="1"/>
  <pageMargins left="0.161111111111111" right="0.161111111111111" top="0.393055555555556" bottom="0.314583333333333" header="0.354166666666667" footer="0.236111111111111"/>
  <pageSetup paperSize="256" scale="60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6"/>
  <sheetViews>
    <sheetView zoomScale="85" zoomScaleNormal="85" workbookViewId="0">
      <selection activeCell="A15" sqref="A15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1.962962962963" customWidth="1"/>
    <col min="4" max="4" width="41.8240740740741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30.5555555555556" customWidth="1"/>
    <col min="11" max="11" width="15.6759259259259" customWidth="1"/>
    <col min="12" max="12" width="27.3148148148148" customWidth="1"/>
  </cols>
  <sheetData>
    <row r="1" customFormat="1" ht="15.6" spans="1:12">
      <c r="A1" s="2" t="s">
        <v>226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239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37</v>
      </c>
      <c r="B5" s="9" t="s">
        <v>40</v>
      </c>
      <c r="C5" s="9" t="s">
        <v>46</v>
      </c>
      <c r="D5" s="9" t="s">
        <v>47</v>
      </c>
      <c r="E5" s="10">
        <v>46014</v>
      </c>
      <c r="F5" s="11" t="s">
        <v>53</v>
      </c>
      <c r="G5" s="12" t="s">
        <v>54</v>
      </c>
      <c r="H5" s="12" t="s">
        <v>55</v>
      </c>
      <c r="I5" s="27">
        <v>1150000</v>
      </c>
      <c r="J5" s="9" t="s">
        <v>58</v>
      </c>
      <c r="K5" s="9" t="s">
        <v>59</v>
      </c>
      <c r="L5" s="9" t="s">
        <v>60</v>
      </c>
    </row>
    <row r="6" customFormat="1" spans="1:12">
      <c r="A6" s="9" t="s">
        <v>62</v>
      </c>
      <c r="B6" s="9" t="s">
        <v>63</v>
      </c>
      <c r="C6" s="9" t="s">
        <v>46</v>
      </c>
      <c r="D6" s="9" t="s">
        <v>65</v>
      </c>
      <c r="E6" s="10">
        <v>46014</v>
      </c>
      <c r="F6" s="11" t="s">
        <v>53</v>
      </c>
      <c r="G6" s="12" t="s">
        <v>54</v>
      </c>
      <c r="H6" s="12" t="s">
        <v>55</v>
      </c>
      <c r="I6" s="27">
        <v>1500000</v>
      </c>
      <c r="J6" s="9" t="s">
        <v>58</v>
      </c>
      <c r="K6" s="9" t="s">
        <v>67</v>
      </c>
      <c r="L6" s="9" t="s">
        <v>68</v>
      </c>
    </row>
    <row r="7" customFormat="1" spans="1:12">
      <c r="A7" s="9" t="s">
        <v>104</v>
      </c>
      <c r="B7" s="9" t="s">
        <v>106</v>
      </c>
      <c r="C7" s="9" t="s">
        <v>46</v>
      </c>
      <c r="D7" s="9" t="s">
        <v>109</v>
      </c>
      <c r="E7" s="10">
        <v>46014</v>
      </c>
      <c r="F7" s="11" t="s">
        <v>53</v>
      </c>
      <c r="G7" s="12" t="s">
        <v>54</v>
      </c>
      <c r="H7" s="12" t="s">
        <v>55</v>
      </c>
      <c r="I7" s="27">
        <v>14900000</v>
      </c>
      <c r="J7" s="9" t="s">
        <v>58</v>
      </c>
      <c r="K7" s="9" t="s">
        <v>112</v>
      </c>
      <c r="L7" s="9" t="s">
        <v>113</v>
      </c>
    </row>
    <row r="8" customFormat="1" spans="1:12">
      <c r="A8" s="9" t="s">
        <v>173</v>
      </c>
      <c r="B8" s="9" t="s">
        <v>175</v>
      </c>
      <c r="C8" s="9" t="s">
        <v>46</v>
      </c>
      <c r="D8" s="9" t="s">
        <v>178</v>
      </c>
      <c r="E8" s="10">
        <v>46014</v>
      </c>
      <c r="F8" s="11" t="s">
        <v>53</v>
      </c>
      <c r="G8" s="12" t="s">
        <v>54</v>
      </c>
      <c r="H8" s="12" t="s">
        <v>55</v>
      </c>
      <c r="I8" s="27">
        <v>16800000</v>
      </c>
      <c r="J8" s="9" t="s">
        <v>58</v>
      </c>
      <c r="K8" s="9" t="s">
        <v>181</v>
      </c>
      <c r="L8" s="9" t="s">
        <v>182</v>
      </c>
    </row>
    <row r="9" s="1" customFormat="1" spans="1:12">
      <c r="A9" s="9" t="s">
        <v>213</v>
      </c>
      <c r="B9" s="9" t="s">
        <v>185</v>
      </c>
      <c r="C9" s="9" t="s">
        <v>46</v>
      </c>
      <c r="D9" s="9" t="s">
        <v>117</v>
      </c>
      <c r="E9" s="10">
        <v>46014</v>
      </c>
      <c r="F9" s="13" t="s">
        <v>53</v>
      </c>
      <c r="G9" s="12" t="s">
        <v>54</v>
      </c>
      <c r="H9" s="12" t="s">
        <v>55</v>
      </c>
      <c r="I9" s="27">
        <v>3600000</v>
      </c>
      <c r="J9" s="9" t="s">
        <v>58</v>
      </c>
      <c r="K9" s="9" t="s">
        <v>215</v>
      </c>
      <c r="L9" s="9" t="s">
        <v>216</v>
      </c>
    </row>
    <row r="10" customFormat="1" spans="1:12">
      <c r="A10" s="9" t="s">
        <v>213</v>
      </c>
      <c r="B10" s="9" t="s">
        <v>169</v>
      </c>
      <c r="C10" s="9" t="s">
        <v>46</v>
      </c>
      <c r="D10" s="9" t="s">
        <v>92</v>
      </c>
      <c r="E10" s="10">
        <v>46014</v>
      </c>
      <c r="F10" s="11" t="s">
        <v>53</v>
      </c>
      <c r="G10" s="12" t="s">
        <v>54</v>
      </c>
      <c r="H10" s="12" t="s">
        <v>55</v>
      </c>
      <c r="I10" s="27">
        <v>2250000</v>
      </c>
      <c r="J10" s="9" t="s">
        <v>58</v>
      </c>
      <c r="K10" s="9" t="s">
        <v>215</v>
      </c>
      <c r="L10" s="9" t="s">
        <v>216</v>
      </c>
    </row>
    <row r="11" customFormat="1" spans="1:12">
      <c r="A11" s="9" t="s">
        <v>213</v>
      </c>
      <c r="B11" s="9" t="s">
        <v>115</v>
      </c>
      <c r="C11" s="9"/>
      <c r="D11" s="9" t="s">
        <v>117</v>
      </c>
      <c r="E11" s="10">
        <v>46014</v>
      </c>
      <c r="F11" s="11" t="s">
        <v>53</v>
      </c>
      <c r="G11" s="12" t="s">
        <v>54</v>
      </c>
      <c r="H11" s="12" t="s">
        <v>55</v>
      </c>
      <c r="I11" s="27">
        <v>2250000</v>
      </c>
      <c r="J11" s="9" t="s">
        <v>58</v>
      </c>
      <c r="K11" s="9" t="s">
        <v>215</v>
      </c>
      <c r="L11" s="9" t="s">
        <v>216</v>
      </c>
    </row>
    <row r="12" customFormat="1" spans="1:12">
      <c r="A12" s="14"/>
      <c r="B12" s="14"/>
      <c r="C12" s="14"/>
      <c r="D12" s="11"/>
      <c r="E12" s="15"/>
      <c r="F12" s="14"/>
      <c r="G12" s="14"/>
      <c r="H12" s="14"/>
      <c r="I12" s="28"/>
      <c r="J12" s="14"/>
      <c r="K12" s="14"/>
      <c r="L12" s="14"/>
    </row>
    <row r="13" customFormat="1" spans="1:12">
      <c r="A13" s="16"/>
      <c r="B13" s="16"/>
      <c r="C13" s="16"/>
      <c r="D13" s="16"/>
      <c r="E13" s="17"/>
      <c r="F13" s="17"/>
      <c r="G13" s="17"/>
      <c r="H13" s="17" t="s">
        <v>228</v>
      </c>
      <c r="I13" s="29">
        <f>SUM(I5:I12)</f>
        <v>42450000</v>
      </c>
      <c r="J13" s="30"/>
      <c r="K13" s="30"/>
      <c r="L13" s="14"/>
    </row>
    <row r="14" customFormat="1" spans="1:12">
      <c r="A14" s="18" t="s">
        <v>240</v>
      </c>
      <c r="B14" s="18"/>
      <c r="C14" s="18"/>
      <c r="D14" s="18"/>
      <c r="E14" s="19"/>
      <c r="F14" s="19"/>
      <c r="G14" s="19"/>
      <c r="H14" s="19"/>
      <c r="I14" s="31"/>
      <c r="J14" s="19"/>
      <c r="K14" s="19"/>
      <c r="L14" s="18"/>
    </row>
    <row r="15" customFormat="1" spans="1:12">
      <c r="A15" s="20"/>
      <c r="B15" s="20"/>
      <c r="C15" s="20"/>
      <c r="D15" s="20"/>
      <c r="E15" s="21"/>
      <c r="F15" s="21"/>
      <c r="G15" s="21"/>
      <c r="H15" s="21"/>
      <c r="I15" s="32"/>
      <c r="J15" s="21"/>
      <c r="K15" s="21"/>
      <c r="L15" s="20"/>
    </row>
    <row r="16" customFormat="1" spans="1:11">
      <c r="A16" s="5"/>
      <c r="B16" s="5"/>
      <c r="C16" s="6"/>
      <c r="D16" s="6"/>
      <c r="E16" s="5"/>
      <c r="F16" s="5"/>
      <c r="G16" s="5"/>
      <c r="H16" s="5"/>
      <c r="I16" s="33" t="s">
        <v>230</v>
      </c>
      <c r="J16" s="33"/>
      <c r="K16" s="33"/>
    </row>
    <row r="17" customFormat="1" spans="1:11">
      <c r="A17" s="5"/>
      <c r="B17" s="5"/>
      <c r="C17" s="6"/>
      <c r="D17" s="6"/>
      <c r="E17" s="5"/>
      <c r="F17" s="5"/>
      <c r="G17" s="5"/>
      <c r="H17" s="5"/>
      <c r="I17" s="25"/>
      <c r="J17" s="5"/>
      <c r="K17" s="5"/>
    </row>
    <row r="18" customFormat="1" spans="1:11">
      <c r="A18" s="5"/>
      <c r="B18" s="5"/>
      <c r="C18" s="22" t="s">
        <v>231</v>
      </c>
      <c r="D18" s="23"/>
      <c r="E18" s="22"/>
      <c r="F18" s="22"/>
      <c r="G18" s="22"/>
      <c r="H18" s="22"/>
      <c r="I18" s="34" t="s">
        <v>232</v>
      </c>
      <c r="J18" s="34"/>
      <c r="K18" s="34"/>
    </row>
    <row r="19" customFormat="1" spans="1:11">
      <c r="A19" s="5"/>
      <c r="B19" s="5"/>
      <c r="C19" s="22" t="s">
        <v>233</v>
      </c>
      <c r="D19" s="23"/>
      <c r="E19" s="22"/>
      <c r="F19" s="22"/>
      <c r="G19" s="22"/>
      <c r="H19" s="22"/>
      <c r="I19" s="35"/>
      <c r="J19" s="22"/>
      <c r="K19" s="22"/>
    </row>
    <row r="20" customFormat="1" spans="1:11">
      <c r="A20" s="5"/>
      <c r="B20" s="5"/>
      <c r="C20" s="22"/>
      <c r="D20" s="23"/>
      <c r="E20" s="22"/>
      <c r="F20" s="22"/>
      <c r="G20" s="22"/>
      <c r="H20" s="22"/>
      <c r="I20" s="35"/>
      <c r="J20" s="22"/>
      <c r="K20" s="22"/>
    </row>
    <row r="21" customFormat="1" spans="1:11">
      <c r="A21" s="5"/>
      <c r="B21" s="5"/>
      <c r="C21" s="23"/>
      <c r="D21" s="23"/>
      <c r="E21" s="22"/>
      <c r="F21" s="22"/>
      <c r="G21" s="22"/>
      <c r="H21" s="22"/>
      <c r="I21" s="35"/>
      <c r="J21" s="22"/>
      <c r="K21" s="22"/>
    </row>
    <row r="22" customFormat="1" spans="1:11">
      <c r="A22" s="5"/>
      <c r="B22" s="5"/>
      <c r="C22" s="23"/>
      <c r="D22" s="23"/>
      <c r="E22" s="22"/>
      <c r="F22" s="22"/>
      <c r="G22" s="22"/>
      <c r="H22" s="22"/>
      <c r="I22" s="35"/>
      <c r="J22" s="22"/>
      <c r="K22" s="22"/>
    </row>
    <row r="23" customFormat="1" spans="1:11">
      <c r="A23" s="5"/>
      <c r="B23" s="5"/>
      <c r="C23" s="23"/>
      <c r="D23" s="23"/>
      <c r="E23" s="22"/>
      <c r="F23" s="22"/>
      <c r="G23" s="22"/>
      <c r="H23" s="22"/>
      <c r="I23" s="35"/>
      <c r="J23" s="22"/>
      <c r="K23" s="22"/>
    </row>
    <row r="24" customFormat="1" spans="1:11">
      <c r="A24" s="5"/>
      <c r="B24" s="5"/>
      <c r="C24" s="23"/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2" t="s">
        <v>234</v>
      </c>
      <c r="D25" s="23"/>
      <c r="E25" s="22"/>
      <c r="F25" s="22"/>
      <c r="G25" s="22"/>
      <c r="H25" s="22"/>
      <c r="I25" s="34" t="s">
        <v>167</v>
      </c>
      <c r="J25" s="34"/>
      <c r="K25" s="34"/>
    </row>
    <row r="26" customFormat="1" spans="1:11">
      <c r="A26" s="5"/>
      <c r="B26" s="5"/>
      <c r="C26" s="6"/>
      <c r="D26" s="6"/>
      <c r="E26" s="5"/>
      <c r="F26" s="5"/>
      <c r="G26" s="5"/>
      <c r="H26" s="5"/>
      <c r="I26" s="25"/>
      <c r="J26" s="5"/>
      <c r="K26" s="5"/>
    </row>
  </sheetData>
  <mergeCells count="3">
    <mergeCell ref="I16:K16"/>
    <mergeCell ref="I18:K18"/>
    <mergeCell ref="I25:K25"/>
  </mergeCells>
  <printOptions horizontalCentered="1"/>
  <pageMargins left="0.161111111111111" right="0.161111111111111" top="0.393055555555556" bottom="0.314583333333333" header="0.354166666666667" footer="0.236111111111111"/>
  <pageSetup paperSize="256" scale="61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Armitha Hutami</cp:lastModifiedBy>
  <cp:revision>1</cp:revision>
  <dcterms:created xsi:type="dcterms:W3CDTF">2025-12-16T09:58:45Z</dcterms:created>
  <dcterms:modified xsi:type="dcterms:W3CDTF">2025-12-16T10:10:59Z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BCDDCEF3718F4AC0A0C2228C63726D31_12</vt:lpwstr>
  </property>
</Properties>
</file>