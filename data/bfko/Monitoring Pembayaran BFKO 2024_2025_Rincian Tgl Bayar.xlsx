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Bu Intan\data\bfko\"/>
    </mc:Choice>
  </mc:AlternateContent>
  <xr:revisionPtr revIDLastSave="0" documentId="13_ncr:1_{CA9A40BC-6293-4D1A-9898-07D02798505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34 UID SULSELRABAR_2024" sheetId="1" r:id="rId1"/>
    <sheet name="34 UID SULSELRABAR_2025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5" i="3" l="1"/>
  <c r="V55" i="3"/>
  <c r="I55" i="3"/>
  <c r="J55" i="3"/>
  <c r="K55" i="3"/>
  <c r="L55" i="3"/>
  <c r="M55" i="3"/>
  <c r="N55" i="3"/>
  <c r="O55" i="3"/>
  <c r="Q55" i="3"/>
  <c r="R55" i="3"/>
  <c r="S55" i="3"/>
  <c r="T55" i="3"/>
  <c r="U55" i="3"/>
  <c r="W55" i="3"/>
  <c r="X55" i="3"/>
  <c r="Y55" i="3"/>
  <c r="Z55" i="3"/>
  <c r="AA55" i="3"/>
  <c r="AB55" i="3"/>
  <c r="AC55" i="3"/>
  <c r="AD55" i="3"/>
  <c r="AE55" i="3"/>
  <c r="H55" i="3"/>
  <c r="V50" i="1"/>
  <c r="T50" i="1"/>
  <c r="R50" i="1"/>
  <c r="P50" i="1"/>
  <c r="N50" i="1"/>
  <c r="L50" i="1"/>
  <c r="J50" i="1"/>
  <c r="H50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50" i="1" s="1"/>
  <c r="G29" i="1"/>
  <c r="G26" i="1"/>
  <c r="L56" i="3" l="1"/>
  <c r="G55" i="3"/>
</calcChain>
</file>

<file path=xl/sharedStrings.xml><?xml version="1.0" encoding="utf-8"?>
<sst xmlns="http://schemas.openxmlformats.org/spreadsheetml/2006/main" count="480" uniqueCount="172">
  <si>
    <t>Realisasi Pembayaran Down Payment BFKO</t>
  </si>
  <si>
    <t>Periode Januari - Desember 2024</t>
  </si>
  <si>
    <t>Down Payment BFKO</t>
  </si>
  <si>
    <t>No</t>
  </si>
  <si>
    <t>NIP</t>
  </si>
  <si>
    <t>Nama Pegawai</t>
  </si>
  <si>
    <t>Jabatan</t>
  </si>
  <si>
    <t>Jenjang Jabatan</t>
  </si>
  <si>
    <t>Unit</t>
  </si>
  <si>
    <t>Nilai DP dibayarkan PLN (Rp)</t>
  </si>
  <si>
    <t>Nilai DP dibayarkan Pegawai (Rp)</t>
  </si>
  <si>
    <t>Keterangan</t>
  </si>
  <si>
    <t>7195001K</t>
  </si>
  <si>
    <t>DARMADI</t>
  </si>
  <si>
    <t>SRM NIAGA DAN MP</t>
  </si>
  <si>
    <t>MANAJEMEN ATAS</t>
  </si>
  <si>
    <t>UID SULSELRABAR</t>
  </si>
  <si>
    <t>Januari 2023</t>
  </si>
  <si>
    <t>7194010G</t>
  </si>
  <si>
    <t>ALEXANDER J. MANUHUWA</t>
  </si>
  <si>
    <t>MANAGER UP3 PALOPO</t>
  </si>
  <si>
    <t>MANAJEMEN DASAR</t>
  </si>
  <si>
    <t>UP3 PALOPO</t>
  </si>
  <si>
    <t>7193030F</t>
  </si>
  <si>
    <t>DADANG WAHYUDI</t>
  </si>
  <si>
    <t>MANAGER UP2K SULTRA</t>
  </si>
  <si>
    <t>UP2K SULTRA</t>
  </si>
  <si>
    <t>7393326B</t>
  </si>
  <si>
    <t>AGUS PRIYANTO</t>
  </si>
  <si>
    <t>MANAGER UP3 BAUBAU</t>
  </si>
  <si>
    <t>UP3 BAUBAU</t>
  </si>
  <si>
    <t>Maret 2023</t>
  </si>
  <si>
    <t>7907040Z</t>
  </si>
  <si>
    <t>MUNAWIR LILING</t>
  </si>
  <si>
    <t>MANAGER UP3 KENDARI</t>
  </si>
  <si>
    <t>MANAGEMEN DASAR</t>
  </si>
  <si>
    <t>UP3 KENDARI</t>
  </si>
  <si>
    <t>Oktober 2023</t>
  </si>
  <si>
    <t>7905002N</t>
  </si>
  <si>
    <t>RULI RIZALUDDIN</t>
  </si>
  <si>
    <t>MANAGER UP2K SULBAR</t>
  </si>
  <si>
    <t>UP3 MAMUJU</t>
  </si>
  <si>
    <t>14 Desember 2024</t>
  </si>
  <si>
    <t>7091010S</t>
  </si>
  <si>
    <t>MANIHAR HUTAJULU</t>
  </si>
  <si>
    <t>05 Januari 2024</t>
  </si>
  <si>
    <t>8307221Z</t>
  </si>
  <si>
    <t>JONI  ALEXANDER HEYT SITORUS</t>
  </si>
  <si>
    <t>UP2 SULTRA</t>
  </si>
  <si>
    <t>23 Januari 2024</t>
  </si>
  <si>
    <t>8006208Z</t>
  </si>
  <si>
    <t xml:space="preserve">RIDJAL A RASYID </t>
  </si>
  <si>
    <t>MUP UP3 WATAMPONE</t>
  </si>
  <si>
    <t>UP3 WATAMPONE</t>
  </si>
  <si>
    <t>26 Juni 2024</t>
  </si>
  <si>
    <t>8609336Z</t>
  </si>
  <si>
    <t>RATHY SHINTA UTAMI</t>
  </si>
  <si>
    <t>25 Juni 2024</t>
  </si>
  <si>
    <t>8108076Z</t>
  </si>
  <si>
    <t>MUHAMMAD TAUFIK</t>
  </si>
  <si>
    <t>MANAGER UP3 PAREPARE</t>
  </si>
  <si>
    <t>UP3 PAREPARE</t>
  </si>
  <si>
    <t>Realisasi Pembayaran Angsuran BFKO</t>
  </si>
  <si>
    <t>Angsuran Bulanan BFKO</t>
  </si>
  <si>
    <t>Sisa Angsuran BFKO
Per 1 Juli 2024</t>
  </si>
  <si>
    <t>Nilai Angsuran dibayarkan PLN (Rp)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</si>
  <si>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</si>
  <si>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</si>
  <si>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</si>
  <si>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</si>
  <si>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</si>
  <si>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</si>
  <si>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</si>
  <si>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</si>
  <si>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</si>
  <si>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</si>
  <si>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</si>
  <si>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</si>
  <si>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7195008F</t>
  </si>
  <si>
    <t>MOCH. ANDY ADCHAMINOERDIN</t>
  </si>
  <si>
    <t>GENERAL MANAGER</t>
  </si>
  <si>
    <t>7093031F</t>
  </si>
  <si>
    <t>ALIMUDDIN</t>
  </si>
  <si>
    <t>MANAGER UP3 MAKASSAR UTARA</t>
  </si>
  <si>
    <t>UP3 MAKASSAR UTARA</t>
  </si>
  <si>
    <t>8108040Z</t>
  </si>
  <si>
    <t>ARI TIRTAPRAWITA</t>
  </si>
  <si>
    <t>MANAGER UP3 MAKASSAR SELATAN</t>
  </si>
  <si>
    <t>UP3 MAKASSAR SELATAN</t>
  </si>
  <si>
    <t>3.734.355</t>
  </si>
  <si>
    <t>7101025S</t>
  </si>
  <si>
    <t>ROBERT RUMSAUR</t>
  </si>
  <si>
    <t>2.987.484</t>
  </si>
  <si>
    <t>2.983.100</t>
  </si>
  <si>
    <t>8107134Z</t>
  </si>
  <si>
    <t>JIMY INDRA BASKARA</t>
  </si>
  <si>
    <t>MANAGER UP3 PINRANG</t>
  </si>
  <si>
    <t>UP3 PINRANG</t>
  </si>
  <si>
    <t>3.297.589</t>
  </si>
  <si>
    <t>UP2K MAMUJU</t>
  </si>
  <si>
    <t>27/12/2024</t>
  </si>
  <si>
    <t>4.742.643</t>
  </si>
  <si>
    <t>3.298.000</t>
  </si>
  <si>
    <t>8207188Z</t>
  </si>
  <si>
    <t>ADI FITRIATMOJO</t>
  </si>
  <si>
    <t>SM REN</t>
  </si>
  <si>
    <t>7602002F</t>
  </si>
  <si>
    <t>AMBO TUWO</t>
  </si>
  <si>
    <t>SM KEU, KOM, DAN MUM</t>
  </si>
  <si>
    <t>7394028G</t>
  </si>
  <si>
    <t>GAMAL RIZAL KAMBEY</t>
  </si>
  <si>
    <t>MUP UP3 MAKASSAR SELATAN</t>
  </si>
  <si>
    <t>2.983.300</t>
  </si>
  <si>
    <t>EDDI SAPUTRA</t>
  </si>
  <si>
    <t>BUDIONO</t>
  </si>
  <si>
    <t>26/09/2024</t>
  </si>
  <si>
    <t>24/12/2024</t>
  </si>
  <si>
    <t>LALLA</t>
  </si>
  <si>
    <t>SUGENG HIDAYAT</t>
  </si>
  <si>
    <t>Total</t>
  </si>
  <si>
    <t>Sisa Angsuran BFKO
Per 1 Januari 2025</t>
  </si>
  <si>
    <t>Angsuran Ke - 24</t>
  </si>
  <si>
    <t>Angsuran Ke - 22</t>
  </si>
  <si>
    <t>Angsuran Ke - 4</t>
  </si>
  <si>
    <t>Angsuran Ke - 1</t>
  </si>
  <si>
    <t xml:space="preserve">Angsuran Ke - 23 </t>
  </si>
  <si>
    <t>Angsuran Ke - 35</t>
  </si>
  <si>
    <t>Angsuran Ke - 13</t>
  </si>
  <si>
    <t>Angsuran Ke - 11</t>
  </si>
  <si>
    <t>Angsuran Ke - 6</t>
  </si>
  <si>
    <t>Angsuran Ke - 12</t>
  </si>
  <si>
    <t>SETYAWAN</t>
  </si>
  <si>
    <t>MANAGER UP3 BULUKUMBA</t>
  </si>
  <si>
    <t>MANAGER UP2K SULSEL</t>
  </si>
  <si>
    <t>MANAGER UP3 MAMUJU</t>
  </si>
  <si>
    <t>MANAGER UP2D MAKASSAR</t>
  </si>
  <si>
    <t>SRM KKU</t>
  </si>
  <si>
    <t>SRM PERENCANAAN</t>
  </si>
  <si>
    <t>7293363B</t>
  </si>
  <si>
    <t>7293060F</t>
  </si>
  <si>
    <t>7904006F</t>
  </si>
  <si>
    <t>YULI ASHANIAIS RAMADANI</t>
  </si>
  <si>
    <t>8006231Z</t>
  </si>
  <si>
    <t>SETIYAWAN</t>
  </si>
  <si>
    <t>SELESAI DES 2024</t>
  </si>
  <si>
    <t>Angsuran Ke - 36</t>
  </si>
  <si>
    <t>M FAUZAN</t>
  </si>
  <si>
    <t>AGUNG PRATOMO</t>
  </si>
  <si>
    <t>16/06/2025</t>
  </si>
  <si>
    <t>24/06/2025</t>
  </si>
  <si>
    <t>17/06/2025</t>
  </si>
  <si>
    <t>19/06/2025</t>
  </si>
  <si>
    <t>22/05/2025</t>
  </si>
  <si>
    <t>15/05/2025</t>
  </si>
  <si>
    <t>29/04/2025</t>
  </si>
  <si>
    <t>30/04/2025</t>
  </si>
  <si>
    <t>28/04/2025</t>
  </si>
  <si>
    <t>26/3/2025</t>
  </si>
  <si>
    <t>26/03/2025</t>
  </si>
  <si>
    <t>25/03/2025</t>
  </si>
  <si>
    <t>27/02/2025</t>
  </si>
  <si>
    <t>06/05/2025</t>
  </si>
  <si>
    <t>26/02/2025</t>
  </si>
  <si>
    <t>03/03/2025</t>
  </si>
  <si>
    <t>24/02/2025</t>
  </si>
  <si>
    <t>27/03/2025</t>
  </si>
  <si>
    <t>YEKTI KURNIAWAN</t>
  </si>
  <si>
    <t>HERRY SUPRIADI</t>
  </si>
  <si>
    <t>ADE ARRANG MALLE MANTIRI</t>
  </si>
  <si>
    <t>HUSEN SOBRI</t>
  </si>
  <si>
    <t>DANI DWI SAPUTRO</t>
  </si>
  <si>
    <t>MUP UP3 BULUKUMBA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</si>
</sst>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yy;@"/>
  </numFmts>
  <fonts count="17">
    <font>
      <sz val="12"/>
      <color rgb="FF000000"/>
      <name val="Aptos Narrow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name val="Aptos Narrow"/>
      <charset val="134"/>
      <scheme val="minor"/>
    </font>
    <font>
      <sz val="14"/>
      <color rgb="FF485465"/>
      <name val="Arial"/>
      <charset val="134"/>
    </font>
    <font>
      <sz val="12"/>
      <name val="Calibri"/>
      <charset val="134"/>
    </font>
    <font>
      <sz val="12"/>
      <name val="Aptos Narrow"/>
      <charset val="134"/>
      <scheme val="minor"/>
    </font>
    <font>
      <sz val="12"/>
      <color rgb="FF1D1D1D"/>
      <name val="Arial"/>
      <charset val="134"/>
    </font>
    <font>
      <sz val="12"/>
      <color rgb="FF000000"/>
      <name val="Arial"/>
      <charset val="134"/>
    </font>
    <font>
      <sz val="14"/>
      <color rgb="FF1D1D1D"/>
      <name val="Times New Roman"/>
      <charset val="134"/>
    </font>
    <font>
      <sz val="12"/>
      <name val="Arial"/>
      <charset val="134"/>
    </font>
    <font>
      <sz val="12"/>
      <color rgb="FF000000"/>
      <name val="Aptos Narrow"/>
      <charset val="134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4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4" fontId="2" fillId="0" borderId="4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4" fontId="2" fillId="0" borderId="4" xfId="0" applyNumberFormat="1" applyFont="1" applyBorder="1"/>
    <xf numFmtId="0" fontId="3" fillId="3" borderId="4" xfId="0" applyFont="1" applyFill="1" applyBorder="1" applyAlignment="1">
      <alignment horizontal="center" vertical="center"/>
    </xf>
    <xf numFmtId="43" fontId="2" fillId="0" borderId="4" xfId="1" applyFont="1" applyBorder="1" applyAlignment="1">
      <alignment wrapText="1"/>
    </xf>
    <xf numFmtId="0" fontId="2" fillId="0" borderId="6" xfId="0" applyFont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4" xfId="0" applyBorder="1" applyAlignment="1">
      <alignment vertical="top"/>
    </xf>
    <xf numFmtId="0" fontId="2" fillId="0" borderId="7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2" fillId="0" borderId="4" xfId="0" applyNumberFormat="1" applyFont="1" applyBorder="1" applyAlignment="1">
      <alignment horizontal="center" wrapText="1"/>
    </xf>
    <xf numFmtId="164" fontId="2" fillId="0" borderId="4" xfId="1" applyNumberFormat="1" applyFont="1" applyBorder="1"/>
    <xf numFmtId="0" fontId="2" fillId="4" borderId="4" xfId="0" applyFont="1" applyFill="1" applyBorder="1" applyAlignment="1">
      <alignment horizontal="center" wrapText="1"/>
    </xf>
    <xf numFmtId="164" fontId="2" fillId="0" borderId="4" xfId="0" applyNumberFormat="1" applyFont="1" applyBorder="1" applyAlignment="1">
      <alignment horizontal="left"/>
    </xf>
    <xf numFmtId="164" fontId="2" fillId="0" borderId="4" xfId="1" applyNumberFormat="1" applyFont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43" fontId="2" fillId="0" borderId="4" xfId="1" applyFont="1" applyFill="1" applyBorder="1" applyAlignment="1">
      <alignment wrapText="1"/>
    </xf>
    <xf numFmtId="164" fontId="2" fillId="0" borderId="4" xfId="1" applyNumberFormat="1" applyFont="1" applyFill="1" applyBorder="1" applyAlignment="1">
      <alignment wrapText="1"/>
    </xf>
    <xf numFmtId="0" fontId="6" fillId="3" borderId="4" xfId="0" applyFont="1" applyFill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wrapText="1"/>
    </xf>
    <xf numFmtId="164" fontId="2" fillId="4" borderId="4" xfId="1" applyNumberFormat="1" applyFont="1" applyFill="1" applyBorder="1" applyAlignment="1">
      <alignment wrapText="1"/>
    </xf>
    <xf numFmtId="43" fontId="2" fillId="0" borderId="4" xfId="1" applyFont="1" applyBorder="1" applyAlignment="1">
      <alignment horizontal="right" wrapText="1"/>
    </xf>
    <xf numFmtId="0" fontId="2" fillId="4" borderId="4" xfId="0" applyFont="1" applyFill="1" applyBorder="1" applyAlignment="1">
      <alignment wrapText="1"/>
    </xf>
    <xf numFmtId="164" fontId="0" fillId="0" borderId="4" xfId="0" applyNumberFormat="1" applyBorder="1" applyAlignment="1">
      <alignment wrapText="1"/>
    </xf>
    <xf numFmtId="14" fontId="7" fillId="0" borderId="4" xfId="0" applyNumberFormat="1" applyFont="1" applyBorder="1"/>
    <xf numFmtId="164" fontId="2" fillId="4" borderId="4" xfId="1" applyNumberFormat="1" applyFont="1" applyFill="1" applyBorder="1" applyAlignment="1">
      <alignment horizontal="center" wrapText="1"/>
    </xf>
    <xf numFmtId="164" fontId="5" fillId="3" borderId="4" xfId="1" applyNumberFormat="1" applyFont="1" applyFill="1" applyBorder="1" applyAlignment="1">
      <alignment horizontal="right" wrapText="1"/>
    </xf>
    <xf numFmtId="164" fontId="2" fillId="0" borderId="4" xfId="1" applyNumberFormat="1" applyFont="1" applyFill="1" applyBorder="1" applyAlignment="1">
      <alignment horizontal="center" wrapText="1"/>
    </xf>
    <xf numFmtId="164" fontId="8" fillId="0" borderId="4" xfId="1" applyNumberFormat="1" applyFont="1" applyBorder="1" applyAlignment="1">
      <alignment horizontal="center" wrapText="1"/>
    </xf>
    <xf numFmtId="164" fontId="0" fillId="0" borderId="4" xfId="1" applyNumberFormat="1" applyFont="1" applyBorder="1" applyAlignment="1">
      <alignment horizontal="center" wrapText="1"/>
    </xf>
    <xf numFmtId="164" fontId="0" fillId="4" borderId="4" xfId="1" applyNumberFormat="1" applyFont="1" applyFill="1" applyBorder="1" applyAlignment="1">
      <alignment horizontal="center" wrapText="1"/>
    </xf>
    <xf numFmtId="164" fontId="8" fillId="4" borderId="4" xfId="1" applyNumberFormat="1" applyFont="1" applyFill="1" applyBorder="1" applyAlignment="1">
      <alignment horizontal="center" wrapText="1"/>
    </xf>
    <xf numFmtId="164" fontId="0" fillId="0" borderId="4" xfId="1" applyNumberFormat="1" applyFont="1" applyBorder="1" applyAlignment="1">
      <alignment horizontal="right" wrapText="1"/>
    </xf>
    <xf numFmtId="14" fontId="9" fillId="0" borderId="4" xfId="0" applyNumberFormat="1" applyFont="1" applyBorder="1"/>
    <xf numFmtId="0" fontId="10" fillId="0" borderId="4" xfId="0" applyFont="1" applyBorder="1" applyAlignment="1">
      <alignment horizontal="right"/>
    </xf>
    <xf numFmtId="164" fontId="2" fillId="0" borderId="4" xfId="1" applyNumberFormat="1" applyFont="1" applyBorder="1" applyAlignment="1">
      <alignment horizontal="right" wrapText="1"/>
    </xf>
    <xf numFmtId="164" fontId="2" fillId="3" borderId="4" xfId="1" applyNumberFormat="1" applyFont="1" applyFill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0" fillId="0" borderId="4" xfId="0" applyBorder="1" applyAlignment="1">
      <alignment wrapText="1"/>
    </xf>
    <xf numFmtId="14" fontId="0" fillId="0" borderId="0" xfId="0" applyNumberFormat="1"/>
    <xf numFmtId="14" fontId="0" fillId="0" borderId="4" xfId="0" applyNumberFormat="1" applyBorder="1"/>
    <xf numFmtId="164" fontId="0" fillId="0" borderId="4" xfId="1" applyNumberFormat="1" applyFont="1" applyFill="1" applyBorder="1" applyAlignment="1">
      <alignment horizontal="center" wrapText="1"/>
    </xf>
    <xf numFmtId="0" fontId="0" fillId="0" borderId="0" xfId="0" applyAlignment="1">
      <alignment horizontal="right" wrapText="1"/>
    </xf>
    <xf numFmtId="3" fontId="0" fillId="0" borderId="0" xfId="0" applyNumberFormat="1"/>
    <xf numFmtId="3" fontId="0" fillId="4" borderId="4" xfId="1" applyNumberFormat="1" applyFont="1" applyFill="1" applyBorder="1" applyAlignment="1">
      <alignment horizontal="center" wrapText="1"/>
    </xf>
    <xf numFmtId="3" fontId="0" fillId="0" borderId="4" xfId="0" applyNumberFormat="1" applyBorder="1"/>
    <xf numFmtId="3" fontId="0" fillId="0" borderId="4" xfId="1" applyNumberFormat="1" applyFont="1" applyBorder="1" applyAlignment="1">
      <alignment horizontal="right" wrapText="1"/>
    </xf>
    <xf numFmtId="3" fontId="0" fillId="0" borderId="4" xfId="1" applyNumberFormat="1" applyFont="1" applyBorder="1" applyAlignment="1">
      <alignment wrapText="1"/>
    </xf>
    <xf numFmtId="3" fontId="2" fillId="0" borderId="4" xfId="0" applyNumberFormat="1" applyFont="1" applyBorder="1" applyAlignment="1">
      <alignment wrapText="1"/>
    </xf>
    <xf numFmtId="3" fontId="2" fillId="0" borderId="4" xfId="1" applyNumberFormat="1" applyFont="1" applyBorder="1" applyAlignment="1">
      <alignment wrapText="1"/>
    </xf>
    <xf numFmtId="0" fontId="2" fillId="0" borderId="0" xfId="0" applyFont="1" applyAlignment="1">
      <alignment horizontal="right" wrapText="1"/>
    </xf>
    <xf numFmtId="164" fontId="0" fillId="4" borderId="4" xfId="1" applyNumberFormat="1" applyFont="1" applyFill="1" applyBorder="1" applyAlignment="1">
      <alignment horizontal="right" wrapText="1"/>
    </xf>
    <xf numFmtId="165" fontId="0" fillId="0" borderId="4" xfId="1" applyNumberFormat="1" applyFon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165" fontId="0" fillId="4" borderId="4" xfId="1" applyNumberFormat="1" applyFont="1" applyFill="1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14" fontId="2" fillId="0" borderId="4" xfId="0" applyNumberFormat="1" applyFont="1" applyBorder="1" applyAlignment="1">
      <alignment horizontal="right" wrapText="1"/>
    </xf>
    <xf numFmtId="165" fontId="0" fillId="0" borderId="4" xfId="0" applyNumberFormat="1" applyBorder="1" applyAlignment="1">
      <alignment horizontal="right"/>
    </xf>
    <xf numFmtId="165" fontId="0" fillId="0" borderId="4" xfId="0" applyNumberFormat="1" applyBorder="1" applyAlignment="1">
      <alignment horizontal="right" wrapText="1"/>
    </xf>
    <xf numFmtId="164" fontId="0" fillId="0" borderId="4" xfId="1" applyNumberFormat="1" applyFont="1" applyFill="1" applyBorder="1" applyAlignment="1">
      <alignment horizontal="right" wrapText="1"/>
    </xf>
    <xf numFmtId="165" fontId="0" fillId="0" borderId="4" xfId="1" applyNumberFormat="1" applyFont="1" applyFill="1" applyBorder="1" applyAlignment="1">
      <alignment horizontal="right" wrapText="1"/>
    </xf>
    <xf numFmtId="164" fontId="0" fillId="0" borderId="0" xfId="1" applyNumberFormat="1" applyFont="1"/>
    <xf numFmtId="165" fontId="2" fillId="0" borderId="4" xfId="1" applyNumberFormat="1" applyFont="1" applyBorder="1" applyAlignment="1">
      <alignment horizontal="right" wrapText="1"/>
    </xf>
    <xf numFmtId="164" fontId="0" fillId="0" borderId="4" xfId="1" applyNumberFormat="1" applyFont="1" applyBorder="1"/>
    <xf numFmtId="165" fontId="2" fillId="0" borderId="4" xfId="0" applyNumberFormat="1" applyFont="1" applyBorder="1" applyAlignment="1">
      <alignment horizontal="right" wrapText="1"/>
    </xf>
    <xf numFmtId="3" fontId="2" fillId="0" borderId="4" xfId="0" applyNumberFormat="1" applyFont="1" applyBorder="1" applyAlignment="1">
      <alignment horizontal="right" wrapText="1"/>
    </xf>
    <xf numFmtId="164" fontId="2" fillId="0" borderId="4" xfId="1" applyNumberFormat="1" applyFont="1" applyFill="1" applyBorder="1" applyAlignment="1">
      <alignment horizontal="right" wrapText="1"/>
    </xf>
    <xf numFmtId="164" fontId="0" fillId="0" borderId="4" xfId="1" applyNumberFormat="1" applyFont="1" applyBorder="1" applyAlignment="1">
      <alignment wrapText="1"/>
    </xf>
    <xf numFmtId="0" fontId="12" fillId="6" borderId="4" xfId="0" applyFont="1" applyFill="1" applyBorder="1" applyAlignment="1">
      <alignment horizontal="right" wrapText="1"/>
    </xf>
    <xf numFmtId="165" fontId="13" fillId="0" borderId="4" xfId="0" applyNumberFormat="1" applyFont="1" applyBorder="1" applyAlignment="1">
      <alignment horizontal="right" wrapText="1"/>
    </xf>
    <xf numFmtId="14" fontId="2" fillId="0" borderId="4" xfId="1" applyNumberFormat="1" applyFont="1" applyBorder="1" applyAlignment="1">
      <alignment horizontal="right" wrapText="1"/>
    </xf>
    <xf numFmtId="0" fontId="13" fillId="0" borderId="4" xfId="0" applyFont="1" applyBorder="1"/>
    <xf numFmtId="43" fontId="2" fillId="6" borderId="4" xfId="1" applyFont="1" applyFill="1" applyBorder="1" applyAlignment="1">
      <alignment horizontal="right" wrapText="1"/>
    </xf>
    <xf numFmtId="164" fontId="15" fillId="6" borderId="4" xfId="1" applyNumberFormat="1" applyFont="1" applyFill="1" applyBorder="1" applyAlignment="1">
      <alignment horizontal="right" wrapText="1"/>
    </xf>
    <xf numFmtId="164" fontId="2" fillId="6" borderId="4" xfId="1" applyNumberFormat="1" applyFont="1" applyFill="1" applyBorder="1" applyAlignment="1">
      <alignment horizontal="right" wrapText="1"/>
    </xf>
    <xf numFmtId="164" fontId="2" fillId="4" borderId="4" xfId="0" applyNumberFormat="1" applyFont="1" applyFill="1" applyBorder="1" applyAlignment="1">
      <alignment horizontal="left"/>
    </xf>
    <xf numFmtId="164" fontId="13" fillId="0" borderId="4" xfId="0" applyNumberFormat="1" applyFont="1" applyBorder="1" applyAlignment="1">
      <alignment horizontal="center"/>
    </xf>
    <xf numFmtId="43" fontId="13" fillId="0" borderId="4" xfId="1" applyFont="1" applyBorder="1" applyAlignment="1">
      <alignment horizontal="center" wrapText="1"/>
    </xf>
    <xf numFmtId="164" fontId="13" fillId="0" borderId="4" xfId="0" applyNumberFormat="1" applyFont="1" applyBorder="1" applyAlignment="1">
      <alignment horizontal="center" wrapText="1"/>
    </xf>
    <xf numFmtId="4" fontId="13" fillId="0" borderId="4" xfId="0" applyNumberFormat="1" applyFont="1" applyBorder="1" applyAlignment="1">
      <alignment horizontal="center" wrapText="1"/>
    </xf>
    <xf numFmtId="43" fontId="13" fillId="0" borderId="4" xfId="1" applyFont="1" applyFill="1" applyBorder="1" applyAlignment="1">
      <alignment horizontal="center" wrapText="1"/>
    </xf>
    <xf numFmtId="164" fontId="2" fillId="4" borderId="4" xfId="0" applyNumberFormat="1" applyFont="1" applyFill="1" applyBorder="1" applyAlignment="1">
      <alignment horizontal="center"/>
    </xf>
    <xf numFmtId="0" fontId="13" fillId="0" borderId="4" xfId="0" applyFont="1" applyBorder="1" applyAlignment="1">
      <alignment wrapText="1"/>
    </xf>
    <xf numFmtId="0" fontId="2" fillId="6" borderId="4" xfId="0" applyFont="1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13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wrapText="1"/>
    </xf>
    <xf numFmtId="0" fontId="13" fillId="0" borderId="8" xfId="0" applyFont="1" applyBorder="1" applyAlignment="1">
      <alignment horizontal="left"/>
    </xf>
    <xf numFmtId="0" fontId="16" fillId="0" borderId="4" xfId="0" applyFont="1" applyBorder="1"/>
    <xf numFmtId="0" fontId="16" fillId="0" borderId="0" xfId="0" applyFont="1" applyAlignment="1">
      <alignment horizontal="center" vertical="center"/>
    </xf>
    <xf numFmtId="43" fontId="13" fillId="0" borderId="4" xfId="1" applyFont="1" applyBorder="1" applyAlignment="1">
      <alignment horizontal="center" vertical="center" wrapText="1"/>
    </xf>
    <xf numFmtId="14" fontId="2" fillId="0" borderId="4" xfId="1" applyNumberFormat="1" applyFont="1" applyFill="1" applyBorder="1" applyAlignment="1">
      <alignment horizontal="right" wrapText="1"/>
    </xf>
    <xf numFmtId="43" fontId="2" fillId="0" borderId="4" xfId="1" applyFont="1" applyFill="1" applyBorder="1" applyAlignment="1">
      <alignment horizontal="right" wrapText="1"/>
    </xf>
    <xf numFmtId="0" fontId="2" fillId="0" borderId="9" xfId="0" applyFont="1" applyBorder="1" applyAlignment="1">
      <alignment wrapText="1"/>
    </xf>
    <xf numFmtId="14" fontId="2" fillId="0" borderId="4" xfId="1" applyNumberFormat="1" applyFont="1" applyBorder="1" applyAlignment="1">
      <alignment wrapText="1"/>
    </xf>
    <xf numFmtId="14" fontId="2" fillId="0" borderId="4" xfId="1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4" xfId="0" applyNumberFormat="1" applyFont="1" applyBorder="1" applyAlignment="1">
      <alignment horizontal="center"/>
    </xf>
    <xf numFmtId="14" fontId="2" fillId="0" borderId="4" xfId="1" applyNumberFormat="1" applyFont="1" applyFill="1" applyBorder="1" applyAlignment="1">
      <alignment horizontal="center" wrapText="1"/>
    </xf>
    <xf numFmtId="43" fontId="2" fillId="0" borderId="4" xfId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2" fillId="0" borderId="4" xfId="0" quotePrefix="1" applyNumberFormat="1" applyFont="1" applyBorder="1" applyAlignment="1">
      <alignment horizontal="center"/>
    </xf>
    <xf numFmtId="4" fontId="2" fillId="0" borderId="4" xfId="0" quotePrefix="1" applyNumberFormat="1" applyFont="1" applyBorder="1" applyAlignment="1">
      <alignment horizontal="center" wrapText="1"/>
    </xf>
    <xf numFmtId="43" fontId="2" fillId="0" borderId="4" xfId="1" applyFont="1" applyFill="1" applyBorder="1" applyAlignment="1">
      <alignment horizontal="center" wrapText="1"/>
    </xf>
    <xf numFmtId="14" fontId="2" fillId="0" borderId="4" xfId="1" applyNumberFormat="1" applyFont="1" applyBorder="1" applyAlignment="1">
      <alignment horizontal="center" wrapText="1"/>
    </xf>
    <xf numFmtId="3" fontId="2" fillId="0" borderId="4" xfId="1" applyNumberFormat="1" applyFont="1" applyFill="1" applyBorder="1" applyAlignment="1">
      <alignment wrapText="1"/>
    </xf>
    <xf numFmtId="0" fontId="2" fillId="0" borderId="7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14" fontId="2" fillId="0" borderId="4" xfId="0" applyNumberFormat="1" applyFont="1" applyBorder="1" applyAlignment="1">
      <alignment wrapText="1"/>
    </xf>
    <xf numFmtId="0" fontId="0" fillId="0" borderId="8" xfId="0" applyBorder="1" applyAlignment="1">
      <alignment horizontal="center"/>
    </xf>
    <xf numFmtId="0" fontId="13" fillId="0" borderId="8" xfId="0" applyFont="1" applyBorder="1" applyAlignment="1">
      <alignment wrapText="1"/>
    </xf>
    <xf numFmtId="14" fontId="2" fillId="0" borderId="4" xfId="0" applyNumberFormat="1" applyFont="1" applyBorder="1" applyAlignment="1">
      <alignment horizontal="right"/>
    </xf>
    <xf numFmtId="14" fontId="2" fillId="4" borderId="4" xfId="0" applyNumberFormat="1" applyFont="1" applyFill="1" applyBorder="1" applyAlignment="1">
      <alignment horizontal="right"/>
    </xf>
    <xf numFmtId="14" fontId="2" fillId="0" borderId="4" xfId="0" applyNumberFormat="1" applyFont="1" applyBorder="1"/>
    <xf numFmtId="164" fontId="2" fillId="0" borderId="4" xfId="0" applyNumberFormat="1" applyFont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43" fontId="2" fillId="0" borderId="4" xfId="1" applyFont="1" applyFill="1" applyBorder="1" applyAlignment="1">
      <alignment horizontal="right"/>
    </xf>
    <xf numFmtId="43" fontId="13" fillId="0" borderId="4" xfId="1" applyFont="1" applyBorder="1" applyAlignment="1">
      <alignment horizontal="right" wrapText="1"/>
    </xf>
    <xf numFmtId="4" fontId="0" fillId="0" borderId="4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right" wrapText="1"/>
    </xf>
    <xf numFmtId="0" fontId="0" fillId="5" borderId="8" xfId="0" applyFill="1" applyBorder="1" applyAlignment="1">
      <alignment horizontal="right" wrapText="1"/>
    </xf>
    <xf numFmtId="0" fontId="0" fillId="5" borderId="9" xfId="0" applyFill="1" applyBorder="1" applyAlignment="1">
      <alignment horizontal="right" wrapText="1"/>
    </xf>
    <xf numFmtId="0" fontId="1" fillId="2" borderId="2" xfId="0" applyFont="1" applyFill="1" applyBorder="1" applyAlignment="1">
      <alignment horizontal="center" vertical="center"/>
    </xf>
    <xf numFmtId="0" fontId="5" fillId="0" borderId="12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4" fillId="2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66"/>
  <sheetViews>
    <sheetView zoomScale="80" zoomScaleNormal="80" workbookViewId="0">
      <pane xSplit="7" ySplit="25" topLeftCell="H28" activePane="bottomRight" state="frozen"/>
      <selection pane="topRight" activeCell="H1" sqref="H1"/>
      <selection pane="bottomLeft" activeCell="A26" sqref="A26"/>
      <selection pane="bottomRight" activeCell="AG60" sqref="AG60"/>
    </sheetView>
  </sheetViews>
  <sheetFormatPr defaultColWidth="11.19921875" defaultRowHeight="15" customHeight="1"/>
  <cols>
    <col min="1" max="1" width="5.5" style="1" customWidth="1"/>
    <col min="2" max="2" width="17.8984375" style="1" customWidth="1"/>
    <col min="3" max="3" width="28.3984375" style="1" customWidth="1"/>
    <col min="4" max="4" width="30.8984375" style="1" customWidth="1"/>
    <col min="5" max="5" width="18.3984375" style="1" hidden="1" customWidth="1"/>
    <col min="6" max="6" width="21.59765625" style="1" hidden="1" customWidth="1"/>
    <col min="7" max="8" width="21.59765625" style="1" customWidth="1"/>
    <col min="9" max="9" width="23.69921875" style="1" customWidth="1"/>
    <col min="10" max="10" width="23.09765625" style="1" customWidth="1"/>
    <col min="11" max="11" width="22.09765625" style="1" customWidth="1"/>
    <col min="12" max="12" width="18.19921875" style="1" customWidth="1"/>
    <col min="13" max="17" width="14.09765625" style="1" customWidth="1"/>
    <col min="18" max="18" width="14.8984375" style="1" customWidth="1"/>
    <col min="19" max="19" width="14.09765625" style="1" customWidth="1"/>
    <col min="20" max="20" width="15.19921875" style="1" bestFit="1" customWidth="1"/>
    <col min="21" max="23" width="14.09765625" style="1" customWidth="1"/>
    <col min="24" max="24" width="14.69921875" style="1" customWidth="1"/>
    <col min="25" max="25" width="14.09765625" style="1" customWidth="1"/>
    <col min="26" max="26" width="13.09765625" style="1" customWidth="1"/>
    <col min="27" max="27" width="14.09765625" style="67" customWidth="1"/>
    <col min="28" max="28" width="16.5" style="67" bestFit="1" customWidth="1"/>
    <col min="29" max="30" width="15.59765625" style="67" customWidth="1"/>
    <col min="31" max="31" width="15" style="67" customWidth="1"/>
    <col min="32" max="32" width="15" style="1" customWidth="1"/>
    <col min="33" max="16384" width="11.19921875" style="1"/>
  </cols>
  <sheetData>
    <row r="1" spans="1:27" ht="16.2" hidden="1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75"/>
    </row>
    <row r="2" spans="1:27" ht="16.2" hidden="1">
      <c r="A2" s="155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75"/>
    </row>
    <row r="3" spans="1:27" ht="22.5" hidden="1" customHeight="1">
      <c r="A3" s="2" t="s">
        <v>2</v>
      </c>
      <c r="B3" s="3"/>
      <c r="C3" s="3"/>
      <c r="D3" s="4"/>
      <c r="E3" s="4"/>
      <c r="F3" s="4"/>
      <c r="G3" s="4"/>
      <c r="H3" s="4"/>
      <c r="I3" s="4"/>
      <c r="J3" s="4"/>
      <c r="K3" s="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75"/>
    </row>
    <row r="4" spans="1:27" ht="30.75" hidden="1" customHeight="1">
      <c r="A4" s="5" t="s">
        <v>3</v>
      </c>
      <c r="B4" s="6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7" ht="15.75" hidden="1" customHeight="1">
      <c r="A5" s="8">
        <v>1</v>
      </c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12">
        <v>237500000</v>
      </c>
      <c r="H5" s="13">
        <v>202391199</v>
      </c>
      <c r="I5" s="15" t="s">
        <v>17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7" ht="15.75" hidden="1" customHeight="1">
      <c r="A6" s="14">
        <v>3</v>
      </c>
      <c r="B6" s="9" t="s">
        <v>18</v>
      </c>
      <c r="C6" s="15" t="s">
        <v>19</v>
      </c>
      <c r="D6" s="11" t="s">
        <v>20</v>
      </c>
      <c r="E6" s="11" t="s">
        <v>21</v>
      </c>
      <c r="F6" s="11" t="s">
        <v>22</v>
      </c>
      <c r="G6" s="16">
        <v>190000000</v>
      </c>
      <c r="H6" s="13">
        <v>71556726</v>
      </c>
      <c r="I6" s="15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7" ht="15.75" hidden="1" customHeight="1">
      <c r="A7" s="17">
        <v>4</v>
      </c>
      <c r="B7" s="9" t="s">
        <v>23</v>
      </c>
      <c r="C7" s="10" t="s">
        <v>24</v>
      </c>
      <c r="D7" s="11" t="s">
        <v>25</v>
      </c>
      <c r="E7" s="11" t="s">
        <v>21</v>
      </c>
      <c r="F7" s="11" t="s">
        <v>26</v>
      </c>
      <c r="G7" s="12">
        <v>190000000</v>
      </c>
      <c r="H7" s="13">
        <v>118664238</v>
      </c>
      <c r="I7" s="15" t="s">
        <v>17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7" ht="15.75" hidden="1" customHeight="1">
      <c r="A8" s="17">
        <v>5</v>
      </c>
      <c r="B8" s="18" t="s">
        <v>27</v>
      </c>
      <c r="C8" s="10" t="s">
        <v>28</v>
      </c>
      <c r="D8" s="19" t="s">
        <v>29</v>
      </c>
      <c r="E8" s="11" t="s">
        <v>21</v>
      </c>
      <c r="F8" s="11" t="s">
        <v>30</v>
      </c>
      <c r="G8" s="12">
        <v>190000000</v>
      </c>
      <c r="H8" s="20">
        <v>119730884</v>
      </c>
      <c r="I8" s="15" t="s">
        <v>31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7" ht="15.75" hidden="1" customHeight="1">
      <c r="A9" s="17">
        <v>9</v>
      </c>
      <c r="B9" s="9" t="s">
        <v>32</v>
      </c>
      <c r="C9" s="10" t="s">
        <v>33</v>
      </c>
      <c r="D9" s="19" t="s">
        <v>34</v>
      </c>
      <c r="E9" s="11" t="s">
        <v>35</v>
      </c>
      <c r="F9" s="11" t="s">
        <v>36</v>
      </c>
      <c r="G9" s="12">
        <v>210030000</v>
      </c>
      <c r="H9" s="13">
        <v>175026340</v>
      </c>
      <c r="I9" s="15" t="s">
        <v>37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7" ht="15.75" hidden="1" customHeight="1">
      <c r="A10" s="17">
        <v>10</v>
      </c>
      <c r="B10" s="21" t="s">
        <v>38</v>
      </c>
      <c r="C10" s="10" t="s">
        <v>39</v>
      </c>
      <c r="D10" s="11" t="s">
        <v>40</v>
      </c>
      <c r="E10" s="11" t="s">
        <v>35</v>
      </c>
      <c r="F10" s="11" t="s">
        <v>41</v>
      </c>
      <c r="G10" s="12">
        <v>210000000</v>
      </c>
      <c r="H10" s="22">
        <v>90725369.5</v>
      </c>
      <c r="I10" s="15" t="s">
        <v>42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7" ht="15.75" hidden="1" customHeight="1">
      <c r="A11" s="17">
        <v>11</v>
      </c>
      <c r="B11" s="21" t="s">
        <v>43</v>
      </c>
      <c r="C11" s="10" t="s">
        <v>44</v>
      </c>
      <c r="D11" s="11" t="s">
        <v>40</v>
      </c>
      <c r="E11" s="11" t="s">
        <v>35</v>
      </c>
      <c r="F11" s="11" t="s">
        <v>41</v>
      </c>
      <c r="G11" s="12">
        <v>157500000</v>
      </c>
      <c r="H11" s="22">
        <v>212500000</v>
      </c>
      <c r="I11" s="15" t="s">
        <v>45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7" ht="15.75" hidden="1" customHeight="1">
      <c r="A12" s="23">
        <v>12</v>
      </c>
      <c r="B12" s="24" t="s">
        <v>46</v>
      </c>
      <c r="C12" s="10" t="s">
        <v>47</v>
      </c>
      <c r="D12" s="11" t="s">
        <v>25</v>
      </c>
      <c r="E12" s="11" t="s">
        <v>35</v>
      </c>
      <c r="F12" s="11" t="s">
        <v>48</v>
      </c>
      <c r="G12" s="12">
        <v>210000000</v>
      </c>
      <c r="H12" s="22">
        <v>87614025</v>
      </c>
      <c r="I12" s="15" t="s">
        <v>49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7" ht="15.75" hidden="1" customHeight="1">
      <c r="A13" s="25">
        <v>13</v>
      </c>
      <c r="B13" s="26" t="s">
        <v>50</v>
      </c>
      <c r="C13" s="15" t="s">
        <v>51</v>
      </c>
      <c r="D13" s="27" t="s">
        <v>52</v>
      </c>
      <c r="E13" s="11" t="s">
        <v>35</v>
      </c>
      <c r="F13" s="11" t="s">
        <v>53</v>
      </c>
      <c r="G13" s="12">
        <v>210000000</v>
      </c>
      <c r="H13" s="22">
        <v>91866196</v>
      </c>
      <c r="I13" s="15" t="s">
        <v>54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7" ht="15.75" hidden="1" customHeight="1">
      <c r="A14" s="25">
        <v>14</v>
      </c>
      <c r="B14" s="24" t="s">
        <v>55</v>
      </c>
      <c r="C14" s="10" t="s">
        <v>56</v>
      </c>
      <c r="D14" s="11" t="s">
        <v>20</v>
      </c>
      <c r="E14" s="11" t="s">
        <v>35</v>
      </c>
      <c r="F14" s="11" t="s">
        <v>22</v>
      </c>
      <c r="G14" s="12">
        <v>210000000</v>
      </c>
      <c r="H14" s="22">
        <v>92592177</v>
      </c>
      <c r="I14" s="15" t="s">
        <v>57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7" ht="15.75" hidden="1" customHeight="1">
      <c r="A15" s="25"/>
      <c r="B15" s="26" t="s">
        <v>58</v>
      </c>
      <c r="C15" s="10" t="s">
        <v>59</v>
      </c>
      <c r="D15" s="28" t="s">
        <v>60</v>
      </c>
      <c r="E15" s="11" t="s">
        <v>35</v>
      </c>
      <c r="F15" s="29" t="s">
        <v>61</v>
      </c>
      <c r="G15" s="16">
        <v>210000000</v>
      </c>
      <c r="H15" s="22"/>
      <c r="I15" s="1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7" ht="15.75" hidden="1" customHeight="1">
      <c r="A16" s="25"/>
      <c r="B16" s="30"/>
      <c r="C16" s="10"/>
      <c r="D16" s="11"/>
      <c r="E16" s="11"/>
      <c r="F16" s="11"/>
      <c r="G16" s="12"/>
      <c r="H16" s="22"/>
      <c r="I16" s="1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31" ht="15.75" hidden="1" customHeight="1">
      <c r="A17" s="25"/>
      <c r="B17" s="30"/>
      <c r="C17" s="10"/>
      <c r="D17" s="11"/>
      <c r="E17" s="11"/>
      <c r="F17" s="11"/>
      <c r="G17" s="12"/>
      <c r="H17" s="22"/>
      <c r="I17" s="1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31" ht="15.75" hidden="1" customHeight="1">
      <c r="A18" s="25"/>
      <c r="B18" s="30"/>
      <c r="C18" s="10"/>
      <c r="D18" s="11"/>
      <c r="E18" s="11"/>
      <c r="F18" s="11"/>
      <c r="G18" s="12"/>
      <c r="H18" s="22"/>
      <c r="I18" s="15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31" ht="15.75" hidden="1" customHeight="1">
      <c r="A19" s="31"/>
      <c r="B19" s="15"/>
      <c r="C19" s="32"/>
      <c r="D19" s="15"/>
      <c r="E19" s="15"/>
      <c r="F19" s="15"/>
      <c r="G19" s="15"/>
      <c r="H19" s="15"/>
      <c r="I19" s="15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31" ht="15.75" hidden="1" customHeight="1">
      <c r="A20" s="33"/>
      <c r="B20" s="33"/>
      <c r="C20" s="34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75"/>
    </row>
    <row r="21" spans="1:31" ht="15.75" hidden="1" customHeight="1">
      <c r="A21" s="155" t="s">
        <v>62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33"/>
      <c r="U21" s="33"/>
      <c r="V21" s="33"/>
      <c r="W21" s="33"/>
      <c r="X21" s="33"/>
      <c r="Y21" s="33"/>
      <c r="Z21" s="33"/>
      <c r="AA21" s="75"/>
    </row>
    <row r="22" spans="1:31" ht="15.75" hidden="1" customHeight="1">
      <c r="A22" s="155" t="s">
        <v>1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33"/>
      <c r="U22" s="33"/>
      <c r="V22" s="33"/>
      <c r="W22" s="33"/>
      <c r="X22" s="33"/>
      <c r="Y22" s="33"/>
      <c r="Z22" s="33"/>
      <c r="AA22" s="75"/>
    </row>
    <row r="23" spans="1:31" ht="15.75" hidden="1" customHeight="1">
      <c r="A23" s="2" t="s">
        <v>63</v>
      </c>
      <c r="B23" s="3"/>
      <c r="C23" s="3"/>
      <c r="D23" s="4"/>
      <c r="E23" s="4"/>
      <c r="F23" s="4"/>
      <c r="G23" s="4"/>
      <c r="H23" s="4"/>
      <c r="I23" s="4"/>
      <c r="J23" s="4"/>
      <c r="K23" s="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75"/>
    </row>
    <row r="24" spans="1:31" ht="15.75" customHeight="1">
      <c r="A24" s="162" t="s">
        <v>3</v>
      </c>
      <c r="B24" s="162" t="s">
        <v>4</v>
      </c>
      <c r="C24" s="162" t="s">
        <v>5</v>
      </c>
      <c r="D24" s="164" t="s">
        <v>6</v>
      </c>
      <c r="E24" s="165" t="s">
        <v>7</v>
      </c>
      <c r="F24" s="148" t="s">
        <v>8</v>
      </c>
      <c r="G24" s="148" t="s">
        <v>64</v>
      </c>
      <c r="H24" s="157" t="s">
        <v>65</v>
      </c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</row>
    <row r="25" spans="1:31" ht="15.75" customHeight="1">
      <c r="A25" s="163"/>
      <c r="B25" s="163"/>
      <c r="C25" s="163"/>
      <c r="D25" s="163"/>
      <c r="E25" s="166"/>
      <c r="F25" s="167"/>
      <c r="G25" s="148"/>
      <c r="H25" s="153" t="s">
        <v>66</v>
      </c>
      <c r="I25" s="154"/>
      <c r="J25" s="149" t="s">
        <v>67</v>
      </c>
      <c r="K25" s="150"/>
      <c r="L25" s="149" t="s">
        <v>68</v>
      </c>
      <c r="M25" s="150"/>
      <c r="N25" s="149" t="s">
        <v>69</v>
      </c>
      <c r="O25" s="150"/>
      <c r="P25" s="149" t="s">
        <v>70</v>
      </c>
      <c r="Q25" s="150"/>
      <c r="R25" s="149" t="s">
        <v>71</v>
      </c>
      <c r="S25" s="150"/>
      <c r="T25" s="151" t="s">
        <v>72</v>
      </c>
      <c r="U25" s="152"/>
      <c r="V25" s="151" t="s">
        <v>73</v>
      </c>
      <c r="W25" s="152"/>
      <c r="X25" s="151" t="s">
        <v>74</v>
      </c>
      <c r="Y25" s="152"/>
      <c r="Z25" s="146" t="s">
        <v>75</v>
      </c>
      <c r="AA25" s="147"/>
      <c r="AB25" s="146" t="s">
        <v>76</v>
      </c>
      <c r="AC25" s="147"/>
      <c r="AD25" s="146" t="s">
        <v>77</v>
      </c>
      <c r="AE25" s="147"/>
    </row>
    <row r="26" spans="1:31" ht="15.75" customHeight="1">
      <c r="A26" s="9">
        <v>1</v>
      </c>
      <c r="B26" s="9" t="s">
        <v>78</v>
      </c>
      <c r="C26" s="10" t="s">
        <v>79</v>
      </c>
      <c r="D26" s="11" t="s">
        <v>80</v>
      </c>
      <c r="E26" s="19" t="s">
        <v>15</v>
      </c>
      <c r="F26" s="11" t="s">
        <v>16</v>
      </c>
      <c r="G26" s="35">
        <f>(36-23)*R26</f>
        <v>55116841</v>
      </c>
      <c r="H26" s="36">
        <v>4239757.5</v>
      </c>
      <c r="I26" s="49">
        <v>45320</v>
      </c>
      <c r="J26" s="44">
        <v>4239758</v>
      </c>
      <c r="K26" s="49">
        <v>45400</v>
      </c>
      <c r="L26" s="44">
        <v>4239758</v>
      </c>
      <c r="M26" s="49">
        <v>45400</v>
      </c>
      <c r="N26" s="44">
        <v>4239757.5</v>
      </c>
      <c r="O26" s="49">
        <v>45407</v>
      </c>
      <c r="P26" s="44">
        <v>4239757.5</v>
      </c>
      <c r="Q26" s="49">
        <v>45434</v>
      </c>
      <c r="R26" s="44">
        <v>4239757</v>
      </c>
      <c r="S26" s="53"/>
      <c r="T26" s="44">
        <v>4239758</v>
      </c>
      <c r="U26" s="49">
        <v>45481</v>
      </c>
      <c r="V26" s="54">
        <v>4239758</v>
      </c>
      <c r="W26" s="49">
        <v>45517</v>
      </c>
      <c r="X26" s="55"/>
      <c r="Y26" s="55"/>
      <c r="Z26" s="55"/>
      <c r="AA26" s="76"/>
      <c r="AB26" s="76"/>
      <c r="AC26" s="76"/>
      <c r="AD26" s="76"/>
      <c r="AE26" s="76"/>
    </row>
    <row r="27" spans="1:31" ht="15.75" customHeight="1">
      <c r="A27" s="9">
        <v>2</v>
      </c>
      <c r="B27" s="9" t="s">
        <v>81</v>
      </c>
      <c r="C27" s="10" t="s">
        <v>82</v>
      </c>
      <c r="D27" s="11" t="s">
        <v>83</v>
      </c>
      <c r="E27" s="11" t="s">
        <v>21</v>
      </c>
      <c r="F27" s="11" t="s">
        <v>84</v>
      </c>
      <c r="G27" s="37"/>
      <c r="H27" s="36">
        <v>2886960.66</v>
      </c>
      <c r="I27" s="49">
        <v>45323</v>
      </c>
      <c r="J27" s="50"/>
      <c r="K27" s="50"/>
      <c r="L27" s="50"/>
      <c r="M27" s="50"/>
      <c r="N27" s="50"/>
      <c r="O27" s="50"/>
      <c r="P27" s="50"/>
      <c r="Q27" s="50"/>
      <c r="R27" s="50"/>
      <c r="S27" s="56"/>
      <c r="T27" s="50"/>
      <c r="U27" s="50"/>
      <c r="V27" s="55"/>
      <c r="W27" s="55"/>
      <c r="X27" s="55"/>
      <c r="Y27" s="55"/>
      <c r="Z27" s="55"/>
      <c r="AA27" s="76"/>
      <c r="AB27" s="76"/>
      <c r="AC27" s="76"/>
      <c r="AD27" s="76"/>
      <c r="AE27" s="76"/>
    </row>
    <row r="28" spans="1:31" ht="15.75" customHeight="1">
      <c r="A28" s="18">
        <v>3</v>
      </c>
      <c r="B28" s="9" t="s">
        <v>85</v>
      </c>
      <c r="C28" s="10" t="s">
        <v>86</v>
      </c>
      <c r="D28" s="11" t="s">
        <v>87</v>
      </c>
      <c r="E28" s="11" t="s">
        <v>21</v>
      </c>
      <c r="F28" s="11" t="s">
        <v>88</v>
      </c>
      <c r="G28" s="37"/>
      <c r="H28" s="36">
        <v>2719264</v>
      </c>
      <c r="I28" s="49">
        <v>45323</v>
      </c>
      <c r="J28" s="50"/>
      <c r="K28" s="50"/>
      <c r="L28" s="50"/>
      <c r="M28" s="50"/>
      <c r="N28" s="50"/>
      <c r="O28" s="50"/>
      <c r="P28" s="50"/>
      <c r="Q28" s="50"/>
      <c r="R28" s="50"/>
      <c r="S28" s="56"/>
      <c r="T28" s="50"/>
      <c r="U28" s="50"/>
      <c r="V28" s="55"/>
      <c r="W28" s="55"/>
      <c r="X28" s="55"/>
      <c r="Y28" s="55"/>
      <c r="Z28" s="55"/>
      <c r="AA28" s="76"/>
      <c r="AB28" s="76"/>
      <c r="AC28" s="76"/>
      <c r="AD28" s="76"/>
      <c r="AE28" s="76"/>
    </row>
    <row r="29" spans="1:31" ht="15.75" customHeight="1">
      <c r="A29" s="9">
        <v>4</v>
      </c>
      <c r="B29" s="9" t="s">
        <v>12</v>
      </c>
      <c r="C29" s="10" t="s">
        <v>13</v>
      </c>
      <c r="D29" s="11" t="s">
        <v>14</v>
      </c>
      <c r="E29" s="11" t="s">
        <v>15</v>
      </c>
      <c r="F29" s="11" t="s">
        <v>16</v>
      </c>
      <c r="G29" s="38">
        <f>(36-17)*R29</f>
        <v>70952745</v>
      </c>
      <c r="H29" s="39">
        <v>3734355</v>
      </c>
      <c r="I29" s="49">
        <v>45317</v>
      </c>
      <c r="J29" s="44">
        <v>3734355</v>
      </c>
      <c r="K29" s="49">
        <v>45387</v>
      </c>
      <c r="L29" s="44">
        <v>3734355</v>
      </c>
      <c r="M29" s="49">
        <v>45407</v>
      </c>
      <c r="N29" s="44">
        <v>3734355</v>
      </c>
      <c r="O29" s="49">
        <v>45418</v>
      </c>
      <c r="P29" s="44">
        <v>3734355</v>
      </c>
      <c r="Q29" s="44"/>
      <c r="R29" s="44">
        <v>3734355</v>
      </c>
      <c r="S29" s="49">
        <v>45469</v>
      </c>
      <c r="T29" s="54">
        <v>3734355</v>
      </c>
      <c r="U29" s="49">
        <v>45511</v>
      </c>
      <c r="V29" s="57" t="s">
        <v>89</v>
      </c>
      <c r="W29" s="49">
        <v>45524</v>
      </c>
      <c r="X29" s="68">
        <v>3734355</v>
      </c>
      <c r="Y29" s="64">
        <v>45558.379108796304</v>
      </c>
      <c r="Z29" s="54">
        <v>3734355</v>
      </c>
      <c r="AA29" s="77">
        <v>45587</v>
      </c>
      <c r="AB29" s="57">
        <v>3734355</v>
      </c>
      <c r="AC29" s="77">
        <v>45621</v>
      </c>
      <c r="AD29" s="57">
        <v>3734355</v>
      </c>
      <c r="AE29" s="78" t="s">
        <v>116</v>
      </c>
    </row>
    <row r="30" spans="1:31" ht="15.75" customHeight="1">
      <c r="A30" s="9">
        <v>5</v>
      </c>
      <c r="B30" s="9" t="s">
        <v>90</v>
      </c>
      <c r="C30" s="10" t="s">
        <v>91</v>
      </c>
      <c r="D30" s="11" t="s">
        <v>60</v>
      </c>
      <c r="E30" s="11" t="s">
        <v>21</v>
      </c>
      <c r="F30" s="11" t="s">
        <v>61</v>
      </c>
      <c r="G30" s="37"/>
      <c r="H30" s="39">
        <v>2987484</v>
      </c>
      <c r="I30" s="49">
        <v>45320</v>
      </c>
      <c r="J30" s="50"/>
      <c r="K30" s="50"/>
      <c r="L30" s="50"/>
      <c r="M30" s="50"/>
      <c r="N30" s="50"/>
      <c r="O30" s="50"/>
      <c r="P30" s="50"/>
      <c r="Q30" s="50"/>
      <c r="R30" s="50"/>
      <c r="S30" s="56"/>
      <c r="T30" s="50"/>
      <c r="U30" s="50"/>
      <c r="V30" s="55"/>
      <c r="W30" s="55"/>
      <c r="X30" s="69"/>
      <c r="Y30" s="55"/>
      <c r="Z30" s="55"/>
      <c r="AA30" s="79"/>
      <c r="AB30" s="76"/>
      <c r="AC30" s="79"/>
      <c r="AD30" s="76"/>
      <c r="AE30" s="76"/>
    </row>
    <row r="31" spans="1:31" ht="15.75" customHeight="1">
      <c r="A31" s="18">
        <v>6</v>
      </c>
      <c r="B31" s="9" t="s">
        <v>18</v>
      </c>
      <c r="C31" s="10" t="s">
        <v>19</v>
      </c>
      <c r="D31" s="11" t="s">
        <v>20</v>
      </c>
      <c r="E31" s="11" t="s">
        <v>21</v>
      </c>
      <c r="F31" s="11" t="s">
        <v>22</v>
      </c>
      <c r="G31" s="38">
        <f>(36-17)*R31</f>
        <v>56762196</v>
      </c>
      <c r="H31" s="39">
        <v>2987484</v>
      </c>
      <c r="I31" s="49">
        <v>45320</v>
      </c>
      <c r="J31" s="44">
        <v>2987484</v>
      </c>
      <c r="K31" s="49">
        <v>45387</v>
      </c>
      <c r="L31" s="44">
        <v>2987484</v>
      </c>
      <c r="M31" s="49">
        <v>45407</v>
      </c>
      <c r="N31" s="44">
        <v>2987484</v>
      </c>
      <c r="O31" s="49">
        <v>45418</v>
      </c>
      <c r="P31" s="44">
        <v>2987484</v>
      </c>
      <c r="Q31" s="44"/>
      <c r="R31" s="44">
        <v>2987484</v>
      </c>
      <c r="S31" s="49">
        <v>45469</v>
      </c>
      <c r="T31" s="54">
        <v>2987484</v>
      </c>
      <c r="U31" s="49">
        <v>45511</v>
      </c>
      <c r="V31" s="57" t="s">
        <v>92</v>
      </c>
      <c r="W31" s="49">
        <v>45524</v>
      </c>
      <c r="X31" s="70">
        <v>2987484</v>
      </c>
      <c r="Y31" s="65">
        <v>45558.379155092603</v>
      </c>
      <c r="Z31" s="54">
        <v>2987484</v>
      </c>
      <c r="AA31" s="77">
        <v>45587</v>
      </c>
      <c r="AB31" s="57">
        <v>2987484</v>
      </c>
      <c r="AC31" s="77">
        <v>45618</v>
      </c>
      <c r="AD31" s="57">
        <v>2987484</v>
      </c>
      <c r="AE31" s="80">
        <v>45650</v>
      </c>
    </row>
    <row r="32" spans="1:31" ht="15.75" customHeight="1">
      <c r="A32" s="9">
        <v>7</v>
      </c>
      <c r="B32" s="9" t="s">
        <v>23</v>
      </c>
      <c r="C32" s="10" t="s">
        <v>24</v>
      </c>
      <c r="D32" s="11" t="s">
        <v>25</v>
      </c>
      <c r="E32" s="11" t="s">
        <v>21</v>
      </c>
      <c r="F32" s="11" t="s">
        <v>26</v>
      </c>
      <c r="G32" s="38">
        <f>(36-17)*R32</f>
        <v>56762196</v>
      </c>
      <c r="H32" s="39">
        <v>2987484</v>
      </c>
      <c r="I32" s="49">
        <v>45323</v>
      </c>
      <c r="J32" s="44">
        <v>2987484</v>
      </c>
      <c r="K32" s="49">
        <v>45387</v>
      </c>
      <c r="L32" s="44">
        <v>2987484</v>
      </c>
      <c r="M32" s="49">
        <v>45407</v>
      </c>
      <c r="N32" s="44">
        <v>2987484</v>
      </c>
      <c r="O32" s="49">
        <v>45418</v>
      </c>
      <c r="P32" s="44">
        <v>2987484</v>
      </c>
      <c r="Q32" s="44"/>
      <c r="R32" s="44">
        <v>2987484</v>
      </c>
      <c r="S32" s="49">
        <v>45470</v>
      </c>
      <c r="T32" s="54">
        <v>2987484</v>
      </c>
      <c r="U32" s="49">
        <v>45512</v>
      </c>
      <c r="V32" s="57" t="s">
        <v>92</v>
      </c>
      <c r="W32" s="49">
        <v>45524</v>
      </c>
      <c r="X32" s="70">
        <v>2987484</v>
      </c>
      <c r="Y32" s="65">
        <v>45558.378298611096</v>
      </c>
      <c r="Z32" s="54">
        <v>2987484</v>
      </c>
      <c r="AA32" s="77">
        <v>45587</v>
      </c>
      <c r="AB32" s="57">
        <v>2987484</v>
      </c>
      <c r="AC32" s="77">
        <v>45618</v>
      </c>
      <c r="AD32" s="57">
        <v>2987484</v>
      </c>
      <c r="AE32" s="80">
        <v>45650</v>
      </c>
    </row>
    <row r="33" spans="1:35" ht="15.75" customHeight="1">
      <c r="A33" s="18">
        <v>9</v>
      </c>
      <c r="B33" s="18" t="s">
        <v>27</v>
      </c>
      <c r="C33" s="19" t="s">
        <v>28</v>
      </c>
      <c r="D33" s="19" t="s">
        <v>29</v>
      </c>
      <c r="E33" s="11" t="s">
        <v>21</v>
      </c>
      <c r="F33" s="11" t="s">
        <v>30</v>
      </c>
      <c r="G33" s="38">
        <f>(36-15)*R33</f>
        <v>62645100</v>
      </c>
      <c r="H33" s="36">
        <v>2983100</v>
      </c>
      <c r="I33" s="49">
        <v>45323</v>
      </c>
      <c r="J33" s="44">
        <v>2983100</v>
      </c>
      <c r="K33" s="49">
        <v>45407</v>
      </c>
      <c r="L33" s="44">
        <v>2983100</v>
      </c>
      <c r="M33" s="49">
        <v>45407</v>
      </c>
      <c r="N33" s="44">
        <v>2983100</v>
      </c>
      <c r="O33" s="49">
        <v>45418</v>
      </c>
      <c r="P33" s="44">
        <v>2983100</v>
      </c>
      <c r="Q33" s="44"/>
      <c r="R33" s="44">
        <v>2983100</v>
      </c>
      <c r="S33" s="49">
        <v>45470</v>
      </c>
      <c r="T33" s="54">
        <v>2983100</v>
      </c>
      <c r="U33" s="49">
        <v>45512</v>
      </c>
      <c r="V33" s="57" t="s">
        <v>93</v>
      </c>
      <c r="W33" s="49">
        <v>45524</v>
      </c>
      <c r="X33" s="70">
        <v>2983100</v>
      </c>
      <c r="Y33" s="65">
        <v>45558.379074074102</v>
      </c>
      <c r="Z33" s="54">
        <v>2983100</v>
      </c>
      <c r="AA33" s="77">
        <v>45587</v>
      </c>
      <c r="AB33" s="57">
        <v>2983100</v>
      </c>
      <c r="AC33" s="77">
        <v>45618</v>
      </c>
      <c r="AD33" s="57">
        <v>2983100</v>
      </c>
      <c r="AE33" s="78" t="s">
        <v>116</v>
      </c>
    </row>
    <row r="34" spans="1:35" ht="15.75" customHeight="1">
      <c r="A34" s="9">
        <v>11</v>
      </c>
      <c r="B34" s="18" t="s">
        <v>94</v>
      </c>
      <c r="C34" s="19" t="s">
        <v>95</v>
      </c>
      <c r="D34" s="19" t="s">
        <v>96</v>
      </c>
      <c r="E34" s="11" t="s">
        <v>35</v>
      </c>
      <c r="F34" s="11" t="s">
        <v>97</v>
      </c>
      <c r="G34" s="35">
        <f>(36-28)*R34</f>
        <v>26472000</v>
      </c>
      <c r="H34" s="36">
        <v>3309000</v>
      </c>
      <c r="I34" s="49">
        <v>45400</v>
      </c>
      <c r="J34" s="44">
        <v>3309000</v>
      </c>
      <c r="K34" s="49">
        <v>45400</v>
      </c>
      <c r="L34" s="44">
        <v>3309000</v>
      </c>
      <c r="M34" s="49">
        <v>45400</v>
      </c>
      <c r="N34" s="44">
        <v>3309000</v>
      </c>
      <c r="O34" s="44"/>
      <c r="P34" s="44">
        <v>3309000</v>
      </c>
      <c r="Q34" s="49">
        <v>45439</v>
      </c>
      <c r="R34" s="44">
        <v>3309000</v>
      </c>
      <c r="S34" s="49">
        <v>45448</v>
      </c>
      <c r="T34" s="54">
        <v>3309000</v>
      </c>
      <c r="U34" s="54"/>
      <c r="V34" s="54">
        <v>3309000</v>
      </c>
      <c r="W34" s="58">
        <v>45512</v>
      </c>
      <c r="X34" s="71">
        <v>3309000</v>
      </c>
      <c r="Y34" s="65">
        <v>45546.406180555598</v>
      </c>
      <c r="Z34" s="54">
        <v>3309000</v>
      </c>
      <c r="AA34" s="77">
        <v>45587</v>
      </c>
      <c r="AB34" s="57">
        <v>3309000</v>
      </c>
      <c r="AC34" s="77">
        <v>45610</v>
      </c>
      <c r="AD34" s="57">
        <v>3309000</v>
      </c>
      <c r="AE34" s="81">
        <v>45653</v>
      </c>
    </row>
    <row r="35" spans="1:35" ht="15.75" customHeight="1">
      <c r="A35" s="18">
        <v>12</v>
      </c>
      <c r="B35" s="9" t="s">
        <v>32</v>
      </c>
      <c r="C35" s="10" t="s">
        <v>33</v>
      </c>
      <c r="D35" s="19" t="s">
        <v>34</v>
      </c>
      <c r="E35" s="11" t="s">
        <v>35</v>
      </c>
      <c r="F35" s="11" t="s">
        <v>36</v>
      </c>
      <c r="G35" s="13">
        <f>(36-8)*R35</f>
        <v>92332492</v>
      </c>
      <c r="H35" s="39">
        <v>3297589</v>
      </c>
      <c r="I35" s="49">
        <v>45314</v>
      </c>
      <c r="J35" s="44">
        <v>3297589</v>
      </c>
      <c r="K35" s="49">
        <v>45387</v>
      </c>
      <c r="L35" s="51" t="s">
        <v>98</v>
      </c>
      <c r="M35" s="49">
        <v>45525</v>
      </c>
      <c r="N35" s="44">
        <v>3297589</v>
      </c>
      <c r="O35" s="49">
        <v>45434</v>
      </c>
      <c r="P35" s="44">
        <v>3297589</v>
      </c>
      <c r="Q35" s="49">
        <v>45434</v>
      </c>
      <c r="R35" s="44">
        <v>3297589</v>
      </c>
      <c r="S35" s="49">
        <v>45492</v>
      </c>
      <c r="T35" s="54">
        <v>3297589</v>
      </c>
      <c r="U35" s="54"/>
      <c r="V35" s="57" t="s">
        <v>98</v>
      </c>
      <c r="W35" s="49">
        <v>45524</v>
      </c>
      <c r="X35" s="70">
        <v>3297589</v>
      </c>
      <c r="Y35" s="65">
        <v>45553.392928240697</v>
      </c>
      <c r="Z35" s="54">
        <v>3297589</v>
      </c>
      <c r="AA35" s="82">
        <v>45580.479710648098</v>
      </c>
      <c r="AB35" s="57">
        <v>3297589</v>
      </c>
      <c r="AC35" s="83">
        <v>45632</v>
      </c>
      <c r="AD35" s="84">
        <v>3297589</v>
      </c>
      <c r="AE35" s="81">
        <v>45650</v>
      </c>
    </row>
    <row r="36" spans="1:35" ht="15.75" customHeight="1">
      <c r="A36" s="9">
        <v>13</v>
      </c>
      <c r="B36" s="40" t="s">
        <v>38</v>
      </c>
      <c r="C36" s="10" t="s">
        <v>39</v>
      </c>
      <c r="D36" s="11" t="s">
        <v>40</v>
      </c>
      <c r="E36" s="11" t="s">
        <v>35</v>
      </c>
      <c r="F36" s="11" t="s">
        <v>99</v>
      </c>
      <c r="G36" s="41">
        <f>(36-6)*R36</f>
        <v>98927670</v>
      </c>
      <c r="H36" s="42">
        <v>3297589</v>
      </c>
      <c r="I36" s="49">
        <v>45316</v>
      </c>
      <c r="J36" s="52">
        <v>3297589</v>
      </c>
      <c r="K36" s="49">
        <v>45387</v>
      </c>
      <c r="L36" s="52">
        <v>3297589</v>
      </c>
      <c r="M36" s="49">
        <v>45387</v>
      </c>
      <c r="N36" s="52">
        <v>3297589</v>
      </c>
      <c r="O36" s="49">
        <v>45434</v>
      </c>
      <c r="P36" s="52">
        <v>3297589</v>
      </c>
      <c r="Q36" s="49">
        <v>45434</v>
      </c>
      <c r="R36" s="52">
        <v>3297589</v>
      </c>
      <c r="S36" s="49">
        <v>45477</v>
      </c>
      <c r="T36" s="52">
        <v>3297589</v>
      </c>
      <c r="U36" s="49">
        <v>45509</v>
      </c>
      <c r="V36" s="59" t="s">
        <v>98</v>
      </c>
      <c r="W36" s="49">
        <v>45524</v>
      </c>
      <c r="X36" s="68">
        <v>3297589</v>
      </c>
      <c r="Y36" s="64">
        <v>45553.3927430556</v>
      </c>
      <c r="Z36" s="66">
        <v>3297589</v>
      </c>
      <c r="AA36" s="85">
        <v>45587</v>
      </c>
      <c r="AB36" s="84">
        <v>3297589</v>
      </c>
      <c r="AC36" s="83">
        <v>45618</v>
      </c>
      <c r="AD36" s="84">
        <v>3297589</v>
      </c>
      <c r="AE36" s="78" t="s">
        <v>100</v>
      </c>
    </row>
    <row r="37" spans="1:35" ht="15.75" customHeight="1">
      <c r="A37" s="9">
        <v>14</v>
      </c>
      <c r="B37" s="43" t="s">
        <v>43</v>
      </c>
      <c r="C37" s="10" t="s">
        <v>44</v>
      </c>
      <c r="D37" s="11" t="s">
        <v>40</v>
      </c>
      <c r="E37" s="11" t="s">
        <v>35</v>
      </c>
      <c r="F37" s="11" t="s">
        <v>41</v>
      </c>
      <c r="G37" s="22">
        <f>(36-5)*R37</f>
        <v>147021933</v>
      </c>
      <c r="H37" s="44">
        <v>157500000</v>
      </c>
      <c r="I37" s="44"/>
      <c r="J37" s="44">
        <v>4742642.51</v>
      </c>
      <c r="K37" s="49">
        <v>45387</v>
      </c>
      <c r="L37" s="44">
        <v>4742642.51</v>
      </c>
      <c r="M37" s="49">
        <v>45387</v>
      </c>
      <c r="N37" s="44">
        <v>4742642</v>
      </c>
      <c r="O37" s="49">
        <v>45434</v>
      </c>
      <c r="P37" s="44">
        <v>4742642.51</v>
      </c>
      <c r="Q37" s="49">
        <v>45434</v>
      </c>
      <c r="R37" s="44">
        <v>4742643</v>
      </c>
      <c r="S37" s="49">
        <v>45499</v>
      </c>
      <c r="T37" s="44">
        <v>4742643</v>
      </c>
      <c r="U37" s="49">
        <v>45499</v>
      </c>
      <c r="V37" s="60" t="s">
        <v>101</v>
      </c>
      <c r="W37" s="49">
        <v>45524</v>
      </c>
      <c r="X37" s="70">
        <v>4742643</v>
      </c>
      <c r="Y37" s="65">
        <v>45553.392974536997</v>
      </c>
      <c r="Z37" s="86">
        <v>4742643</v>
      </c>
      <c r="AA37" s="87">
        <v>45593</v>
      </c>
      <c r="AB37" s="60">
        <v>4742643</v>
      </c>
      <c r="AC37" s="83">
        <v>45614</v>
      </c>
      <c r="AD37" s="60">
        <v>4742643</v>
      </c>
      <c r="AE37" s="81">
        <v>45650</v>
      </c>
      <c r="AF37" s="33"/>
      <c r="AG37" s="33"/>
      <c r="AH37" s="33"/>
      <c r="AI37" s="33"/>
    </row>
    <row r="38" spans="1:35" ht="15.75" customHeight="1">
      <c r="A38" s="18">
        <v>15</v>
      </c>
      <c r="B38" s="24" t="s">
        <v>46</v>
      </c>
      <c r="C38" s="10" t="s">
        <v>47</v>
      </c>
      <c r="D38" s="11" t="s">
        <v>25</v>
      </c>
      <c r="E38" s="11" t="s">
        <v>35</v>
      </c>
      <c r="F38" s="11" t="s">
        <v>48</v>
      </c>
      <c r="G38" s="22">
        <f>(36-4)*R38</f>
        <v>105536000</v>
      </c>
      <c r="H38" s="44">
        <v>210000000</v>
      </c>
      <c r="I38" s="49">
        <v>45314</v>
      </c>
      <c r="J38" s="50"/>
      <c r="K38" s="50"/>
      <c r="L38" s="44">
        <v>3297589</v>
      </c>
      <c r="M38" s="49">
        <v>45387</v>
      </c>
      <c r="N38" s="44">
        <v>3298000</v>
      </c>
      <c r="O38" s="49">
        <v>45434</v>
      </c>
      <c r="P38" s="44">
        <v>3298000</v>
      </c>
      <c r="Q38" s="49">
        <v>45434</v>
      </c>
      <c r="R38" s="44">
        <v>3298000</v>
      </c>
      <c r="S38" s="53"/>
      <c r="T38" s="44">
        <v>3298000</v>
      </c>
      <c r="U38" s="49">
        <v>45492</v>
      </c>
      <c r="V38" s="59" t="s">
        <v>102</v>
      </c>
      <c r="W38" s="49">
        <v>45524</v>
      </c>
      <c r="X38" s="70">
        <v>3298000</v>
      </c>
      <c r="Y38" s="65">
        <v>45553.392812500002</v>
      </c>
      <c r="Z38" s="88">
        <v>3298000</v>
      </c>
      <c r="AA38" s="82">
        <v>45583.398541666698</v>
      </c>
      <c r="AB38" s="60">
        <v>3298000</v>
      </c>
      <c r="AC38" s="83">
        <v>45614</v>
      </c>
      <c r="AD38" s="60">
        <v>3298000</v>
      </c>
      <c r="AE38" s="81">
        <v>45650</v>
      </c>
      <c r="AF38" s="33"/>
      <c r="AG38" s="33"/>
      <c r="AH38" s="33"/>
      <c r="AI38" s="33"/>
    </row>
    <row r="39" spans="1:35" ht="15.75" customHeight="1">
      <c r="A39" s="9">
        <v>16</v>
      </c>
      <c r="B39" s="26" t="s">
        <v>103</v>
      </c>
      <c r="C39" s="19" t="s">
        <v>104</v>
      </c>
      <c r="D39" s="27" t="s">
        <v>105</v>
      </c>
      <c r="E39" s="11" t="s">
        <v>15</v>
      </c>
      <c r="F39" s="11" t="s">
        <v>16</v>
      </c>
      <c r="G39" s="35">
        <f>(36-23)*R39</f>
        <v>49270650</v>
      </c>
      <c r="H39" s="44">
        <v>3790050.36</v>
      </c>
      <c r="I39" s="49">
        <v>45320</v>
      </c>
      <c r="J39" s="44">
        <v>3790050.36</v>
      </c>
      <c r="K39" s="49">
        <v>45400</v>
      </c>
      <c r="L39" s="44">
        <v>3790050</v>
      </c>
      <c r="M39" s="49">
        <v>45400</v>
      </c>
      <c r="N39" s="44">
        <v>3790050.36</v>
      </c>
      <c r="O39" s="49">
        <v>45407</v>
      </c>
      <c r="P39" s="44">
        <v>3790050</v>
      </c>
      <c r="Q39" s="49">
        <v>45434</v>
      </c>
      <c r="R39" s="44">
        <v>3790050</v>
      </c>
      <c r="S39" s="53"/>
      <c r="T39" s="44">
        <v>3790050</v>
      </c>
      <c r="U39" s="49">
        <v>45481</v>
      </c>
      <c r="V39" s="44">
        <v>3790050</v>
      </c>
      <c r="W39" s="49">
        <v>45517</v>
      </c>
      <c r="X39" s="70">
        <v>8029807</v>
      </c>
      <c r="Y39" s="65">
        <v>45561.382800925901</v>
      </c>
      <c r="Z39" s="55"/>
      <c r="AA39" s="55"/>
      <c r="AB39" s="55"/>
      <c r="AC39" s="55"/>
      <c r="AD39" s="55"/>
      <c r="AE39" s="55"/>
      <c r="AF39" s="33"/>
      <c r="AG39" s="33"/>
      <c r="AH39" s="33"/>
      <c r="AI39" s="33"/>
    </row>
    <row r="40" spans="1:35" ht="15.75" customHeight="1">
      <c r="A40" s="9">
        <v>17</v>
      </c>
      <c r="B40" s="26" t="s">
        <v>106</v>
      </c>
      <c r="C40" s="15" t="s">
        <v>107</v>
      </c>
      <c r="D40" s="27" t="s">
        <v>108</v>
      </c>
      <c r="E40" s="11" t="s">
        <v>15</v>
      </c>
      <c r="F40" s="11" t="s">
        <v>16</v>
      </c>
      <c r="G40" s="35">
        <f>(36-34)*R40</f>
        <v>7260278</v>
      </c>
      <c r="H40" s="45"/>
      <c r="I40" s="45"/>
      <c r="J40" s="39">
        <v>3630139</v>
      </c>
      <c r="K40" s="49">
        <v>45387</v>
      </c>
      <c r="L40" s="39">
        <v>3630139</v>
      </c>
      <c r="M40" s="49">
        <v>45387</v>
      </c>
      <c r="N40" s="39">
        <v>3630139</v>
      </c>
      <c r="O40" s="49">
        <v>45400</v>
      </c>
      <c r="P40" s="39">
        <v>3630139</v>
      </c>
      <c r="Q40" s="39"/>
      <c r="R40" s="39">
        <v>3630139</v>
      </c>
      <c r="S40" s="49">
        <v>45470</v>
      </c>
      <c r="T40" s="39">
        <v>3630139</v>
      </c>
      <c r="U40" s="49">
        <v>45492</v>
      </c>
      <c r="V40" s="60">
        <v>3630139</v>
      </c>
      <c r="W40" s="49">
        <v>45533</v>
      </c>
      <c r="X40" s="70">
        <v>3630139</v>
      </c>
      <c r="Y40" s="65">
        <v>45561.383067129602</v>
      </c>
      <c r="Z40" s="55"/>
      <c r="AA40" s="55"/>
      <c r="AB40" s="60">
        <v>300000000</v>
      </c>
      <c r="AC40" s="83">
        <v>45618</v>
      </c>
      <c r="AD40" s="55"/>
      <c r="AE40" s="55"/>
      <c r="AF40" s="33"/>
      <c r="AG40" s="33"/>
      <c r="AH40" s="33"/>
      <c r="AI40" s="33"/>
    </row>
    <row r="41" spans="1:35" ht="15.75" customHeight="1">
      <c r="A41" s="18">
        <v>18</v>
      </c>
      <c r="B41" s="26" t="s">
        <v>109</v>
      </c>
      <c r="C41" s="15" t="s">
        <v>110</v>
      </c>
      <c r="D41" s="27" t="s">
        <v>111</v>
      </c>
      <c r="E41" s="11" t="s">
        <v>35</v>
      </c>
      <c r="F41" s="15" t="s">
        <v>88</v>
      </c>
      <c r="G41" s="35">
        <f>(36-17)*R41</f>
        <v>56682700</v>
      </c>
      <c r="H41" s="39">
        <v>2983300</v>
      </c>
      <c r="I41" s="49">
        <v>45427</v>
      </c>
      <c r="J41" s="39">
        <v>2983300</v>
      </c>
      <c r="K41" s="49">
        <v>45427</v>
      </c>
      <c r="L41" s="39">
        <v>2983300</v>
      </c>
      <c r="M41" s="49">
        <v>45427</v>
      </c>
      <c r="N41" s="39">
        <v>2983300</v>
      </c>
      <c r="O41" s="49">
        <v>45427</v>
      </c>
      <c r="P41" s="39">
        <v>2983300</v>
      </c>
      <c r="Q41" s="49">
        <v>45427</v>
      </c>
      <c r="R41" s="39">
        <v>2983300</v>
      </c>
      <c r="S41" s="39"/>
      <c r="T41" s="61" t="s">
        <v>112</v>
      </c>
      <c r="U41" s="49">
        <v>45530</v>
      </c>
      <c r="V41" s="60" t="s">
        <v>112</v>
      </c>
      <c r="W41" s="49">
        <v>45524</v>
      </c>
      <c r="X41" s="70">
        <v>2983300</v>
      </c>
      <c r="Y41" s="65">
        <v>45580.394212963001</v>
      </c>
      <c r="Z41" s="88">
        <v>2983300</v>
      </c>
      <c r="AA41" s="87">
        <v>45587</v>
      </c>
      <c r="AB41" s="60">
        <v>2983300</v>
      </c>
      <c r="AC41" s="83">
        <v>45653</v>
      </c>
      <c r="AD41" s="60">
        <v>2983300</v>
      </c>
      <c r="AE41" s="81">
        <v>45653</v>
      </c>
      <c r="AF41" s="33"/>
      <c r="AG41" s="33"/>
      <c r="AH41" s="33"/>
      <c r="AI41" s="33"/>
    </row>
    <row r="42" spans="1:35" ht="15.75" customHeight="1">
      <c r="A42" s="9">
        <v>19</v>
      </c>
      <c r="B42" s="26" t="s">
        <v>50</v>
      </c>
      <c r="C42" s="15" t="s">
        <v>51</v>
      </c>
      <c r="D42" s="27" t="s">
        <v>52</v>
      </c>
      <c r="E42" s="11" t="s">
        <v>35</v>
      </c>
      <c r="F42" s="11" t="s">
        <v>53</v>
      </c>
      <c r="G42" s="46">
        <f>(36-0)*3297589</f>
        <v>118713204</v>
      </c>
      <c r="H42" s="45"/>
      <c r="I42" s="45"/>
      <c r="J42" s="45"/>
      <c r="K42" s="45"/>
      <c r="L42" s="39">
        <v>3014350</v>
      </c>
      <c r="M42" s="49">
        <v>45387</v>
      </c>
      <c r="N42" s="45"/>
      <c r="O42" s="45"/>
      <c r="P42" s="45"/>
      <c r="Q42" s="45"/>
      <c r="R42" s="45"/>
      <c r="S42" s="45"/>
      <c r="T42" s="39">
        <v>210000000</v>
      </c>
      <c r="U42" s="39"/>
      <c r="V42" s="60" t="s">
        <v>98</v>
      </c>
      <c r="W42" s="49">
        <v>45533</v>
      </c>
      <c r="X42" s="72">
        <v>3297589</v>
      </c>
      <c r="Y42" s="65">
        <v>45595</v>
      </c>
      <c r="Z42" s="39">
        <v>3297589</v>
      </c>
      <c r="AA42" s="87">
        <v>45618</v>
      </c>
      <c r="AB42" s="60">
        <v>3297589</v>
      </c>
      <c r="AC42" s="83">
        <v>45645</v>
      </c>
      <c r="AD42" s="99">
        <v>3297589</v>
      </c>
      <c r="AE42" s="93"/>
      <c r="AF42" s="33"/>
      <c r="AG42" s="33"/>
      <c r="AH42" s="33"/>
      <c r="AI42" s="33"/>
    </row>
    <row r="43" spans="1:35" ht="15.75" customHeight="1">
      <c r="A43" s="9">
        <v>20</v>
      </c>
      <c r="B43" s="24" t="s">
        <v>55</v>
      </c>
      <c r="C43" s="10" t="s">
        <v>56</v>
      </c>
      <c r="D43" s="29" t="s">
        <v>20</v>
      </c>
      <c r="E43" s="11" t="s">
        <v>35</v>
      </c>
      <c r="F43" s="11" t="s">
        <v>22</v>
      </c>
      <c r="G43" s="46">
        <f>(36-0)*3297589</f>
        <v>118713204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5"/>
      <c r="S43" s="45"/>
      <c r="T43" s="39">
        <v>210000000</v>
      </c>
      <c r="U43" s="39"/>
      <c r="V43" s="62" t="s">
        <v>102</v>
      </c>
      <c r="W43" s="49">
        <v>45533</v>
      </c>
      <c r="X43" s="70">
        <v>3298000</v>
      </c>
      <c r="Y43" s="65">
        <v>45553.3928703704</v>
      </c>
      <c r="Z43" s="36">
        <v>3298000</v>
      </c>
      <c r="AA43" s="89">
        <v>45580</v>
      </c>
      <c r="AB43" s="60">
        <v>3298000</v>
      </c>
      <c r="AC43" s="89">
        <v>45610</v>
      </c>
      <c r="AD43" s="60">
        <v>3298000</v>
      </c>
      <c r="AE43" s="81">
        <v>45650</v>
      </c>
      <c r="AF43" s="33"/>
      <c r="AG43" s="33"/>
      <c r="AH43" s="33"/>
      <c r="AI43" s="33"/>
    </row>
    <row r="44" spans="1:35" ht="15.75" customHeight="1">
      <c r="A44" s="9">
        <v>21</v>
      </c>
      <c r="B44" s="26" t="s">
        <v>58</v>
      </c>
      <c r="C44" s="10" t="s">
        <v>59</v>
      </c>
      <c r="D44" s="28" t="s">
        <v>60</v>
      </c>
      <c r="E44" s="11" t="s">
        <v>35</v>
      </c>
      <c r="F44" s="29" t="s">
        <v>61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5"/>
      <c r="S44" s="45"/>
      <c r="T44" s="47"/>
      <c r="U44" s="47"/>
      <c r="V44" s="39">
        <v>210000000</v>
      </c>
      <c r="W44" s="15"/>
      <c r="X44" s="73">
        <v>210000000</v>
      </c>
      <c r="Y44" s="65">
        <v>45546.402754629598</v>
      </c>
      <c r="Z44" s="39">
        <v>3297589</v>
      </c>
      <c r="AA44" s="89">
        <v>45593</v>
      </c>
      <c r="AB44" s="60">
        <v>3297589</v>
      </c>
      <c r="AC44" s="89">
        <v>45645</v>
      </c>
      <c r="AD44" s="98">
        <v>3297589</v>
      </c>
      <c r="AE44" s="93"/>
      <c r="AF44" s="33"/>
      <c r="AG44" s="33"/>
      <c r="AH44" s="33"/>
      <c r="AI44" s="33"/>
    </row>
    <row r="45" spans="1:35" ht="15.75" customHeight="1">
      <c r="A45" s="9">
        <v>22</v>
      </c>
      <c r="B45" s="26"/>
      <c r="C45" s="10" t="s">
        <v>113</v>
      </c>
      <c r="D45" s="11"/>
      <c r="E45" s="11"/>
      <c r="F45" s="11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5"/>
      <c r="S45" s="45"/>
      <c r="T45" s="47"/>
      <c r="U45" s="47"/>
      <c r="V45" s="55"/>
      <c r="W45" s="55"/>
      <c r="X45" s="70">
        <v>25260000</v>
      </c>
      <c r="Y45" s="65">
        <v>45548.395393518498</v>
      </c>
      <c r="Z45" s="55"/>
      <c r="AA45" s="55"/>
      <c r="AB45" s="55"/>
      <c r="AC45" s="55"/>
      <c r="AD45" s="55"/>
      <c r="AE45" s="55"/>
      <c r="AF45" s="33"/>
      <c r="AG45" s="33"/>
      <c r="AH45" s="33"/>
      <c r="AI45" s="33"/>
    </row>
    <row r="46" spans="1:35" ht="15.75" customHeight="1">
      <c r="A46" s="9">
        <v>23</v>
      </c>
      <c r="B46" s="26"/>
      <c r="C46" s="10" t="s">
        <v>114</v>
      </c>
      <c r="D46" s="11" t="s">
        <v>80</v>
      </c>
      <c r="E46" s="19" t="s">
        <v>15</v>
      </c>
      <c r="F46" s="11" t="s">
        <v>16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5"/>
      <c r="S46" s="45"/>
      <c r="T46" s="47"/>
      <c r="U46" s="47"/>
      <c r="V46" s="47"/>
      <c r="W46" s="47"/>
      <c r="X46" s="74">
        <v>4239757</v>
      </c>
      <c r="Y46" s="62" t="s">
        <v>115</v>
      </c>
      <c r="Z46" s="39">
        <v>4239757</v>
      </c>
      <c r="AA46" s="89" t="s">
        <v>116</v>
      </c>
      <c r="AB46" s="60">
        <v>4239757</v>
      </c>
      <c r="AC46" s="94">
        <v>45718</v>
      </c>
      <c r="AD46" s="60">
        <v>4239757</v>
      </c>
      <c r="AE46" s="81">
        <v>45718</v>
      </c>
      <c r="AF46" s="33"/>
      <c r="AG46" s="33"/>
      <c r="AH46" s="33"/>
      <c r="AI46" s="33"/>
    </row>
    <row r="47" spans="1:35" ht="15.75" customHeight="1">
      <c r="A47" s="9">
        <v>24</v>
      </c>
      <c r="B47" s="26"/>
      <c r="C47" s="10" t="s">
        <v>117</v>
      </c>
      <c r="D47" s="11"/>
      <c r="E47" s="11"/>
      <c r="F47" s="11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5"/>
      <c r="S47" s="45"/>
      <c r="T47" s="47"/>
      <c r="U47" s="47"/>
      <c r="V47" s="45"/>
      <c r="W47" s="47"/>
      <c r="X47" s="47"/>
      <c r="Y47" s="47"/>
      <c r="Z47" s="42">
        <v>2938900</v>
      </c>
      <c r="AA47" s="81">
        <v>45593</v>
      </c>
      <c r="AB47" s="60">
        <v>2938900</v>
      </c>
      <c r="AC47" s="81">
        <v>45610</v>
      </c>
      <c r="AD47" s="60">
        <v>2938900</v>
      </c>
      <c r="AE47" s="81">
        <v>45660</v>
      </c>
      <c r="AF47" s="33"/>
      <c r="AG47" s="33"/>
      <c r="AH47" s="33"/>
      <c r="AI47" s="33"/>
    </row>
    <row r="48" spans="1:35" ht="15.75" customHeight="1">
      <c r="A48" s="9">
        <v>25</v>
      </c>
      <c r="B48" s="26"/>
      <c r="C48" s="10" t="s">
        <v>118</v>
      </c>
      <c r="D48" s="11"/>
      <c r="E48" s="11"/>
      <c r="F48" s="11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5"/>
      <c r="S48" s="45"/>
      <c r="T48" s="47"/>
      <c r="U48" s="47"/>
      <c r="V48" s="45"/>
      <c r="W48" s="47"/>
      <c r="X48" s="47"/>
      <c r="Y48" s="47"/>
      <c r="Z48" s="42">
        <v>4165500</v>
      </c>
      <c r="AA48" s="89">
        <v>45595</v>
      </c>
      <c r="AB48" s="91">
        <v>4165500</v>
      </c>
      <c r="AC48" s="81">
        <v>45610</v>
      </c>
      <c r="AD48" s="90">
        <v>4165500</v>
      </c>
      <c r="AE48" s="81">
        <v>45650</v>
      </c>
      <c r="AF48" s="33"/>
      <c r="AG48" s="33"/>
      <c r="AH48" s="33"/>
      <c r="AI48" s="33"/>
    </row>
    <row r="49" spans="1:35" ht="15.75" customHeight="1">
      <c r="A49" s="9"/>
      <c r="B49" s="26"/>
      <c r="C49" s="96" t="s">
        <v>131</v>
      </c>
      <c r="D49" s="11"/>
      <c r="E49" s="11"/>
      <c r="F49" s="11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97">
        <v>2920000</v>
      </c>
      <c r="AE49" s="108"/>
      <c r="AF49" s="33"/>
      <c r="AG49" s="33"/>
      <c r="AH49" s="33"/>
      <c r="AI49" s="33"/>
    </row>
    <row r="50" spans="1:35" ht="15.75" customHeight="1">
      <c r="A50" s="159" t="s">
        <v>119</v>
      </c>
      <c r="B50" s="160"/>
      <c r="C50" s="160"/>
      <c r="D50" s="160"/>
      <c r="E50" s="160"/>
      <c r="F50" s="161"/>
      <c r="G50" s="48">
        <f>SUM(G26:G43)</f>
        <v>1123169209</v>
      </c>
      <c r="H50" s="48">
        <f t="shared" ref="H50:V50" si="0">SUM(H26:H43)</f>
        <v>409703417.51999998</v>
      </c>
      <c r="I50" s="48"/>
      <c r="J50" s="48">
        <f t="shared" si="0"/>
        <v>41982490.869999997</v>
      </c>
      <c r="K50" s="48"/>
      <c r="L50" s="48">
        <f t="shared" si="0"/>
        <v>44996840.509999998</v>
      </c>
      <c r="M50" s="48"/>
      <c r="N50" s="48">
        <f t="shared" si="0"/>
        <v>45280489.859999999</v>
      </c>
      <c r="O50" s="48"/>
      <c r="P50" s="48">
        <f t="shared" si="0"/>
        <v>45280490.009999998</v>
      </c>
      <c r="Q50" s="48"/>
      <c r="R50" s="48">
        <f t="shared" si="0"/>
        <v>45280490</v>
      </c>
      <c r="S50" s="48"/>
      <c r="T50" s="48">
        <f t="shared" si="0"/>
        <v>462297191</v>
      </c>
      <c r="U50" s="48"/>
      <c r="V50" s="48">
        <f t="shared" si="0"/>
        <v>14968947</v>
      </c>
      <c r="W50" s="63"/>
      <c r="X50" s="63"/>
      <c r="Y50" s="63"/>
      <c r="Z50" s="92"/>
      <c r="AA50" s="78"/>
      <c r="AB50" s="78"/>
      <c r="AC50" s="78"/>
      <c r="AD50" s="78"/>
      <c r="AE50" s="78"/>
    </row>
    <row r="51" spans="1:35" ht="15.75" customHeight="1"/>
    <row r="52" spans="1:35" ht="15.75" customHeight="1"/>
    <row r="53" spans="1:35" ht="15.75" customHeight="1"/>
    <row r="54" spans="1:35" ht="15.75" customHeight="1"/>
    <row r="55" spans="1:35" ht="15.75" customHeight="1"/>
    <row r="56" spans="1:35" ht="15.75" customHeight="1"/>
    <row r="57" spans="1:35" ht="15.75" customHeight="1"/>
    <row r="58" spans="1:35" ht="15.75" customHeight="1"/>
    <row r="59" spans="1:35" ht="15.75" customHeight="1"/>
    <row r="60" spans="1:35" ht="15.75" customHeight="1"/>
    <row r="61" spans="1:35" ht="15.75" customHeight="1"/>
    <row r="62" spans="1:35" ht="15.75" customHeight="1"/>
    <row r="63" spans="1:35" ht="15.75" customHeight="1"/>
    <row r="64" spans="1:3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</sheetData>
  <mergeCells count="25">
    <mergeCell ref="A50:F50"/>
    <mergeCell ref="A24:A25"/>
    <mergeCell ref="B24:B25"/>
    <mergeCell ref="C24:C25"/>
    <mergeCell ref="D24:D25"/>
    <mergeCell ref="E24:E25"/>
    <mergeCell ref="F24:F25"/>
    <mergeCell ref="A1:K1"/>
    <mergeCell ref="A2:K2"/>
    <mergeCell ref="A21:S21"/>
    <mergeCell ref="A22:S22"/>
    <mergeCell ref="H24:AE24"/>
    <mergeCell ref="AB25:AC25"/>
    <mergeCell ref="AD25:AE25"/>
    <mergeCell ref="G24:G25"/>
    <mergeCell ref="R25:S25"/>
    <mergeCell ref="T25:U25"/>
    <mergeCell ref="V25:W25"/>
    <mergeCell ref="X25:Y25"/>
    <mergeCell ref="Z25:AA25"/>
    <mergeCell ref="H25:I25"/>
    <mergeCell ref="J25:K25"/>
    <mergeCell ref="L25:M25"/>
    <mergeCell ref="N25:O25"/>
    <mergeCell ref="P25:Q25"/>
  </mergeCells>
  <conditionalFormatting sqref="B10">
    <cfRule type="duplicateValues" dxfId="31" priority="15"/>
    <cfRule type="duplicateValues" dxfId="30" priority="16"/>
  </conditionalFormatting>
  <conditionalFormatting sqref="B11">
    <cfRule type="duplicateValues" dxfId="29" priority="11"/>
    <cfRule type="duplicateValues" dxfId="28" priority="12"/>
  </conditionalFormatting>
  <conditionalFormatting sqref="B15">
    <cfRule type="duplicateValues" dxfId="27" priority="1"/>
    <cfRule type="duplicateValues" dxfId="26" priority="2"/>
  </conditionalFormatting>
  <conditionalFormatting sqref="B36">
    <cfRule type="duplicateValues" dxfId="25" priority="13"/>
    <cfRule type="duplicateValues" dxfId="24" priority="14"/>
  </conditionalFormatting>
  <conditionalFormatting sqref="B37">
    <cfRule type="duplicateValues" dxfId="23" priority="5"/>
    <cfRule type="duplicateValues" dxfId="22" priority="6"/>
  </conditionalFormatting>
  <conditionalFormatting sqref="B38">
    <cfRule type="duplicateValues" dxfId="21" priority="3"/>
    <cfRule type="duplicateValues" dxfId="20" priority="4"/>
  </conditionalFormatting>
  <conditionalFormatting sqref="B42:B49">
    <cfRule type="duplicateValues" dxfId="19" priority="27"/>
    <cfRule type="duplicateValues" dxfId="18" priority="28"/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BDCB-799E-41B4-B9CA-8F6500826EF9}">
  <dimension ref="A1:AI771"/>
  <sheetViews>
    <sheetView tabSelected="1" zoomScale="90" zoomScaleNormal="90" workbookViewId="0">
      <pane xSplit="7" ySplit="25" topLeftCell="N27" activePane="bottomRight" state="frozen"/>
      <selection pane="topRight" activeCell="H1" sqref="H1"/>
      <selection pane="bottomLeft" activeCell="A26" sqref="A26"/>
      <selection pane="bottomRight" activeCell="D36" sqref="D36"/>
    </sheetView>
  </sheetViews>
  <sheetFormatPr defaultColWidth="11.19921875" defaultRowHeight="15" customHeight="1"/>
  <cols>
    <col min="1" max="1" width="5.5" style="1" customWidth="1"/>
    <col min="2" max="2" width="10.09765625" style="1" customWidth="1"/>
    <col min="3" max="3" width="25.69921875" style="1" customWidth="1"/>
    <col min="4" max="4" width="30.19921875" style="1" customWidth="1"/>
    <col min="5" max="5" width="18.3984375" style="1" hidden="1" customWidth="1"/>
    <col min="6" max="6" width="21.59765625" style="1" hidden="1" customWidth="1"/>
    <col min="7" max="7" width="19.59765625" style="1" customWidth="1"/>
    <col min="8" max="8" width="21.59765625" style="1" customWidth="1"/>
    <col min="9" max="9" width="23.69921875" style="1" customWidth="1"/>
    <col min="10" max="10" width="23.09765625" style="1" customWidth="1"/>
    <col min="11" max="11" width="22.09765625" style="125" customWidth="1"/>
    <col min="12" max="12" width="18.19921875" style="1" customWidth="1"/>
    <col min="13" max="13" width="14.09765625" style="125" customWidth="1"/>
    <col min="14" max="17" width="14.09765625" style="1" customWidth="1"/>
    <col min="18" max="18" width="14.8984375" style="1" customWidth="1"/>
    <col min="19" max="19" width="14.09765625" style="1" customWidth="1"/>
    <col min="20" max="20" width="15.19921875" style="1" bestFit="1" customWidth="1"/>
    <col min="21" max="23" width="14.09765625" style="1" customWidth="1"/>
    <col min="24" max="24" width="14.69921875" style="1" customWidth="1"/>
    <col min="25" max="25" width="14.09765625" style="1" customWidth="1"/>
    <col min="26" max="26" width="13.09765625" style="1" customWidth="1"/>
    <col min="27" max="27" width="14.09765625" style="67" customWidth="1"/>
    <col min="28" max="28" width="13" style="67" bestFit="1" customWidth="1"/>
    <col min="29" max="30" width="15.59765625" style="67" customWidth="1"/>
    <col min="31" max="31" width="15" style="67" customWidth="1"/>
    <col min="32" max="32" width="15" style="1" customWidth="1"/>
    <col min="33" max="16384" width="11.19921875" style="1"/>
  </cols>
  <sheetData>
    <row r="1" spans="1:27" ht="16.2" hidden="1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33"/>
      <c r="M1" s="12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75"/>
    </row>
    <row r="2" spans="1:27" ht="16.2" hidden="1">
      <c r="A2" s="155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33"/>
      <c r="M2" s="121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75"/>
    </row>
    <row r="3" spans="1:27" ht="22.5" hidden="1" customHeight="1">
      <c r="A3" s="2" t="s">
        <v>2</v>
      </c>
      <c r="B3" s="3"/>
      <c r="C3" s="3"/>
      <c r="D3" s="4"/>
      <c r="E3" s="4"/>
      <c r="F3" s="4"/>
      <c r="G3" s="4"/>
      <c r="H3" s="4"/>
      <c r="I3" s="4"/>
      <c r="J3" s="4"/>
      <c r="K3" s="3"/>
      <c r="L3" s="33"/>
      <c r="M3" s="121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75"/>
    </row>
    <row r="4" spans="1:27" ht="30.75" hidden="1" customHeight="1">
      <c r="A4" s="5" t="s">
        <v>3</v>
      </c>
      <c r="B4" s="6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33"/>
      <c r="K4" s="121"/>
      <c r="L4" s="33"/>
      <c r="M4" s="121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7" ht="15.75" hidden="1" customHeight="1">
      <c r="A5" s="8">
        <v>1</v>
      </c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12">
        <v>237500000</v>
      </c>
      <c r="H5" s="13">
        <v>202391199</v>
      </c>
      <c r="I5" s="15" t="s">
        <v>17</v>
      </c>
      <c r="J5" s="33"/>
      <c r="K5" s="121"/>
      <c r="L5" s="33"/>
      <c r="M5" s="121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7" ht="15.75" hidden="1" customHeight="1">
      <c r="A6" s="14">
        <v>3</v>
      </c>
      <c r="B6" s="9" t="s">
        <v>18</v>
      </c>
      <c r="C6" s="15" t="s">
        <v>19</v>
      </c>
      <c r="D6" s="11" t="s">
        <v>20</v>
      </c>
      <c r="E6" s="11" t="s">
        <v>21</v>
      </c>
      <c r="F6" s="11" t="s">
        <v>22</v>
      </c>
      <c r="G6" s="16">
        <v>190000000</v>
      </c>
      <c r="H6" s="13">
        <v>71556726</v>
      </c>
      <c r="I6" s="15" t="s">
        <v>17</v>
      </c>
      <c r="J6" s="33"/>
      <c r="K6" s="121"/>
      <c r="L6" s="33"/>
      <c r="M6" s="121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7" ht="15.75" hidden="1" customHeight="1">
      <c r="A7" s="17">
        <v>4</v>
      </c>
      <c r="B7" s="9" t="s">
        <v>23</v>
      </c>
      <c r="C7" s="10" t="s">
        <v>24</v>
      </c>
      <c r="D7" s="11" t="s">
        <v>25</v>
      </c>
      <c r="E7" s="11" t="s">
        <v>21</v>
      </c>
      <c r="F7" s="11" t="s">
        <v>26</v>
      </c>
      <c r="G7" s="12">
        <v>190000000</v>
      </c>
      <c r="H7" s="13">
        <v>118664238</v>
      </c>
      <c r="I7" s="15" t="s">
        <v>17</v>
      </c>
      <c r="J7" s="33"/>
      <c r="K7" s="121"/>
      <c r="L7" s="33"/>
      <c r="M7" s="121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7" ht="15.75" hidden="1" customHeight="1">
      <c r="A8" s="17">
        <v>5</v>
      </c>
      <c r="B8" s="18" t="s">
        <v>27</v>
      </c>
      <c r="C8" s="10" t="s">
        <v>28</v>
      </c>
      <c r="D8" s="19" t="s">
        <v>29</v>
      </c>
      <c r="E8" s="11" t="s">
        <v>21</v>
      </c>
      <c r="F8" s="11" t="s">
        <v>30</v>
      </c>
      <c r="G8" s="12">
        <v>190000000</v>
      </c>
      <c r="H8" s="20">
        <v>119730884</v>
      </c>
      <c r="I8" s="15" t="s">
        <v>31</v>
      </c>
      <c r="J8" s="33"/>
      <c r="K8" s="121"/>
      <c r="L8" s="33"/>
      <c r="M8" s="121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7" ht="15.75" hidden="1" customHeight="1">
      <c r="A9" s="17">
        <v>9</v>
      </c>
      <c r="B9" s="9" t="s">
        <v>32</v>
      </c>
      <c r="C9" s="10" t="s">
        <v>33</v>
      </c>
      <c r="D9" s="19" t="s">
        <v>34</v>
      </c>
      <c r="E9" s="11" t="s">
        <v>35</v>
      </c>
      <c r="F9" s="11" t="s">
        <v>36</v>
      </c>
      <c r="G9" s="12">
        <v>210030000</v>
      </c>
      <c r="H9" s="13">
        <v>175026340</v>
      </c>
      <c r="I9" s="15" t="s">
        <v>37</v>
      </c>
      <c r="J9" s="33"/>
      <c r="K9" s="121"/>
      <c r="L9" s="33"/>
      <c r="M9" s="12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7" ht="15.75" hidden="1" customHeight="1">
      <c r="A10" s="17">
        <v>10</v>
      </c>
      <c r="B10" s="21" t="s">
        <v>38</v>
      </c>
      <c r="C10" s="10" t="s">
        <v>39</v>
      </c>
      <c r="D10" s="11" t="s">
        <v>40</v>
      </c>
      <c r="E10" s="11" t="s">
        <v>35</v>
      </c>
      <c r="F10" s="11" t="s">
        <v>41</v>
      </c>
      <c r="G10" s="12">
        <v>210000000</v>
      </c>
      <c r="H10" s="22">
        <v>90725369.5</v>
      </c>
      <c r="I10" s="15" t="s">
        <v>42</v>
      </c>
      <c r="J10" s="33"/>
      <c r="K10" s="121"/>
      <c r="L10" s="33"/>
      <c r="M10" s="12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7" ht="15.75" hidden="1" customHeight="1">
      <c r="A11" s="17">
        <v>11</v>
      </c>
      <c r="B11" s="21" t="s">
        <v>43</v>
      </c>
      <c r="C11" s="10" t="s">
        <v>44</v>
      </c>
      <c r="D11" s="11" t="s">
        <v>40</v>
      </c>
      <c r="E11" s="11" t="s">
        <v>35</v>
      </c>
      <c r="F11" s="11" t="s">
        <v>41</v>
      </c>
      <c r="G11" s="12">
        <v>157500000</v>
      </c>
      <c r="H11" s="22">
        <v>212500000</v>
      </c>
      <c r="I11" s="15" t="s">
        <v>45</v>
      </c>
      <c r="J11" s="33"/>
      <c r="K11" s="121"/>
      <c r="L11" s="33"/>
      <c r="M11" s="12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7" ht="15.75" hidden="1" customHeight="1">
      <c r="A12" s="23">
        <v>12</v>
      </c>
      <c r="B12" s="24" t="s">
        <v>46</v>
      </c>
      <c r="C12" s="10" t="s">
        <v>47</v>
      </c>
      <c r="D12" s="11" t="s">
        <v>25</v>
      </c>
      <c r="E12" s="11" t="s">
        <v>35</v>
      </c>
      <c r="F12" s="11" t="s">
        <v>48</v>
      </c>
      <c r="G12" s="12">
        <v>210000000</v>
      </c>
      <c r="H12" s="22">
        <v>87614025</v>
      </c>
      <c r="I12" s="15" t="s">
        <v>49</v>
      </c>
      <c r="J12" s="33"/>
      <c r="K12" s="121"/>
      <c r="L12" s="33"/>
      <c r="M12" s="12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7" ht="15.75" hidden="1" customHeight="1">
      <c r="A13" s="25">
        <v>13</v>
      </c>
      <c r="B13" s="26" t="s">
        <v>50</v>
      </c>
      <c r="C13" s="15" t="s">
        <v>51</v>
      </c>
      <c r="D13" s="27" t="s">
        <v>52</v>
      </c>
      <c r="E13" s="11" t="s">
        <v>35</v>
      </c>
      <c r="F13" s="11" t="s">
        <v>53</v>
      </c>
      <c r="G13" s="12">
        <v>210000000</v>
      </c>
      <c r="H13" s="22">
        <v>91866196</v>
      </c>
      <c r="I13" s="15" t="s">
        <v>54</v>
      </c>
      <c r="J13" s="33"/>
      <c r="K13" s="121"/>
      <c r="L13" s="33"/>
      <c r="M13" s="12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7" ht="15.75" hidden="1" customHeight="1">
      <c r="A14" s="25">
        <v>14</v>
      </c>
      <c r="B14" s="24" t="s">
        <v>55</v>
      </c>
      <c r="C14" s="10" t="s">
        <v>56</v>
      </c>
      <c r="D14" s="11" t="s">
        <v>20</v>
      </c>
      <c r="E14" s="11" t="s">
        <v>35</v>
      </c>
      <c r="F14" s="11" t="s">
        <v>22</v>
      </c>
      <c r="G14" s="12">
        <v>210000000</v>
      </c>
      <c r="H14" s="22">
        <v>92592177</v>
      </c>
      <c r="I14" s="15" t="s">
        <v>57</v>
      </c>
      <c r="J14" s="33"/>
      <c r="K14" s="121"/>
      <c r="L14" s="33"/>
      <c r="M14" s="12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7" ht="15.75" hidden="1" customHeight="1">
      <c r="A15" s="25"/>
      <c r="B15" s="26" t="s">
        <v>58</v>
      </c>
      <c r="C15" s="10" t="s">
        <v>59</v>
      </c>
      <c r="D15" s="28" t="s">
        <v>60</v>
      </c>
      <c r="E15" s="11" t="s">
        <v>35</v>
      </c>
      <c r="F15" s="29" t="s">
        <v>61</v>
      </c>
      <c r="G15" s="16">
        <v>210000000</v>
      </c>
      <c r="H15" s="22"/>
      <c r="I15" s="15"/>
      <c r="J15" s="33"/>
      <c r="K15" s="121"/>
      <c r="L15" s="33"/>
      <c r="M15" s="12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7" ht="15.75" hidden="1" customHeight="1">
      <c r="A16" s="25"/>
      <c r="B16" s="30"/>
      <c r="C16" s="10"/>
      <c r="D16" s="11"/>
      <c r="E16" s="11"/>
      <c r="F16" s="11"/>
      <c r="G16" s="12"/>
      <c r="H16" s="22"/>
      <c r="I16" s="15"/>
      <c r="J16" s="33"/>
      <c r="K16" s="121"/>
      <c r="L16" s="33"/>
      <c r="M16" s="12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31" ht="15.75" hidden="1" customHeight="1">
      <c r="A17" s="25"/>
      <c r="B17" s="30"/>
      <c r="C17" s="10"/>
      <c r="D17" s="11"/>
      <c r="E17" s="11"/>
      <c r="F17" s="11"/>
      <c r="G17" s="12"/>
      <c r="H17" s="22"/>
      <c r="I17" s="15"/>
      <c r="J17" s="33"/>
      <c r="K17" s="121"/>
      <c r="L17" s="33"/>
      <c r="M17" s="12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31" ht="15.75" hidden="1" customHeight="1">
      <c r="A18" s="25"/>
      <c r="B18" s="30"/>
      <c r="C18" s="10"/>
      <c r="D18" s="11"/>
      <c r="E18" s="11"/>
      <c r="F18" s="11"/>
      <c r="G18" s="12"/>
      <c r="H18" s="22"/>
      <c r="I18" s="15"/>
      <c r="J18" s="33"/>
      <c r="K18" s="121"/>
      <c r="L18" s="33"/>
      <c r="M18" s="12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31" ht="15.75" hidden="1" customHeight="1">
      <c r="A19" s="31"/>
      <c r="B19" s="15"/>
      <c r="C19" s="32"/>
      <c r="D19" s="15"/>
      <c r="E19" s="15"/>
      <c r="F19" s="15"/>
      <c r="G19" s="15"/>
      <c r="H19" s="15"/>
      <c r="I19" s="15"/>
      <c r="J19" s="33"/>
      <c r="K19" s="121"/>
      <c r="L19" s="33"/>
      <c r="M19" s="12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31" ht="15.75" hidden="1" customHeight="1">
      <c r="A20" s="33"/>
      <c r="B20" s="33"/>
      <c r="C20" s="34"/>
      <c r="D20" s="33"/>
      <c r="E20" s="33"/>
      <c r="F20" s="33"/>
      <c r="G20" s="33"/>
      <c r="H20" s="33"/>
      <c r="I20" s="33"/>
      <c r="J20" s="33"/>
      <c r="K20" s="121"/>
      <c r="L20" s="33"/>
      <c r="M20" s="12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75"/>
    </row>
    <row r="21" spans="1:31" ht="15.75" hidden="1" customHeight="1">
      <c r="A21" s="155" t="s">
        <v>62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33"/>
      <c r="U21" s="33"/>
      <c r="V21" s="33"/>
      <c r="W21" s="33"/>
      <c r="X21" s="33"/>
      <c r="Y21" s="33"/>
      <c r="Z21" s="33"/>
      <c r="AA21" s="75"/>
    </row>
    <row r="22" spans="1:31" ht="15.75" hidden="1" customHeight="1">
      <c r="A22" s="155" t="s">
        <v>1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33"/>
      <c r="U22" s="33"/>
      <c r="V22" s="33"/>
      <c r="W22" s="33"/>
      <c r="X22" s="33"/>
      <c r="Y22" s="33"/>
      <c r="Z22" s="33"/>
      <c r="AA22" s="75"/>
    </row>
    <row r="23" spans="1:31" ht="15.75" hidden="1" customHeight="1">
      <c r="A23" s="2" t="s">
        <v>63</v>
      </c>
      <c r="B23" s="3"/>
      <c r="C23" s="3"/>
      <c r="D23" s="4"/>
      <c r="E23" s="4"/>
      <c r="F23" s="4"/>
      <c r="G23" s="4"/>
      <c r="H23" s="4"/>
      <c r="I23" s="4"/>
      <c r="J23" s="4"/>
      <c r="K23" s="3"/>
      <c r="L23" s="33"/>
      <c r="M23" s="12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75"/>
    </row>
    <row r="24" spans="1:31" ht="15.75" customHeight="1">
      <c r="A24" s="162" t="s">
        <v>3</v>
      </c>
      <c r="B24" s="162" t="s">
        <v>4</v>
      </c>
      <c r="C24" s="162" t="s">
        <v>5</v>
      </c>
      <c r="D24" s="164" t="s">
        <v>6</v>
      </c>
      <c r="E24" s="165" t="s">
        <v>7</v>
      </c>
      <c r="F24" s="148" t="s">
        <v>8</v>
      </c>
      <c r="G24" s="168" t="s">
        <v>120</v>
      </c>
      <c r="H24" s="157" t="s">
        <v>65</v>
      </c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</row>
    <row r="25" spans="1:31" ht="15.75" customHeight="1">
      <c r="A25" s="163"/>
      <c r="B25" s="163"/>
      <c r="C25" s="163"/>
      <c r="D25" s="163"/>
      <c r="E25" s="166"/>
      <c r="F25" s="167"/>
      <c r="G25" s="148"/>
      <c r="H25" s="153" t="s">
        <v>66</v>
      </c>
      <c r="I25" s="154"/>
      <c r="J25" s="149" t="s">
        <v>67</v>
      </c>
      <c r="K25" s="150"/>
      <c r="L25" s="149" t="s">
        <v>68</v>
      </c>
      <c r="M25" s="150"/>
      <c r="N25" s="149" t="s">
        <v>69</v>
      </c>
      <c r="O25" s="150"/>
      <c r="P25" s="149" t="s">
        <v>70</v>
      </c>
      <c r="Q25" s="150"/>
      <c r="R25" s="149" t="s">
        <v>71</v>
      </c>
      <c r="S25" s="150"/>
      <c r="T25" s="151" t="s">
        <v>72</v>
      </c>
      <c r="U25" s="152"/>
      <c r="V25" s="151" t="s">
        <v>73</v>
      </c>
      <c r="W25" s="152"/>
      <c r="X25" s="151" t="s">
        <v>74</v>
      </c>
      <c r="Y25" s="152"/>
      <c r="Z25" s="146" t="s">
        <v>75</v>
      </c>
      <c r="AA25" s="147"/>
      <c r="AB25" s="146" t="s">
        <v>76</v>
      </c>
      <c r="AC25" s="147"/>
      <c r="AD25" s="146" t="s">
        <v>77</v>
      </c>
      <c r="AE25" s="147"/>
    </row>
    <row r="26" spans="1:31" ht="15.75" customHeight="1">
      <c r="A26" s="9">
        <v>1</v>
      </c>
      <c r="B26" s="9" t="s">
        <v>12</v>
      </c>
      <c r="C26" s="10" t="s">
        <v>13</v>
      </c>
      <c r="D26" s="11" t="s">
        <v>14</v>
      </c>
      <c r="E26" s="11" t="s">
        <v>15</v>
      </c>
      <c r="F26" s="11" t="s">
        <v>16</v>
      </c>
      <c r="G26" s="106"/>
      <c r="H26" s="38">
        <v>3734355</v>
      </c>
      <c r="I26" s="95">
        <v>45718</v>
      </c>
      <c r="J26" s="100"/>
      <c r="K26" s="106"/>
      <c r="L26" s="100"/>
      <c r="M26" s="106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33"/>
      <c r="AB26" s="100"/>
      <c r="AC26" s="100"/>
      <c r="AD26" s="100"/>
      <c r="AE26" s="133"/>
    </row>
    <row r="27" spans="1:31" ht="15.75" customHeight="1">
      <c r="A27" s="18">
        <v>2</v>
      </c>
      <c r="B27" s="9" t="s">
        <v>18</v>
      </c>
      <c r="C27" s="10" t="s">
        <v>19</v>
      </c>
      <c r="D27" s="110" t="s">
        <v>83</v>
      </c>
      <c r="E27" s="11" t="s">
        <v>21</v>
      </c>
      <c r="F27" s="11" t="s">
        <v>22</v>
      </c>
      <c r="G27" s="101" t="s">
        <v>121</v>
      </c>
      <c r="H27" s="38">
        <v>2987484</v>
      </c>
      <c r="I27" s="95">
        <v>45718</v>
      </c>
      <c r="J27" s="38">
        <v>2987484</v>
      </c>
      <c r="K27" s="122" t="s">
        <v>160</v>
      </c>
      <c r="L27" s="38">
        <v>2987484</v>
      </c>
      <c r="M27" s="122" t="s">
        <v>159</v>
      </c>
      <c r="N27" s="38">
        <v>2987484</v>
      </c>
      <c r="O27" s="120">
        <v>45782</v>
      </c>
      <c r="P27" s="38">
        <v>2987484</v>
      </c>
      <c r="Q27" s="38" t="s">
        <v>153</v>
      </c>
      <c r="R27" s="38">
        <v>2987484</v>
      </c>
      <c r="S27" s="140" t="s">
        <v>148</v>
      </c>
      <c r="T27" s="38">
        <v>2987484</v>
      </c>
      <c r="U27" s="132">
        <v>45861</v>
      </c>
      <c r="V27" s="38">
        <v>2987484</v>
      </c>
      <c r="W27" s="137">
        <v>45884</v>
      </c>
      <c r="X27" s="38">
        <v>2987484</v>
      </c>
      <c r="Y27" s="137"/>
      <c r="Z27" s="38">
        <v>2987484</v>
      </c>
      <c r="AA27" s="139">
        <v>45946</v>
      </c>
      <c r="AB27" s="38">
        <v>2987484</v>
      </c>
      <c r="AC27" s="132"/>
      <c r="AD27" s="38">
        <v>2987484</v>
      </c>
      <c r="AE27" s="132"/>
    </row>
    <row r="28" spans="1:31" ht="15.75" customHeight="1">
      <c r="A28" s="9">
        <v>3</v>
      </c>
      <c r="B28" s="9" t="s">
        <v>23</v>
      </c>
      <c r="C28" s="10" t="s">
        <v>24</v>
      </c>
      <c r="D28" s="110" t="s">
        <v>96</v>
      </c>
      <c r="E28" s="11" t="s">
        <v>21</v>
      </c>
      <c r="F28" s="11" t="s">
        <v>26</v>
      </c>
      <c r="G28" s="101" t="s">
        <v>121</v>
      </c>
      <c r="H28" s="38">
        <v>2987484</v>
      </c>
      <c r="I28" s="95" t="s">
        <v>160</v>
      </c>
      <c r="J28" s="38">
        <v>2987484</v>
      </c>
      <c r="K28" s="122" t="s">
        <v>160</v>
      </c>
      <c r="L28" s="38">
        <v>2987484</v>
      </c>
      <c r="M28" s="122" t="s">
        <v>158</v>
      </c>
      <c r="N28" s="38">
        <v>2987484</v>
      </c>
      <c r="O28" s="119">
        <v>45693</v>
      </c>
      <c r="P28" s="38">
        <v>2987484</v>
      </c>
      <c r="Q28" s="38" t="s">
        <v>153</v>
      </c>
      <c r="R28" s="38">
        <v>2987484</v>
      </c>
      <c r="S28" s="140" t="s">
        <v>149</v>
      </c>
      <c r="T28" s="38">
        <v>2987484</v>
      </c>
      <c r="U28" s="132">
        <v>45861</v>
      </c>
      <c r="V28" s="38">
        <v>2987484</v>
      </c>
      <c r="W28" s="81">
        <v>45884</v>
      </c>
      <c r="X28" s="38">
        <v>2987484</v>
      </c>
      <c r="Y28" s="81">
        <v>45912</v>
      </c>
      <c r="Z28" s="38">
        <v>2987484</v>
      </c>
      <c r="AA28" s="139">
        <v>45946</v>
      </c>
      <c r="AB28" s="38">
        <v>2987484</v>
      </c>
      <c r="AC28" s="132">
        <v>45974</v>
      </c>
      <c r="AD28" s="38">
        <v>2987484</v>
      </c>
      <c r="AE28" s="132">
        <v>46014</v>
      </c>
    </row>
    <row r="29" spans="1:31" ht="15.75" customHeight="1">
      <c r="A29" s="9">
        <v>4</v>
      </c>
      <c r="B29" s="18" t="s">
        <v>27</v>
      </c>
      <c r="C29" s="19" t="s">
        <v>28</v>
      </c>
      <c r="D29" s="111" t="s">
        <v>132</v>
      </c>
      <c r="E29" s="11" t="s">
        <v>21</v>
      </c>
      <c r="F29" s="11" t="s">
        <v>30</v>
      </c>
      <c r="G29" s="101" t="s">
        <v>122</v>
      </c>
      <c r="H29" s="38">
        <v>2983100</v>
      </c>
      <c r="I29" s="95">
        <v>45718</v>
      </c>
      <c r="J29" s="38">
        <v>2983100</v>
      </c>
      <c r="K29" s="126" t="s">
        <v>161</v>
      </c>
      <c r="L29" s="38">
        <v>2983100</v>
      </c>
      <c r="M29" s="123">
        <v>45782</v>
      </c>
      <c r="N29" s="38">
        <v>2983100</v>
      </c>
      <c r="O29" s="38" t="s">
        <v>156</v>
      </c>
      <c r="P29" s="38">
        <v>2983100</v>
      </c>
      <c r="Q29" s="38" t="s">
        <v>153</v>
      </c>
      <c r="R29" s="38">
        <v>2983100</v>
      </c>
      <c r="S29" s="140" t="s">
        <v>148</v>
      </c>
      <c r="T29" s="38">
        <v>2983100</v>
      </c>
      <c r="U29" s="132">
        <v>45861</v>
      </c>
      <c r="V29" s="38">
        <v>2983100</v>
      </c>
      <c r="W29" s="137">
        <v>45884</v>
      </c>
      <c r="X29" s="38">
        <v>2983100</v>
      </c>
      <c r="Y29" s="137"/>
      <c r="Z29" s="38">
        <v>2983100</v>
      </c>
      <c r="AA29" s="132"/>
      <c r="AB29" s="38">
        <v>2983100</v>
      </c>
      <c r="AC29" s="132"/>
      <c r="AD29" s="38">
        <v>2983100</v>
      </c>
      <c r="AE29" s="132"/>
    </row>
    <row r="30" spans="1:31" ht="15.75" customHeight="1">
      <c r="A30" s="18">
        <v>5</v>
      </c>
      <c r="B30" s="18" t="s">
        <v>94</v>
      </c>
      <c r="C30" s="19" t="s">
        <v>95</v>
      </c>
      <c r="D30" s="111" t="s">
        <v>87</v>
      </c>
      <c r="E30" s="11" t="s">
        <v>35</v>
      </c>
      <c r="F30" s="11" t="s">
        <v>97</v>
      </c>
      <c r="G30" s="103" t="s">
        <v>126</v>
      </c>
      <c r="H30" s="35">
        <v>3309000</v>
      </c>
      <c r="I30" s="95" t="s">
        <v>162</v>
      </c>
      <c r="J30" s="35">
        <v>3309000</v>
      </c>
      <c r="K30" s="35" t="s">
        <v>162</v>
      </c>
      <c r="L30" s="100"/>
      <c r="M30" s="106"/>
      <c r="N30" s="100"/>
      <c r="O30" s="100"/>
      <c r="P30" s="100"/>
      <c r="Q30" s="100"/>
      <c r="R30" s="100"/>
      <c r="S30" s="141"/>
      <c r="T30" s="100"/>
      <c r="U30" s="133"/>
      <c r="V30" s="100"/>
      <c r="W30" s="133"/>
      <c r="X30" s="100"/>
      <c r="Y30" s="138"/>
      <c r="Z30" s="100"/>
      <c r="AA30" s="133"/>
      <c r="AB30" s="100"/>
      <c r="AC30" s="133"/>
      <c r="AD30" s="100"/>
      <c r="AE30" s="133"/>
    </row>
    <row r="31" spans="1:31" ht="15.75" customHeight="1">
      <c r="A31" s="9">
        <v>6</v>
      </c>
      <c r="B31" s="9" t="s">
        <v>32</v>
      </c>
      <c r="C31" s="10" t="s">
        <v>33</v>
      </c>
      <c r="D31" s="111" t="s">
        <v>34</v>
      </c>
      <c r="E31" s="11" t="s">
        <v>35</v>
      </c>
      <c r="F31" s="11" t="s">
        <v>36</v>
      </c>
      <c r="G31" s="104" t="s">
        <v>127</v>
      </c>
      <c r="H31" s="73">
        <v>3297589</v>
      </c>
      <c r="I31" s="95">
        <v>45718</v>
      </c>
      <c r="J31" s="13">
        <v>3297589</v>
      </c>
      <c r="K31" s="127" t="s">
        <v>163</v>
      </c>
      <c r="L31" s="13">
        <v>3297589</v>
      </c>
      <c r="M31" s="16" t="s">
        <v>158</v>
      </c>
      <c r="N31" s="13">
        <v>3297589</v>
      </c>
      <c r="O31" s="13" t="s">
        <v>154</v>
      </c>
      <c r="P31" s="13">
        <v>3297589</v>
      </c>
      <c r="Q31" s="13" t="s">
        <v>152</v>
      </c>
      <c r="R31" s="13">
        <v>3297589</v>
      </c>
      <c r="S31" s="142" t="s">
        <v>148</v>
      </c>
      <c r="T31" s="13">
        <v>3297589</v>
      </c>
      <c r="U31" s="134">
        <v>45852</v>
      </c>
      <c r="V31" s="13">
        <v>3297589</v>
      </c>
      <c r="W31" s="134">
        <v>45884</v>
      </c>
      <c r="X31" s="13">
        <v>3297589</v>
      </c>
      <c r="Y31" s="81"/>
      <c r="Z31" s="13">
        <v>3297589</v>
      </c>
      <c r="AA31" s="134"/>
      <c r="AB31" s="13">
        <v>3297589</v>
      </c>
      <c r="AC31" s="134"/>
      <c r="AD31" s="13">
        <v>3297589</v>
      </c>
      <c r="AE31" s="134"/>
    </row>
    <row r="32" spans="1:31" ht="15.75" customHeight="1">
      <c r="A32" s="9">
        <v>7</v>
      </c>
      <c r="B32" s="40" t="s">
        <v>38</v>
      </c>
      <c r="C32" s="10" t="s">
        <v>39</v>
      </c>
      <c r="D32" s="110" t="s">
        <v>133</v>
      </c>
      <c r="E32" s="11" t="s">
        <v>35</v>
      </c>
      <c r="F32" s="11" t="s">
        <v>99</v>
      </c>
      <c r="G32" s="105" t="s">
        <v>130</v>
      </c>
      <c r="H32" s="130">
        <v>3297589</v>
      </c>
      <c r="I32" s="95" t="s">
        <v>164</v>
      </c>
      <c r="J32" s="41">
        <v>3297589</v>
      </c>
      <c r="K32" s="128" t="s">
        <v>162</v>
      </c>
      <c r="L32" s="41">
        <v>3297589</v>
      </c>
      <c r="M32" s="123">
        <v>45811</v>
      </c>
      <c r="N32" s="41">
        <v>3297589</v>
      </c>
      <c r="O32" s="120">
        <v>45782</v>
      </c>
      <c r="P32" s="41">
        <v>3297589</v>
      </c>
      <c r="Q32" s="41" t="s">
        <v>152</v>
      </c>
      <c r="R32" s="41">
        <v>3297589</v>
      </c>
      <c r="S32" s="143" t="s">
        <v>148</v>
      </c>
      <c r="T32" s="41">
        <v>3297589</v>
      </c>
      <c r="U32" s="120">
        <v>45852</v>
      </c>
      <c r="V32" s="41">
        <v>3297589</v>
      </c>
      <c r="W32" s="120">
        <v>45884</v>
      </c>
      <c r="X32" s="41">
        <v>3297589</v>
      </c>
      <c r="Y32" s="116">
        <v>45917</v>
      </c>
      <c r="Z32" s="41">
        <v>3297589</v>
      </c>
      <c r="AA32" s="120">
        <v>45947</v>
      </c>
      <c r="AB32" s="41">
        <v>3297589</v>
      </c>
      <c r="AC32" s="120">
        <v>45974</v>
      </c>
      <c r="AD32" s="41">
        <v>3297589</v>
      </c>
      <c r="AE32" s="120">
        <v>46015</v>
      </c>
    </row>
    <row r="33" spans="1:35" ht="15.75" customHeight="1">
      <c r="A33" s="18">
        <v>8</v>
      </c>
      <c r="B33" s="43" t="s">
        <v>43</v>
      </c>
      <c r="C33" s="10" t="s">
        <v>44</v>
      </c>
      <c r="D33" s="110" t="s">
        <v>134</v>
      </c>
      <c r="E33" s="11" t="s">
        <v>35</v>
      </c>
      <c r="F33" s="11" t="s">
        <v>41</v>
      </c>
      <c r="G33" s="102" t="s">
        <v>128</v>
      </c>
      <c r="H33" s="130">
        <v>4742643</v>
      </c>
      <c r="I33" s="95">
        <v>45718</v>
      </c>
      <c r="J33" s="22">
        <v>4742643</v>
      </c>
      <c r="K33" s="129">
        <v>45750</v>
      </c>
      <c r="L33" s="22">
        <v>4742643</v>
      </c>
      <c r="M33" s="124" t="s">
        <v>158</v>
      </c>
      <c r="N33" s="100"/>
      <c r="O33" s="100"/>
      <c r="P33" s="100"/>
      <c r="Q33" s="100"/>
      <c r="R33" s="100"/>
      <c r="S33" s="100"/>
      <c r="T33" s="100"/>
      <c r="U33" s="133"/>
      <c r="V33" s="100"/>
      <c r="W33" s="133"/>
      <c r="X33" s="100"/>
      <c r="Y33" s="138"/>
      <c r="Z33" s="100"/>
      <c r="AA33" s="133"/>
      <c r="AB33" s="100"/>
      <c r="AC33" s="133"/>
      <c r="AD33" s="100"/>
      <c r="AE33" s="133"/>
      <c r="AF33" s="33"/>
      <c r="AG33" s="33"/>
      <c r="AH33" s="33"/>
      <c r="AI33" s="33"/>
    </row>
    <row r="34" spans="1:35" ht="15.75" customHeight="1">
      <c r="A34" s="9">
        <v>9</v>
      </c>
      <c r="B34" s="24" t="s">
        <v>46</v>
      </c>
      <c r="C34" s="10" t="s">
        <v>47</v>
      </c>
      <c r="D34" s="11" t="s">
        <v>25</v>
      </c>
      <c r="E34" s="11" t="s">
        <v>35</v>
      </c>
      <c r="F34" s="11" t="s">
        <v>48</v>
      </c>
      <c r="G34" s="102" t="s">
        <v>128</v>
      </c>
      <c r="H34" s="130">
        <v>3298000</v>
      </c>
      <c r="I34" s="95">
        <v>45718</v>
      </c>
      <c r="J34" s="22">
        <v>3298000</v>
      </c>
      <c r="K34" s="124" t="s">
        <v>160</v>
      </c>
      <c r="L34" s="22">
        <v>3298000</v>
      </c>
      <c r="M34" s="124" t="s">
        <v>158</v>
      </c>
      <c r="N34" s="22">
        <v>3298000</v>
      </c>
      <c r="O34" s="119">
        <v>45693</v>
      </c>
      <c r="P34" s="22">
        <v>3298000</v>
      </c>
      <c r="Q34" s="22" t="s">
        <v>152</v>
      </c>
      <c r="R34" s="22">
        <v>3298000</v>
      </c>
      <c r="S34" s="46" t="s">
        <v>148</v>
      </c>
      <c r="T34" s="22">
        <v>3298000</v>
      </c>
      <c r="U34" s="119"/>
      <c r="V34" s="22">
        <v>3298000</v>
      </c>
      <c r="W34" s="119">
        <v>45884</v>
      </c>
      <c r="X34" s="22">
        <v>3298000</v>
      </c>
      <c r="Y34" s="95">
        <v>45917</v>
      </c>
      <c r="Z34" s="22">
        <v>3298000</v>
      </c>
      <c r="AA34" s="119">
        <v>45947</v>
      </c>
      <c r="AB34" s="22">
        <v>3298000</v>
      </c>
      <c r="AC34" s="119">
        <v>45974</v>
      </c>
      <c r="AD34" s="22">
        <v>3298000</v>
      </c>
      <c r="AE34" s="119">
        <v>46015</v>
      </c>
      <c r="AF34" s="33"/>
      <c r="AG34" s="33"/>
      <c r="AH34" s="33"/>
      <c r="AI34" s="33"/>
    </row>
    <row r="35" spans="1:35" ht="15.75" customHeight="1">
      <c r="A35" s="9">
        <v>10</v>
      </c>
      <c r="B35" s="26" t="s">
        <v>50</v>
      </c>
      <c r="C35" s="15" t="s">
        <v>51</v>
      </c>
      <c r="D35" s="27" t="s">
        <v>171</v>
      </c>
      <c r="E35" s="11" t="s">
        <v>35</v>
      </c>
      <c r="F35" s="11" t="s">
        <v>53</v>
      </c>
      <c r="G35" s="105" t="s">
        <v>129</v>
      </c>
      <c r="H35" s="91">
        <v>3297589</v>
      </c>
      <c r="I35" s="116" t="s">
        <v>165</v>
      </c>
      <c r="J35" s="91">
        <v>3297589</v>
      </c>
      <c r="K35" s="128" t="s">
        <v>164</v>
      </c>
      <c r="L35" s="91">
        <v>3297589</v>
      </c>
      <c r="M35" s="123" t="s">
        <v>158</v>
      </c>
      <c r="N35" s="91">
        <v>3297589</v>
      </c>
      <c r="O35" s="97"/>
      <c r="P35" s="91">
        <v>3297589</v>
      </c>
      <c r="Q35" s="117" t="s">
        <v>152</v>
      </c>
      <c r="R35" s="91">
        <v>3297589</v>
      </c>
      <c r="S35" s="117" t="s">
        <v>148</v>
      </c>
      <c r="T35" s="91">
        <v>3297589</v>
      </c>
      <c r="U35" s="116">
        <v>45876</v>
      </c>
      <c r="V35" s="91">
        <v>3297589</v>
      </c>
      <c r="W35" s="116">
        <v>45903</v>
      </c>
      <c r="X35" s="91">
        <v>3297589</v>
      </c>
      <c r="Y35" s="116">
        <v>45967</v>
      </c>
      <c r="Z35" s="91">
        <v>3297589</v>
      </c>
      <c r="AA35" s="116">
        <v>45967</v>
      </c>
      <c r="AB35" s="91">
        <v>3297589</v>
      </c>
      <c r="AC35" s="116">
        <v>45967</v>
      </c>
      <c r="AD35" s="91">
        <v>3297589</v>
      </c>
      <c r="AE35" s="116"/>
      <c r="AF35" s="33"/>
      <c r="AG35" s="33"/>
      <c r="AH35" s="33"/>
      <c r="AI35" s="33"/>
    </row>
    <row r="36" spans="1:35" ht="15.75" customHeight="1">
      <c r="A36" s="18">
        <v>11</v>
      </c>
      <c r="B36" s="24" t="s">
        <v>55</v>
      </c>
      <c r="C36" s="10" t="s">
        <v>56</v>
      </c>
      <c r="D36" s="29" t="s">
        <v>20</v>
      </c>
      <c r="E36" s="11" t="s">
        <v>35</v>
      </c>
      <c r="F36" s="11" t="s">
        <v>22</v>
      </c>
      <c r="G36" s="102" t="s">
        <v>129</v>
      </c>
      <c r="H36" s="91">
        <v>3298000</v>
      </c>
      <c r="I36" s="95">
        <v>45718</v>
      </c>
      <c r="J36" s="46">
        <v>3298000</v>
      </c>
      <c r="K36" s="124" t="s">
        <v>162</v>
      </c>
      <c r="L36" s="46">
        <v>3298000</v>
      </c>
      <c r="M36" s="124" t="s">
        <v>157</v>
      </c>
      <c r="N36" s="46">
        <v>3298000</v>
      </c>
      <c r="O36" s="95">
        <v>45693</v>
      </c>
      <c r="P36" s="46">
        <v>3298000</v>
      </c>
      <c r="Q36" s="46" t="s">
        <v>152</v>
      </c>
      <c r="R36" s="100"/>
      <c r="S36" s="100"/>
      <c r="T36" s="100"/>
      <c r="U36" s="133"/>
      <c r="V36" s="100"/>
      <c r="W36" s="133"/>
      <c r="X36" s="100"/>
      <c r="Y36" s="138"/>
      <c r="Z36" s="100"/>
      <c r="AA36" s="133"/>
      <c r="AB36" s="100"/>
      <c r="AC36" s="133"/>
      <c r="AD36" s="100"/>
      <c r="AE36" s="133"/>
      <c r="AF36" s="33"/>
      <c r="AG36" s="33"/>
      <c r="AH36" s="33"/>
      <c r="AI36" s="33"/>
    </row>
    <row r="37" spans="1:35" ht="15.75" customHeight="1">
      <c r="A37" s="9">
        <v>12</v>
      </c>
      <c r="B37" s="26" t="s">
        <v>58</v>
      </c>
      <c r="C37" s="10" t="s">
        <v>59</v>
      </c>
      <c r="D37" s="28" t="s">
        <v>60</v>
      </c>
      <c r="E37" s="11" t="s">
        <v>35</v>
      </c>
      <c r="F37" s="29" t="s">
        <v>61</v>
      </c>
      <c r="G37" s="101" t="s">
        <v>123</v>
      </c>
      <c r="H37" s="91">
        <v>3297589</v>
      </c>
      <c r="I37" s="95">
        <v>45718</v>
      </c>
      <c r="J37" s="46">
        <v>3297589</v>
      </c>
      <c r="K37" s="129">
        <v>45719</v>
      </c>
      <c r="L37" s="46">
        <v>3297589</v>
      </c>
      <c r="M37" s="123">
        <v>45782</v>
      </c>
      <c r="N37" s="46">
        <v>3297589</v>
      </c>
      <c r="O37" s="95">
        <v>45693</v>
      </c>
      <c r="P37" s="100"/>
      <c r="Q37" s="100"/>
      <c r="R37" s="100"/>
      <c r="S37" s="100"/>
      <c r="T37" s="100"/>
      <c r="U37" s="133"/>
      <c r="V37" s="100"/>
      <c r="W37" s="133"/>
      <c r="X37" s="100"/>
      <c r="Y37" s="138"/>
      <c r="Z37" s="100"/>
      <c r="AA37" s="133"/>
      <c r="AB37" s="100"/>
      <c r="AC37" s="133"/>
      <c r="AD37" s="100"/>
      <c r="AE37" s="133"/>
      <c r="AF37" s="33"/>
      <c r="AG37" s="33"/>
      <c r="AH37" s="33"/>
      <c r="AI37" s="33"/>
    </row>
    <row r="38" spans="1:35" ht="15.75" customHeight="1">
      <c r="A38" s="9">
        <v>13</v>
      </c>
      <c r="B38" s="26" t="s">
        <v>138</v>
      </c>
      <c r="C38" s="10" t="s">
        <v>114</v>
      </c>
      <c r="D38" s="11" t="s">
        <v>80</v>
      </c>
      <c r="E38" s="19" t="s">
        <v>15</v>
      </c>
      <c r="F38" s="11" t="s">
        <v>16</v>
      </c>
      <c r="G38" s="102" t="s">
        <v>125</v>
      </c>
      <c r="H38" s="91">
        <v>4239757</v>
      </c>
      <c r="I38" s="95">
        <v>45718</v>
      </c>
      <c r="J38" s="46">
        <v>4239757</v>
      </c>
      <c r="K38" s="124" t="s">
        <v>162</v>
      </c>
      <c r="L38" s="100"/>
      <c r="M38" s="106"/>
      <c r="N38" s="100"/>
      <c r="O38" s="100"/>
      <c r="P38" s="100"/>
      <c r="Q38" s="100"/>
      <c r="R38" s="100"/>
      <c r="S38" s="100"/>
      <c r="T38" s="100"/>
      <c r="U38" s="133"/>
      <c r="V38" s="100"/>
      <c r="W38" s="133"/>
      <c r="X38" s="100"/>
      <c r="Y38" s="138"/>
      <c r="Z38" s="100"/>
      <c r="AA38" s="133"/>
      <c r="AB38" s="100"/>
      <c r="AC38" s="133"/>
      <c r="AD38" s="100"/>
      <c r="AE38" s="133"/>
      <c r="AF38" s="33"/>
      <c r="AG38" s="33"/>
      <c r="AH38" s="33"/>
      <c r="AI38" s="33"/>
    </row>
    <row r="39" spans="1:35" ht="15.75" customHeight="1">
      <c r="A39" s="18">
        <v>14</v>
      </c>
      <c r="B39" s="26" t="s">
        <v>139</v>
      </c>
      <c r="C39" s="10" t="s">
        <v>117</v>
      </c>
      <c r="D39" s="112" t="s">
        <v>135</v>
      </c>
      <c r="E39" s="11"/>
      <c r="F39" s="11"/>
      <c r="G39" s="101" t="s">
        <v>121</v>
      </c>
      <c r="H39" s="91">
        <v>2938900</v>
      </c>
      <c r="I39" s="95">
        <v>45718</v>
      </c>
      <c r="J39" s="46">
        <v>2938900</v>
      </c>
      <c r="K39" s="124" t="s">
        <v>164</v>
      </c>
      <c r="L39" s="46">
        <v>2938900</v>
      </c>
      <c r="M39" s="124" t="s">
        <v>159</v>
      </c>
      <c r="N39" s="46">
        <v>2938900</v>
      </c>
      <c r="O39" s="95">
        <v>45782</v>
      </c>
      <c r="P39" s="46">
        <v>2938900</v>
      </c>
      <c r="Q39" s="95">
        <v>45813</v>
      </c>
      <c r="R39" s="46">
        <v>2938900</v>
      </c>
      <c r="S39" s="46" t="s">
        <v>150</v>
      </c>
      <c r="T39" s="46">
        <v>2938900</v>
      </c>
      <c r="U39" s="95">
        <v>45881</v>
      </c>
      <c r="V39" s="46">
        <v>2938900</v>
      </c>
      <c r="W39" s="95">
        <v>45881</v>
      </c>
      <c r="X39" s="46">
        <v>2938900</v>
      </c>
      <c r="Y39" s="95">
        <v>45912</v>
      </c>
      <c r="Z39" s="46">
        <v>2938900</v>
      </c>
      <c r="AA39" s="95">
        <v>45937</v>
      </c>
      <c r="AB39" s="46">
        <v>2938900</v>
      </c>
      <c r="AC39" s="95">
        <v>45974</v>
      </c>
      <c r="AD39" s="46">
        <v>2938900</v>
      </c>
      <c r="AE39" s="95">
        <v>46020</v>
      </c>
      <c r="AF39" s="33"/>
      <c r="AG39" s="33"/>
      <c r="AH39" s="33"/>
      <c r="AI39" s="33"/>
    </row>
    <row r="40" spans="1:35" ht="15.75" customHeight="1">
      <c r="A40" s="9">
        <v>15</v>
      </c>
      <c r="B40" s="43" t="s">
        <v>106</v>
      </c>
      <c r="C40" s="96" t="s">
        <v>107</v>
      </c>
      <c r="D40" s="110" t="s">
        <v>136</v>
      </c>
      <c r="E40" s="11" t="s">
        <v>35</v>
      </c>
      <c r="F40" s="11" t="s">
        <v>41</v>
      </c>
      <c r="G40" s="102" t="s">
        <v>124</v>
      </c>
      <c r="H40" s="117">
        <v>4710842</v>
      </c>
      <c r="I40" s="95">
        <v>45719</v>
      </c>
      <c r="J40" s="46">
        <v>4710842</v>
      </c>
      <c r="K40" s="124" t="s">
        <v>164</v>
      </c>
      <c r="L40" s="46">
        <v>4710842</v>
      </c>
      <c r="M40" s="124" t="s">
        <v>158</v>
      </c>
      <c r="N40" s="46">
        <v>4710842</v>
      </c>
      <c r="O40" s="46" t="s">
        <v>155</v>
      </c>
      <c r="P40" s="46">
        <v>4710842</v>
      </c>
      <c r="Q40" s="46" t="s">
        <v>152</v>
      </c>
      <c r="R40" s="46">
        <v>3710842</v>
      </c>
      <c r="S40" s="46" t="s">
        <v>148</v>
      </c>
      <c r="T40" s="46">
        <v>3710842</v>
      </c>
      <c r="U40" s="95">
        <v>45852</v>
      </c>
      <c r="V40" s="46">
        <v>3710842</v>
      </c>
      <c r="W40" s="95">
        <v>45884</v>
      </c>
      <c r="X40" s="46">
        <v>3710842</v>
      </c>
      <c r="Y40" s="95">
        <v>45917</v>
      </c>
      <c r="Z40" s="46">
        <v>3710842</v>
      </c>
      <c r="AA40" s="95">
        <v>45946</v>
      </c>
      <c r="AB40" s="46">
        <v>3710842</v>
      </c>
      <c r="AC40" s="95">
        <v>45974</v>
      </c>
      <c r="AD40" s="46">
        <v>3710842</v>
      </c>
      <c r="AE40" s="95">
        <v>46014</v>
      </c>
      <c r="AF40" s="33"/>
      <c r="AG40" s="33"/>
      <c r="AH40" s="33"/>
      <c r="AI40" s="33"/>
    </row>
    <row r="41" spans="1:35" ht="15.75" customHeight="1">
      <c r="A41" s="9">
        <v>16</v>
      </c>
      <c r="B41" s="24" t="s">
        <v>140</v>
      </c>
      <c r="C41" s="96" t="s">
        <v>141</v>
      </c>
      <c r="D41" s="110" t="s">
        <v>14</v>
      </c>
      <c r="E41" s="11" t="s">
        <v>35</v>
      </c>
      <c r="F41" s="11" t="s">
        <v>48</v>
      </c>
      <c r="G41" s="114" t="s">
        <v>144</v>
      </c>
      <c r="H41" s="100"/>
      <c r="I41" s="100"/>
      <c r="J41" s="100"/>
      <c r="K41" s="106"/>
      <c r="L41" s="100"/>
      <c r="M41" s="106"/>
      <c r="N41" s="100"/>
      <c r="O41" s="100"/>
      <c r="P41" s="100"/>
      <c r="Q41" s="100"/>
      <c r="R41" s="100"/>
      <c r="S41" s="100"/>
      <c r="T41" s="46">
        <v>270000000</v>
      </c>
      <c r="U41" s="95">
        <v>45856</v>
      </c>
      <c r="V41" s="46"/>
      <c r="W41" s="95"/>
      <c r="X41" s="46">
        <v>4239758</v>
      </c>
      <c r="Y41" s="95">
        <v>45931</v>
      </c>
      <c r="Z41" s="46">
        <v>4239758</v>
      </c>
      <c r="AA41" s="95">
        <v>45947</v>
      </c>
      <c r="AB41" s="46">
        <v>4239758</v>
      </c>
      <c r="AC41" s="95">
        <v>45974</v>
      </c>
      <c r="AD41" s="144">
        <v>4239758</v>
      </c>
      <c r="AE41" s="95">
        <v>46015</v>
      </c>
      <c r="AF41" s="33"/>
      <c r="AG41" s="33"/>
      <c r="AH41" s="33"/>
      <c r="AI41" s="33"/>
    </row>
    <row r="42" spans="1:35" ht="15.75" customHeight="1">
      <c r="A42" s="18">
        <v>17</v>
      </c>
      <c r="B42" s="26" t="s">
        <v>142</v>
      </c>
      <c r="C42" s="107" t="s">
        <v>143</v>
      </c>
      <c r="D42" s="113" t="s">
        <v>137</v>
      </c>
      <c r="E42" s="29" t="s">
        <v>35</v>
      </c>
      <c r="F42" s="15" t="s">
        <v>88</v>
      </c>
      <c r="G42" s="115" t="s">
        <v>145</v>
      </c>
      <c r="H42" s="100"/>
      <c r="I42" s="100"/>
      <c r="J42" s="100"/>
      <c r="K42" s="106"/>
      <c r="L42" s="100"/>
      <c r="M42" s="106"/>
      <c r="N42" s="46">
        <v>300000000</v>
      </c>
      <c r="O42" s="95">
        <v>45843</v>
      </c>
      <c r="P42" s="100"/>
      <c r="Q42" s="100"/>
      <c r="R42" s="145">
        <v>4710842</v>
      </c>
      <c r="S42" s="46" t="s">
        <v>148</v>
      </c>
      <c r="T42" s="100"/>
      <c r="U42" s="133"/>
      <c r="V42" s="100"/>
      <c r="W42" s="133"/>
      <c r="X42" s="100"/>
      <c r="Y42" s="138"/>
      <c r="Z42" s="100"/>
      <c r="AA42" s="133"/>
      <c r="AB42" s="100"/>
      <c r="AC42" s="133"/>
      <c r="AD42" s="100"/>
      <c r="AE42" s="133"/>
      <c r="AF42" s="33"/>
      <c r="AG42" s="33"/>
      <c r="AH42" s="33"/>
      <c r="AI42" s="33"/>
    </row>
    <row r="43" spans="1:35" ht="15.75" customHeight="1">
      <c r="A43" s="18">
        <v>18</v>
      </c>
      <c r="B43" s="26"/>
      <c r="C43" s="107" t="s">
        <v>146</v>
      </c>
      <c r="D43" s="110" t="s">
        <v>134</v>
      </c>
      <c r="E43" s="28"/>
      <c r="F43" s="118"/>
      <c r="G43" s="115"/>
      <c r="H43" s="100"/>
      <c r="I43" s="100"/>
      <c r="J43" s="100"/>
      <c r="K43" s="106"/>
      <c r="L43" s="100"/>
      <c r="M43" s="106"/>
      <c r="N43" s="100"/>
      <c r="O43" s="100"/>
      <c r="P43" s="46">
        <v>3319500</v>
      </c>
      <c r="Q43" s="46" t="s">
        <v>151</v>
      </c>
      <c r="R43" s="145">
        <v>3319500</v>
      </c>
      <c r="S43" s="95">
        <v>45754</v>
      </c>
      <c r="T43" s="46">
        <v>3319500</v>
      </c>
      <c r="U43" s="95">
        <v>45876</v>
      </c>
      <c r="V43" s="46">
        <v>3319500</v>
      </c>
      <c r="W43" s="95">
        <v>45903</v>
      </c>
      <c r="X43" s="46">
        <v>3319500</v>
      </c>
      <c r="Y43" s="95">
        <v>45931</v>
      </c>
      <c r="Z43" s="46">
        <v>3319500</v>
      </c>
      <c r="AA43" s="95">
        <v>45964</v>
      </c>
      <c r="AB43" s="46">
        <v>3319500</v>
      </c>
      <c r="AC43" s="95">
        <v>45999</v>
      </c>
      <c r="AD43" s="46">
        <v>3319500</v>
      </c>
      <c r="AE43" s="95">
        <v>46015</v>
      </c>
      <c r="AF43" s="33"/>
      <c r="AG43" s="33"/>
      <c r="AH43" s="33"/>
      <c r="AI43" s="33"/>
    </row>
    <row r="44" spans="1:35" ht="15.75" customHeight="1">
      <c r="A44" s="18">
        <v>19</v>
      </c>
      <c r="B44" s="26"/>
      <c r="C44" s="107" t="s">
        <v>147</v>
      </c>
      <c r="D44" s="11" t="s">
        <v>60</v>
      </c>
      <c r="E44" s="28"/>
      <c r="F44" s="118"/>
      <c r="G44" s="115"/>
      <c r="H44" s="100"/>
      <c r="I44" s="100"/>
      <c r="J44" s="100"/>
      <c r="K44" s="106"/>
      <c r="L44" s="100"/>
      <c r="M44" s="106"/>
      <c r="N44" s="100"/>
      <c r="O44" s="100"/>
      <c r="P44" s="46">
        <v>3227300</v>
      </c>
      <c r="Q44" s="95">
        <v>45937</v>
      </c>
      <c r="R44" s="145">
        <v>3227300</v>
      </c>
      <c r="S44" s="95">
        <v>45937</v>
      </c>
      <c r="T44" s="46">
        <v>3227300</v>
      </c>
      <c r="U44" s="95">
        <v>45876</v>
      </c>
      <c r="V44" s="46">
        <v>3227300</v>
      </c>
      <c r="W44" s="95">
        <v>45903</v>
      </c>
      <c r="X44" s="46">
        <v>3227300</v>
      </c>
      <c r="Y44" s="95">
        <v>45912</v>
      </c>
      <c r="Z44" s="46">
        <v>3227300</v>
      </c>
      <c r="AA44" s="95">
        <v>45946</v>
      </c>
      <c r="AB44" s="46">
        <v>3227300</v>
      </c>
      <c r="AC44" s="95">
        <v>45974</v>
      </c>
      <c r="AD44" s="46">
        <v>3227300</v>
      </c>
      <c r="AE44" s="95">
        <v>46015</v>
      </c>
      <c r="AF44" s="33"/>
      <c r="AG44" s="33"/>
      <c r="AH44" s="33"/>
      <c r="AI44" s="33"/>
    </row>
    <row r="45" spans="1:35" ht="15.75" customHeight="1">
      <c r="A45" s="131"/>
      <c r="B45" s="135"/>
      <c r="C45" s="136" t="s">
        <v>166</v>
      </c>
      <c r="D45" s="28"/>
      <c r="E45" s="28"/>
      <c r="F45" s="118"/>
      <c r="G45" s="115"/>
      <c r="H45" s="100"/>
      <c r="I45" s="100"/>
      <c r="J45" s="100"/>
      <c r="K45" s="106"/>
      <c r="L45" s="100"/>
      <c r="M45" s="106"/>
      <c r="N45" s="100"/>
      <c r="O45" s="100"/>
      <c r="P45" s="46">
        <v>3227300</v>
      </c>
      <c r="Q45" s="95">
        <v>45848</v>
      </c>
      <c r="R45" s="145"/>
      <c r="S45" s="95"/>
      <c r="T45" s="46">
        <v>3351000</v>
      </c>
      <c r="U45" s="95">
        <v>45881</v>
      </c>
      <c r="V45" s="46">
        <v>3351000</v>
      </c>
      <c r="W45" s="95">
        <v>45903</v>
      </c>
      <c r="X45" s="46">
        <v>3351000</v>
      </c>
      <c r="Y45" s="95">
        <v>45917</v>
      </c>
      <c r="Z45" s="46">
        <v>3351000</v>
      </c>
      <c r="AA45" s="95">
        <v>45986</v>
      </c>
      <c r="AB45" s="46">
        <v>3351000</v>
      </c>
      <c r="AC45" s="95">
        <v>46020</v>
      </c>
      <c r="AD45" s="46">
        <v>3351000</v>
      </c>
      <c r="AE45" s="95">
        <v>46020</v>
      </c>
      <c r="AF45" s="33"/>
      <c r="AG45" s="33"/>
      <c r="AH45" s="33"/>
      <c r="AI45" s="33"/>
    </row>
    <row r="46" spans="1:35" ht="15.75" customHeight="1">
      <c r="A46" s="131"/>
      <c r="B46" s="135"/>
      <c r="C46" s="136" t="s">
        <v>143</v>
      </c>
      <c r="D46" s="28"/>
      <c r="E46" s="28"/>
      <c r="F46" s="118"/>
      <c r="G46" s="115"/>
      <c r="H46" s="100"/>
      <c r="I46" s="100"/>
      <c r="J46" s="100"/>
      <c r="K46" s="106"/>
      <c r="L46" s="100"/>
      <c r="M46" s="106"/>
      <c r="N46" s="100"/>
      <c r="O46" s="100"/>
      <c r="P46" s="46"/>
      <c r="Q46" s="95"/>
      <c r="R46" s="145">
        <v>4710842</v>
      </c>
      <c r="S46" s="95">
        <v>45824</v>
      </c>
      <c r="T46" s="46"/>
      <c r="U46" s="95"/>
      <c r="V46" s="46"/>
      <c r="W46" s="95"/>
      <c r="X46" s="46"/>
      <c r="Y46" s="95"/>
      <c r="Z46" s="46"/>
      <c r="AA46" s="95"/>
      <c r="AB46" s="46"/>
      <c r="AC46" s="95"/>
      <c r="AD46" s="46"/>
      <c r="AE46" s="95"/>
      <c r="AF46" s="33"/>
      <c r="AG46" s="33"/>
      <c r="AH46" s="33"/>
      <c r="AI46" s="33"/>
    </row>
    <row r="47" spans="1:35" ht="15.75" customHeight="1">
      <c r="A47" s="131"/>
      <c r="B47" s="135"/>
      <c r="C47" s="136" t="s">
        <v>167</v>
      </c>
      <c r="D47" s="28"/>
      <c r="E47" s="28"/>
      <c r="F47" s="118"/>
      <c r="G47" s="115"/>
      <c r="H47" s="100"/>
      <c r="I47" s="100"/>
      <c r="J47" s="100"/>
      <c r="K47" s="106"/>
      <c r="L47" s="100"/>
      <c r="M47" s="106"/>
      <c r="N47" s="100"/>
      <c r="O47" s="100"/>
      <c r="P47" s="46"/>
      <c r="Q47" s="95"/>
      <c r="R47" s="145"/>
      <c r="S47" s="95"/>
      <c r="T47" s="46"/>
      <c r="U47" s="95"/>
      <c r="V47" s="46"/>
      <c r="W47" s="95"/>
      <c r="X47" s="46">
        <v>3319167</v>
      </c>
      <c r="Y47" s="95">
        <v>45931</v>
      </c>
      <c r="Z47" s="46">
        <v>3319167</v>
      </c>
      <c r="AA47" s="95">
        <v>45953</v>
      </c>
      <c r="AB47" s="46">
        <v>3319167</v>
      </c>
      <c r="AC47" s="95">
        <v>46009</v>
      </c>
      <c r="AD47" s="46">
        <v>3319167</v>
      </c>
      <c r="AE47" s="95">
        <v>46020</v>
      </c>
      <c r="AF47" s="33"/>
      <c r="AG47" s="33"/>
      <c r="AH47" s="33"/>
      <c r="AI47" s="33"/>
    </row>
    <row r="48" spans="1:35" ht="15.75" customHeight="1">
      <c r="A48" s="131"/>
      <c r="B48" s="135"/>
      <c r="C48" s="136" t="s">
        <v>168</v>
      </c>
      <c r="D48" s="28"/>
      <c r="E48" s="28"/>
      <c r="F48" s="118"/>
      <c r="G48" s="115"/>
      <c r="H48" s="100"/>
      <c r="I48" s="100"/>
      <c r="J48" s="100"/>
      <c r="K48" s="106"/>
      <c r="L48" s="100"/>
      <c r="M48" s="106"/>
      <c r="N48" s="100"/>
      <c r="O48" s="100"/>
      <c r="P48" s="46"/>
      <c r="Q48" s="95"/>
      <c r="R48" s="145"/>
      <c r="S48" s="95"/>
      <c r="T48" s="46"/>
      <c r="U48" s="95"/>
      <c r="V48" s="46"/>
      <c r="W48" s="95"/>
      <c r="X48" s="46">
        <v>3319167</v>
      </c>
      <c r="Y48" s="95">
        <v>45931</v>
      </c>
      <c r="Z48" s="46">
        <v>3319167</v>
      </c>
      <c r="AA48" s="95">
        <v>45953</v>
      </c>
      <c r="AB48" s="46">
        <v>3319167</v>
      </c>
      <c r="AC48" s="95">
        <v>46009</v>
      </c>
      <c r="AD48" s="46">
        <v>3319167</v>
      </c>
      <c r="AE48" s="95">
        <v>46020</v>
      </c>
      <c r="AF48" s="33"/>
      <c r="AG48" s="33"/>
      <c r="AH48" s="33"/>
      <c r="AI48" s="33"/>
    </row>
    <row r="49" spans="1:35" ht="15.75" customHeight="1">
      <c r="A49" s="131"/>
      <c r="B49" s="135"/>
      <c r="C49" s="136" t="s">
        <v>169</v>
      </c>
      <c r="D49" s="28"/>
      <c r="E49" s="28"/>
      <c r="F49" s="118"/>
      <c r="G49" s="115"/>
      <c r="H49" s="100"/>
      <c r="I49" s="100"/>
      <c r="J49" s="100"/>
      <c r="K49" s="106"/>
      <c r="L49" s="100"/>
      <c r="M49" s="106"/>
      <c r="N49" s="100"/>
      <c r="O49" s="100"/>
      <c r="P49" s="46"/>
      <c r="Q49" s="95"/>
      <c r="R49" s="145"/>
      <c r="S49" s="95"/>
      <c r="T49" s="46">
        <v>3808500</v>
      </c>
      <c r="U49" s="95">
        <v>46020</v>
      </c>
      <c r="V49" s="46">
        <v>3808500</v>
      </c>
      <c r="W49" s="95">
        <v>46020</v>
      </c>
      <c r="X49" s="46">
        <v>3808500</v>
      </c>
      <c r="Y49" s="95">
        <v>46020</v>
      </c>
      <c r="Z49" s="46">
        <v>3808500</v>
      </c>
      <c r="AA49" s="95">
        <v>46015</v>
      </c>
      <c r="AB49" s="46">
        <v>3808500</v>
      </c>
      <c r="AC49" s="95">
        <v>46015</v>
      </c>
      <c r="AD49" s="46"/>
      <c r="AE49" s="95"/>
      <c r="AF49" s="33"/>
      <c r="AG49" s="33"/>
      <c r="AH49" s="33"/>
      <c r="AI49" s="33"/>
    </row>
    <row r="50" spans="1:35" ht="15.75" customHeight="1">
      <c r="A50" s="131"/>
      <c r="B50" s="135"/>
      <c r="C50" s="136" t="s">
        <v>170</v>
      </c>
      <c r="D50" s="28"/>
      <c r="E50" s="28"/>
      <c r="F50" s="118"/>
      <c r="G50" s="115"/>
      <c r="H50" s="100"/>
      <c r="I50" s="100"/>
      <c r="J50" s="100"/>
      <c r="K50" s="106"/>
      <c r="L50" s="100"/>
      <c r="M50" s="106"/>
      <c r="N50" s="100"/>
      <c r="O50" s="100"/>
      <c r="P50" s="46"/>
      <c r="Q50" s="95"/>
      <c r="R50" s="145"/>
      <c r="S50" s="95"/>
      <c r="T50" s="46"/>
      <c r="U50" s="95"/>
      <c r="V50" s="46"/>
      <c r="W50" s="95"/>
      <c r="X50" s="46"/>
      <c r="Y50" s="95"/>
      <c r="Z50" s="46"/>
      <c r="AA50" s="95"/>
      <c r="AB50" s="46"/>
      <c r="AC50" s="95"/>
      <c r="AD50" s="46">
        <v>235000000</v>
      </c>
      <c r="AE50" s="95">
        <v>46009</v>
      </c>
      <c r="AF50" s="33"/>
      <c r="AG50" s="33"/>
      <c r="AH50" s="33"/>
      <c r="AI50" s="33"/>
    </row>
    <row r="51" spans="1:35" ht="15.75" customHeight="1">
      <c r="A51" s="131"/>
      <c r="B51" s="135"/>
      <c r="C51" s="136"/>
      <c r="D51" s="28"/>
      <c r="E51" s="28"/>
      <c r="F51" s="118"/>
      <c r="G51" s="115"/>
      <c r="H51" s="100"/>
      <c r="I51" s="100"/>
      <c r="J51" s="100"/>
      <c r="K51" s="106"/>
      <c r="L51" s="100"/>
      <c r="M51" s="106"/>
      <c r="N51" s="100"/>
      <c r="O51" s="100"/>
      <c r="P51" s="46"/>
      <c r="Q51" s="95"/>
      <c r="R51" s="145"/>
      <c r="S51" s="95"/>
      <c r="T51" s="46"/>
      <c r="U51" s="95"/>
      <c r="V51" s="46"/>
      <c r="W51" s="95"/>
      <c r="X51" s="46"/>
      <c r="Y51" s="95"/>
      <c r="Z51" s="46"/>
      <c r="AA51" s="95"/>
      <c r="AB51" s="46"/>
      <c r="AC51" s="95"/>
      <c r="AD51" s="46"/>
      <c r="AE51" s="95"/>
      <c r="AF51" s="33"/>
      <c r="AG51" s="33"/>
      <c r="AH51" s="33"/>
      <c r="AI51" s="33"/>
    </row>
    <row r="52" spans="1:35" ht="15.75" customHeight="1">
      <c r="A52" s="131"/>
      <c r="B52" s="135"/>
      <c r="C52" s="136"/>
      <c r="D52" s="28"/>
      <c r="E52" s="28"/>
      <c r="F52" s="118"/>
      <c r="G52" s="115"/>
      <c r="H52" s="100"/>
      <c r="I52" s="100"/>
      <c r="J52" s="100"/>
      <c r="K52" s="106"/>
      <c r="L52" s="100"/>
      <c r="M52" s="106"/>
      <c r="N52" s="100"/>
      <c r="O52" s="100"/>
      <c r="P52" s="46"/>
      <c r="Q52" s="95"/>
      <c r="R52" s="145"/>
      <c r="S52" s="95"/>
      <c r="T52" s="46"/>
      <c r="U52" s="95"/>
      <c r="V52" s="46"/>
      <c r="W52" s="95"/>
      <c r="X52" s="46"/>
      <c r="Y52" s="95"/>
      <c r="Z52" s="46"/>
      <c r="AA52" s="95"/>
      <c r="AB52" s="46"/>
      <c r="AC52" s="95"/>
      <c r="AD52" s="46"/>
      <c r="AE52" s="95"/>
      <c r="AF52" s="33"/>
      <c r="AG52" s="33"/>
      <c r="AH52" s="33"/>
      <c r="AI52" s="33"/>
    </row>
    <row r="53" spans="1:35" ht="15.75" customHeight="1">
      <c r="A53" s="131"/>
      <c r="B53" s="135"/>
      <c r="C53" s="136"/>
      <c r="D53" s="28"/>
      <c r="E53" s="28"/>
      <c r="F53" s="118"/>
      <c r="G53" s="115"/>
      <c r="H53" s="100"/>
      <c r="I53" s="100"/>
      <c r="J53" s="100"/>
      <c r="K53" s="106"/>
      <c r="L53" s="100"/>
      <c r="M53" s="106"/>
      <c r="N53" s="100"/>
      <c r="O53" s="100"/>
      <c r="P53" s="46"/>
      <c r="Q53" s="95"/>
      <c r="R53" s="145"/>
      <c r="S53" s="95"/>
      <c r="T53" s="46"/>
      <c r="U53" s="95"/>
      <c r="V53" s="46"/>
      <c r="W53" s="95"/>
      <c r="X53" s="46"/>
      <c r="Y53" s="95"/>
      <c r="Z53" s="46"/>
      <c r="AA53" s="95"/>
      <c r="AB53" s="46"/>
      <c r="AC53" s="95"/>
      <c r="AD53" s="46"/>
      <c r="AE53" s="95"/>
      <c r="AF53" s="33"/>
      <c r="AG53" s="33"/>
      <c r="AH53" s="33"/>
      <c r="AI53" s="33"/>
    </row>
    <row r="54" spans="1:35" ht="15.75" customHeight="1">
      <c r="A54" s="131"/>
      <c r="B54" s="135"/>
      <c r="C54" s="136"/>
      <c r="D54" s="28"/>
      <c r="E54" s="28"/>
      <c r="F54" s="118"/>
      <c r="G54" s="115"/>
      <c r="H54" s="100"/>
      <c r="I54" s="100"/>
      <c r="J54" s="100"/>
      <c r="K54" s="106"/>
      <c r="L54" s="100"/>
      <c r="M54" s="106"/>
      <c r="N54" s="100"/>
      <c r="O54" s="100"/>
      <c r="P54" s="46"/>
      <c r="Q54" s="95"/>
      <c r="R54" s="145"/>
      <c r="S54" s="95"/>
      <c r="T54" s="46"/>
      <c r="U54" s="95"/>
      <c r="V54" s="46"/>
      <c r="W54" s="95"/>
      <c r="X54" s="46"/>
      <c r="Y54" s="95"/>
      <c r="Z54" s="46"/>
      <c r="AA54" s="95"/>
      <c r="AB54" s="46"/>
      <c r="AC54" s="95"/>
      <c r="AD54" s="46"/>
      <c r="AE54" s="95"/>
      <c r="AF54" s="33"/>
      <c r="AG54" s="33"/>
      <c r="AH54" s="33"/>
      <c r="AI54" s="33"/>
    </row>
    <row r="55" spans="1:35" ht="15.75" customHeight="1">
      <c r="A55" s="159" t="s">
        <v>119</v>
      </c>
      <c r="B55" s="160"/>
      <c r="C55" s="160"/>
      <c r="D55" s="160"/>
      <c r="E55" s="160"/>
      <c r="F55" s="161"/>
      <c r="G55" s="48">
        <f>SUM(G26:G36)</f>
        <v>0</v>
      </c>
      <c r="H55" s="48">
        <f t="shared" ref="H55:O55" si="0">SUM(H26:H44)</f>
        <v>52419921</v>
      </c>
      <c r="I55" s="48">
        <f t="shared" si="0"/>
        <v>502899</v>
      </c>
      <c r="J55" s="48">
        <f t="shared" si="0"/>
        <v>48685566</v>
      </c>
      <c r="K55" s="48">
        <f t="shared" si="0"/>
        <v>91469</v>
      </c>
      <c r="L55" s="48">
        <f t="shared" si="0"/>
        <v>41136809</v>
      </c>
      <c r="M55" s="48">
        <f t="shared" si="0"/>
        <v>137375</v>
      </c>
      <c r="N55" s="48">
        <f t="shared" si="0"/>
        <v>336394166</v>
      </c>
      <c r="O55" s="48">
        <f t="shared" si="0"/>
        <v>365961</v>
      </c>
      <c r="P55" s="48">
        <f>SUM(P26:P45)</f>
        <v>42870677</v>
      </c>
      <c r="Q55" s="48">
        <f>SUM(Q26:Q44)</f>
        <v>91750</v>
      </c>
      <c r="R55" s="48">
        <f>SUM(R26:R44)</f>
        <v>40056219</v>
      </c>
      <c r="S55" s="48">
        <f>SUM(S26:S44)</f>
        <v>91691</v>
      </c>
      <c r="T55" s="48">
        <f>SUM(T26:T44)</f>
        <v>305345377</v>
      </c>
      <c r="U55" s="48">
        <f>SUM(U26:U44)</f>
        <v>504504</v>
      </c>
      <c r="V55" s="48">
        <f>SUM(V26:V45)</f>
        <v>38696377</v>
      </c>
      <c r="W55" s="48">
        <f t="shared" ref="W55:AE55" si="1">SUM(W26:W44)</f>
        <v>504778</v>
      </c>
      <c r="X55" s="48">
        <f t="shared" si="1"/>
        <v>39585135</v>
      </c>
      <c r="Y55" s="48">
        <f t="shared" si="1"/>
        <v>413316</v>
      </c>
      <c r="Z55" s="48">
        <f t="shared" si="1"/>
        <v>39585135</v>
      </c>
      <c r="AA55" s="48">
        <f t="shared" si="1"/>
        <v>459493</v>
      </c>
      <c r="AB55" s="48">
        <f t="shared" si="1"/>
        <v>39585135</v>
      </c>
      <c r="AC55" s="48">
        <f t="shared" si="1"/>
        <v>413784</v>
      </c>
      <c r="AD55" s="48">
        <f t="shared" si="1"/>
        <v>39585135</v>
      </c>
      <c r="AE55" s="48">
        <f t="shared" si="1"/>
        <v>368123</v>
      </c>
    </row>
    <row r="56" spans="1:35" ht="15.75" customHeight="1">
      <c r="L56" s="109">
        <f>H55+J55+L55</f>
        <v>142242296</v>
      </c>
    </row>
    <row r="57" spans="1:35" ht="15.75" customHeight="1"/>
    <row r="58" spans="1:35" ht="15.75" customHeight="1"/>
    <row r="59" spans="1:35" ht="15.75" customHeight="1"/>
    <row r="60" spans="1:35" ht="15.75" customHeight="1"/>
    <row r="61" spans="1:35" ht="15.75" customHeight="1"/>
    <row r="62" spans="1:35" ht="15.75" customHeight="1"/>
    <row r="63" spans="1:35" ht="15.75" customHeight="1"/>
    <row r="64" spans="1:3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</sheetData>
  <mergeCells count="25">
    <mergeCell ref="X25:Y25"/>
    <mergeCell ref="Z25:AA25"/>
    <mergeCell ref="AB25:AC25"/>
    <mergeCell ref="AD25:AE25"/>
    <mergeCell ref="A55:F55"/>
    <mergeCell ref="G24:G25"/>
    <mergeCell ref="H24:AE24"/>
    <mergeCell ref="H25:I25"/>
    <mergeCell ref="J25:K25"/>
    <mergeCell ref="L25:M25"/>
    <mergeCell ref="N25:O25"/>
    <mergeCell ref="P25:Q25"/>
    <mergeCell ref="R25:S25"/>
    <mergeCell ref="T25:U25"/>
    <mergeCell ref="V25:W25"/>
    <mergeCell ref="A1:K1"/>
    <mergeCell ref="A2:K2"/>
    <mergeCell ref="A21:S21"/>
    <mergeCell ref="A22:S22"/>
    <mergeCell ref="A24:A25"/>
    <mergeCell ref="B24:B25"/>
    <mergeCell ref="C24:C25"/>
    <mergeCell ref="D24:D25"/>
    <mergeCell ref="E24:E25"/>
    <mergeCell ref="F24:F25"/>
  </mergeCells>
  <conditionalFormatting sqref="B10">
    <cfRule type="duplicateValues" dxfId="17" priority="17"/>
    <cfRule type="duplicateValues" dxfId="16" priority="18"/>
  </conditionalFormatting>
  <conditionalFormatting sqref="B11">
    <cfRule type="duplicateValues" dxfId="15" priority="13"/>
    <cfRule type="duplicateValues" dxfId="14" priority="14"/>
  </conditionalFormatting>
  <conditionalFormatting sqref="B15">
    <cfRule type="duplicateValues" dxfId="13" priority="5"/>
    <cfRule type="duplicateValues" dxfId="12" priority="6"/>
  </conditionalFormatting>
  <conditionalFormatting sqref="B32">
    <cfRule type="duplicateValues" dxfId="11" priority="15"/>
    <cfRule type="duplicateValues" dxfId="10" priority="16"/>
  </conditionalFormatting>
  <conditionalFormatting sqref="B33">
    <cfRule type="duplicateValues" dxfId="9" priority="9"/>
    <cfRule type="duplicateValues" dxfId="8" priority="10"/>
  </conditionalFormatting>
  <conditionalFormatting sqref="B34">
    <cfRule type="duplicateValues" dxfId="7" priority="7"/>
    <cfRule type="duplicateValues" dxfId="6" priority="8"/>
  </conditionalFormatting>
  <conditionalFormatting sqref="B35:B39">
    <cfRule type="duplicateValues" dxfId="5" priority="29"/>
    <cfRule type="duplicateValues" dxfId="4" priority="30"/>
  </conditionalFormatting>
  <conditionalFormatting sqref="B40">
    <cfRule type="duplicateValues" dxfId="3" priority="3"/>
    <cfRule type="duplicateValues" dxfId="2" priority="4"/>
  </conditionalFormatting>
  <conditionalFormatting sqref="B41">
    <cfRule type="duplicateValues" dxfId="1" priority="1"/>
    <cfRule type="duplicateValues" dxfId="0" priority="2"/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34 UID SULSELRABAR_2024</vt:lpstr>
      <vt:lpstr>34 UID SULSELRABAR_2025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Sekretariat 1</dc:creator>
  <cp:lastModifiedBy>WINDOWS 11 GPT</cp:lastModifiedBy>
  <dcterms:created xsi:type="dcterms:W3CDTF">2024-07-19T00:45:00Z</dcterms:created>
  <dcterms:modified xsi:type="dcterms:W3CDTF">2026-01-09T02:30:07Z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B02993339EDF4D6980784482743AB358_12</vt:lpwstr>
  </property>
</Properties>
</file>