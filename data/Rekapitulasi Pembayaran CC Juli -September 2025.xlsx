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PPD\invoice cc bni\"/>
    </mc:Choice>
  </mc:AlternateContent>
  <xr:revisionPtr revIDLastSave="0" documentId="8_{ACEB07D3-6A14-4354-A940-527E7D69D545}" xr6:coauthVersionLast="47" xr6:coauthVersionMax="47" xr10:uidLastSave="{00000000-0000-0000-0000-000000000000}"/>
  <bookViews>
    <workbookView xWindow="-120" yWindow="-120" windowWidth="29040" windowHeight="15720" xr2:uid="{9238C539-B709-4257-B92D-DA33816D98B7}"/>
  </bookViews>
  <sheets>
    <sheet name="Juli 25 - 5657" sheetId="6" r:id="rId1"/>
    <sheet name="Agustus 25 - 5657" sheetId="5" r:id="rId2"/>
    <sheet name="September 25 - 5657" sheetId="4" r:id="rId3"/>
    <sheet name="September 25 - 9386" sheetId="3" r:id="rId4"/>
  </sheets>
  <externalReferences>
    <externalReference r:id="rId5"/>
    <externalReference r:id="rId6"/>
    <externalReference r:id="rId7"/>
    <externalReference r:id="rId8"/>
  </externalReferences>
  <definedNames>
    <definedName name="_xlnm._FilterDatabase" localSheetId="1" hidden="1">'Agustus 25 - 5657'!$B$5:$I$459</definedName>
    <definedName name="_xlnm._FilterDatabase" localSheetId="0" hidden="1">'Juli 25 - 5657'!$B$5:$J$335</definedName>
    <definedName name="_xlnm._FilterDatabase" localSheetId="2" hidden="1">'September 25 - 5657'!$B$5:$I$468</definedName>
    <definedName name="_xlnm._FilterDatabase" localSheetId="3" hidden="1">'September 25 - 9386'!$B$5:$J$458</definedName>
    <definedName name="_xlnm.Print_Area" localSheetId="1">'Agustus 25 - 5657'!$B$2:$I$459</definedName>
    <definedName name="_xlnm.Print_Area" localSheetId="0">'Juli 25 - 5657'!$B$2:$I$335</definedName>
    <definedName name="_xlnm.Print_Area" localSheetId="2">'September 25 - 5657'!$B$2:$I$468</definedName>
    <definedName name="_xlnm.Print_Area" localSheetId="3">'September 25 - 9386'!$B$2:$I$458</definedName>
    <definedName name="_xlnm.Print_Titles" localSheetId="1">'Agustus 25 - 5657'!$2:$5</definedName>
    <definedName name="_xlnm.Print_Titles" localSheetId="0">'Juli 25 - 5657'!$2:$5</definedName>
    <definedName name="_xlnm.Print_Titles" localSheetId="2">'September 25 - 5657'!$2:$5</definedName>
    <definedName name="_xlnm.Print_Titles" localSheetId="3">'September 25 - 9386'!$2:$5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0" i="6" l="1"/>
  <c r="I327" i="6"/>
  <c r="I330" i="6" s="1"/>
  <c r="H327" i="6"/>
  <c r="G327" i="6"/>
  <c r="F327" i="6"/>
  <c r="E327" i="6"/>
  <c r="D327" i="6"/>
  <c r="C326" i="6"/>
  <c r="I246" i="6"/>
  <c r="H246" i="6"/>
  <c r="G246" i="6"/>
  <c r="F246" i="6"/>
  <c r="E246" i="6"/>
  <c r="D246" i="6"/>
  <c r="I245" i="6"/>
  <c r="H245" i="6"/>
  <c r="G245" i="6"/>
  <c r="F245" i="6"/>
  <c r="E245" i="6"/>
  <c r="D245" i="6"/>
  <c r="I244" i="6"/>
  <c r="H244" i="6"/>
  <c r="G244" i="6"/>
  <c r="F244" i="6"/>
  <c r="E244" i="6"/>
  <c r="D244" i="6"/>
  <c r="I243" i="6"/>
  <c r="H243" i="6"/>
  <c r="G243" i="6"/>
  <c r="F243" i="6"/>
  <c r="E243" i="6"/>
  <c r="D243" i="6"/>
  <c r="I242" i="6"/>
  <c r="H242" i="6"/>
  <c r="G242" i="6"/>
  <c r="F242" i="6"/>
  <c r="E242" i="6"/>
  <c r="D242" i="6"/>
  <c r="I241" i="6"/>
  <c r="H241" i="6"/>
  <c r="G241" i="6"/>
  <c r="F241" i="6"/>
  <c r="E241" i="6"/>
  <c r="D241" i="6"/>
  <c r="I240" i="6"/>
  <c r="H240" i="6"/>
  <c r="G240" i="6"/>
  <c r="F240" i="6"/>
  <c r="E240" i="6"/>
  <c r="D240" i="6"/>
  <c r="I239" i="6"/>
  <c r="H239" i="6"/>
  <c r="G239" i="6"/>
  <c r="F239" i="6"/>
  <c r="E239" i="6"/>
  <c r="D239" i="6"/>
  <c r="I238" i="6"/>
  <c r="H238" i="6"/>
  <c r="G238" i="6"/>
  <c r="F238" i="6"/>
  <c r="E238" i="6"/>
  <c r="D238" i="6"/>
  <c r="I237" i="6"/>
  <c r="H237" i="6"/>
  <c r="G237" i="6"/>
  <c r="F237" i="6"/>
  <c r="E237" i="6"/>
  <c r="D237" i="6"/>
  <c r="I236" i="6"/>
  <c r="H236" i="6"/>
  <c r="G236" i="6"/>
  <c r="F236" i="6"/>
  <c r="E236" i="6"/>
  <c r="D236" i="6"/>
  <c r="I235" i="6"/>
  <c r="H235" i="6"/>
  <c r="G235" i="6"/>
  <c r="F235" i="6"/>
  <c r="E235" i="6"/>
  <c r="D235" i="6"/>
  <c r="I234" i="6"/>
  <c r="H234" i="6"/>
  <c r="G234" i="6"/>
  <c r="F234" i="6"/>
  <c r="E234" i="6"/>
  <c r="D234" i="6"/>
  <c r="I233" i="6"/>
  <c r="H233" i="6"/>
  <c r="G233" i="6"/>
  <c r="F233" i="6"/>
  <c r="E233" i="6"/>
  <c r="D233" i="6"/>
  <c r="I232" i="6"/>
  <c r="H232" i="6"/>
  <c r="G232" i="6"/>
  <c r="F232" i="6"/>
  <c r="E232" i="6"/>
  <c r="D232" i="6"/>
  <c r="I231" i="6"/>
  <c r="H231" i="6"/>
  <c r="G231" i="6"/>
  <c r="F231" i="6"/>
  <c r="E231" i="6"/>
  <c r="D231" i="6"/>
  <c r="I230" i="6"/>
  <c r="H230" i="6"/>
  <c r="G230" i="6"/>
  <c r="F230" i="6"/>
  <c r="E230" i="6"/>
  <c r="D230" i="6"/>
  <c r="I229" i="6"/>
  <c r="H229" i="6"/>
  <c r="G229" i="6"/>
  <c r="F229" i="6"/>
  <c r="E229" i="6"/>
  <c r="D229" i="6"/>
  <c r="I228" i="6"/>
  <c r="H228" i="6"/>
  <c r="G228" i="6"/>
  <c r="F228" i="6"/>
  <c r="E228" i="6"/>
  <c r="D228" i="6"/>
  <c r="I227" i="6"/>
  <c r="H227" i="6"/>
  <c r="G227" i="6"/>
  <c r="F227" i="6"/>
  <c r="E227" i="6"/>
  <c r="D227" i="6"/>
  <c r="I226" i="6"/>
  <c r="H226" i="6"/>
  <c r="G226" i="6"/>
  <c r="F226" i="6"/>
  <c r="E226" i="6"/>
  <c r="D226" i="6"/>
  <c r="I225" i="6"/>
  <c r="H225" i="6"/>
  <c r="G225" i="6"/>
  <c r="F225" i="6"/>
  <c r="E225" i="6"/>
  <c r="D225" i="6"/>
  <c r="I224" i="6"/>
  <c r="H224" i="6"/>
  <c r="G224" i="6"/>
  <c r="F224" i="6"/>
  <c r="E224" i="6"/>
  <c r="D224" i="6"/>
  <c r="I223" i="6"/>
  <c r="H223" i="6"/>
  <c r="G223" i="6"/>
  <c r="F223" i="6"/>
  <c r="E223" i="6"/>
  <c r="D223" i="6"/>
  <c r="I222" i="6"/>
  <c r="H222" i="6"/>
  <c r="G222" i="6"/>
  <c r="F222" i="6"/>
  <c r="E222" i="6"/>
  <c r="D222" i="6"/>
  <c r="I221" i="6"/>
  <c r="H221" i="6"/>
  <c r="G221" i="6"/>
  <c r="F221" i="6"/>
  <c r="E221" i="6"/>
  <c r="D221" i="6"/>
  <c r="I220" i="6"/>
  <c r="H220" i="6"/>
  <c r="G220" i="6"/>
  <c r="F220" i="6"/>
  <c r="E220" i="6"/>
  <c r="D220" i="6"/>
  <c r="I219" i="6"/>
  <c r="H219" i="6"/>
  <c r="G219" i="6"/>
  <c r="F219" i="6"/>
  <c r="E219" i="6"/>
  <c r="D219" i="6"/>
  <c r="I218" i="6"/>
  <c r="H218" i="6"/>
  <c r="G218" i="6"/>
  <c r="F218" i="6"/>
  <c r="E218" i="6"/>
  <c r="D218" i="6"/>
  <c r="I217" i="6"/>
  <c r="H217" i="6"/>
  <c r="G217" i="6"/>
  <c r="F217" i="6"/>
  <c r="E217" i="6"/>
  <c r="D217" i="6"/>
  <c r="I216" i="6"/>
  <c r="H216" i="6"/>
  <c r="G216" i="6"/>
  <c r="F216" i="6"/>
  <c r="E216" i="6"/>
  <c r="D216" i="6"/>
  <c r="I215" i="6"/>
  <c r="H215" i="6"/>
  <c r="G215" i="6"/>
  <c r="F215" i="6"/>
  <c r="E215" i="6"/>
  <c r="D215" i="6"/>
  <c r="I214" i="6"/>
  <c r="H214" i="6"/>
  <c r="G214" i="6"/>
  <c r="F214" i="6"/>
  <c r="E214" i="6"/>
  <c r="D214" i="6"/>
  <c r="I213" i="6"/>
  <c r="H213" i="6"/>
  <c r="G213" i="6"/>
  <c r="F213" i="6"/>
  <c r="E213" i="6"/>
  <c r="D213" i="6"/>
  <c r="I212" i="6"/>
  <c r="H212" i="6"/>
  <c r="G212" i="6"/>
  <c r="F212" i="6"/>
  <c r="E212" i="6"/>
  <c r="D212" i="6"/>
  <c r="I211" i="6"/>
  <c r="H211" i="6"/>
  <c r="G211" i="6"/>
  <c r="F211" i="6"/>
  <c r="E211" i="6"/>
  <c r="D211" i="6"/>
  <c r="I210" i="6"/>
  <c r="H210" i="6"/>
  <c r="G210" i="6"/>
  <c r="F210" i="6"/>
  <c r="E210" i="6"/>
  <c r="D210" i="6"/>
  <c r="I209" i="6"/>
  <c r="H209" i="6"/>
  <c r="G209" i="6"/>
  <c r="F209" i="6"/>
  <c r="E209" i="6"/>
  <c r="D209" i="6"/>
  <c r="I208" i="6"/>
  <c r="H208" i="6"/>
  <c r="G208" i="6"/>
  <c r="F208" i="6"/>
  <c r="E208" i="6"/>
  <c r="D208" i="6"/>
  <c r="I207" i="6"/>
  <c r="H207" i="6"/>
  <c r="G207" i="6"/>
  <c r="F207" i="6"/>
  <c r="E207" i="6"/>
  <c r="D207" i="6"/>
  <c r="I206" i="6"/>
  <c r="H206" i="6"/>
  <c r="G206" i="6"/>
  <c r="F206" i="6"/>
  <c r="E206" i="6"/>
  <c r="D206" i="6"/>
  <c r="I205" i="6"/>
  <c r="H205" i="6"/>
  <c r="G205" i="6"/>
  <c r="F205" i="6"/>
  <c r="E205" i="6"/>
  <c r="D205" i="6"/>
  <c r="I204" i="6"/>
  <c r="H204" i="6"/>
  <c r="G204" i="6"/>
  <c r="F204" i="6"/>
  <c r="E204" i="6"/>
  <c r="D204" i="6"/>
  <c r="I203" i="6"/>
  <c r="H203" i="6"/>
  <c r="G203" i="6"/>
  <c r="F203" i="6"/>
  <c r="E203" i="6"/>
  <c r="D203" i="6"/>
  <c r="I202" i="6"/>
  <c r="H202" i="6"/>
  <c r="G202" i="6"/>
  <c r="F202" i="6"/>
  <c r="E202" i="6"/>
  <c r="D202" i="6"/>
  <c r="I201" i="6"/>
  <c r="H201" i="6"/>
  <c r="G201" i="6"/>
  <c r="F201" i="6"/>
  <c r="E201" i="6"/>
  <c r="D201" i="6"/>
  <c r="I200" i="6"/>
  <c r="H200" i="6"/>
  <c r="G200" i="6"/>
  <c r="F200" i="6"/>
  <c r="E200" i="6"/>
  <c r="D200" i="6"/>
  <c r="I199" i="6"/>
  <c r="H199" i="6"/>
  <c r="G199" i="6"/>
  <c r="F199" i="6"/>
  <c r="E199" i="6"/>
  <c r="D199" i="6"/>
  <c r="I198" i="6"/>
  <c r="H198" i="6"/>
  <c r="G198" i="6"/>
  <c r="F198" i="6"/>
  <c r="E198" i="6"/>
  <c r="D198" i="6"/>
  <c r="I197" i="6"/>
  <c r="H197" i="6"/>
  <c r="G197" i="6"/>
  <c r="F197" i="6"/>
  <c r="E197" i="6"/>
  <c r="D197" i="6"/>
  <c r="I196" i="6"/>
  <c r="H196" i="6"/>
  <c r="G196" i="6"/>
  <c r="F196" i="6"/>
  <c r="E196" i="6"/>
  <c r="D196" i="6"/>
  <c r="I195" i="6"/>
  <c r="H195" i="6"/>
  <c r="G195" i="6"/>
  <c r="F195" i="6"/>
  <c r="E195" i="6"/>
  <c r="D195" i="6"/>
  <c r="I194" i="6"/>
  <c r="H194" i="6"/>
  <c r="G194" i="6"/>
  <c r="F194" i="6"/>
  <c r="E194" i="6"/>
  <c r="D194" i="6"/>
  <c r="I193" i="6"/>
  <c r="H193" i="6"/>
  <c r="G193" i="6"/>
  <c r="F193" i="6"/>
  <c r="E193" i="6"/>
  <c r="D193" i="6"/>
  <c r="I192" i="6"/>
  <c r="H192" i="6"/>
  <c r="G192" i="6"/>
  <c r="F192" i="6"/>
  <c r="E192" i="6"/>
  <c r="D192" i="6"/>
  <c r="I191" i="6"/>
  <c r="H191" i="6"/>
  <c r="G191" i="6"/>
  <c r="F191" i="6"/>
  <c r="E191" i="6"/>
  <c r="D191" i="6"/>
  <c r="I190" i="6"/>
  <c r="H190" i="6"/>
  <c r="G190" i="6"/>
  <c r="F190" i="6"/>
  <c r="E190" i="6"/>
  <c r="D190" i="6"/>
  <c r="I189" i="6"/>
  <c r="H189" i="6"/>
  <c r="G189" i="6"/>
  <c r="F189" i="6"/>
  <c r="E189" i="6"/>
  <c r="D189" i="6"/>
  <c r="I188" i="6"/>
  <c r="H188" i="6"/>
  <c r="G188" i="6"/>
  <c r="F188" i="6"/>
  <c r="E188" i="6"/>
  <c r="D188" i="6"/>
  <c r="I187" i="6"/>
  <c r="H187" i="6"/>
  <c r="G187" i="6"/>
  <c r="F187" i="6"/>
  <c r="E187" i="6"/>
  <c r="D187" i="6"/>
  <c r="I186" i="6"/>
  <c r="H186" i="6"/>
  <c r="G186" i="6"/>
  <c r="F186" i="6"/>
  <c r="E186" i="6"/>
  <c r="D186" i="6"/>
  <c r="I185" i="6"/>
  <c r="H185" i="6"/>
  <c r="G185" i="6"/>
  <c r="F185" i="6"/>
  <c r="E185" i="6"/>
  <c r="D185" i="6"/>
  <c r="I184" i="6"/>
  <c r="H184" i="6"/>
  <c r="G184" i="6"/>
  <c r="F184" i="6"/>
  <c r="E184" i="6"/>
  <c r="D184" i="6"/>
  <c r="I183" i="6"/>
  <c r="H183" i="6"/>
  <c r="G183" i="6"/>
  <c r="F183" i="6"/>
  <c r="E183" i="6"/>
  <c r="D183" i="6"/>
  <c r="I182" i="6"/>
  <c r="H182" i="6"/>
  <c r="G182" i="6"/>
  <c r="F182" i="6"/>
  <c r="E182" i="6"/>
  <c r="D182" i="6"/>
  <c r="I181" i="6"/>
  <c r="H181" i="6"/>
  <c r="G181" i="6"/>
  <c r="F181" i="6"/>
  <c r="E181" i="6"/>
  <c r="D181" i="6"/>
  <c r="I180" i="6"/>
  <c r="H180" i="6"/>
  <c r="G180" i="6"/>
  <c r="F180" i="6"/>
  <c r="E180" i="6"/>
  <c r="D180" i="6"/>
  <c r="I179" i="6"/>
  <c r="H179" i="6"/>
  <c r="G179" i="6"/>
  <c r="F179" i="6"/>
  <c r="E179" i="6"/>
  <c r="D179" i="6"/>
  <c r="I178" i="6"/>
  <c r="H178" i="6"/>
  <c r="G178" i="6"/>
  <c r="F178" i="6"/>
  <c r="E178" i="6"/>
  <c r="D178" i="6"/>
  <c r="I177" i="6"/>
  <c r="H177" i="6"/>
  <c r="G177" i="6"/>
  <c r="F177" i="6"/>
  <c r="E177" i="6"/>
  <c r="D177" i="6"/>
  <c r="I176" i="6"/>
  <c r="H176" i="6"/>
  <c r="G176" i="6"/>
  <c r="F176" i="6"/>
  <c r="E176" i="6"/>
  <c r="D176" i="6"/>
  <c r="I175" i="6"/>
  <c r="H175" i="6"/>
  <c r="G175" i="6"/>
  <c r="F175" i="6"/>
  <c r="E175" i="6"/>
  <c r="D175" i="6"/>
  <c r="I174" i="6"/>
  <c r="H174" i="6"/>
  <c r="G174" i="6"/>
  <c r="F174" i="6"/>
  <c r="E174" i="6"/>
  <c r="D174" i="6"/>
  <c r="I173" i="6"/>
  <c r="H173" i="6"/>
  <c r="G173" i="6"/>
  <c r="F173" i="6"/>
  <c r="E173" i="6"/>
  <c r="D173" i="6"/>
  <c r="I172" i="6"/>
  <c r="H172" i="6"/>
  <c r="G172" i="6"/>
  <c r="F172" i="6"/>
  <c r="E172" i="6"/>
  <c r="D172" i="6"/>
  <c r="I171" i="6"/>
  <c r="H171" i="6"/>
  <c r="G171" i="6"/>
  <c r="F171" i="6"/>
  <c r="E171" i="6"/>
  <c r="D171" i="6"/>
  <c r="I170" i="6"/>
  <c r="H170" i="6"/>
  <c r="G170" i="6"/>
  <c r="F170" i="6"/>
  <c r="E170" i="6"/>
  <c r="D170" i="6"/>
  <c r="I169" i="6"/>
  <c r="H169" i="6"/>
  <c r="G169" i="6"/>
  <c r="F169" i="6"/>
  <c r="E169" i="6"/>
  <c r="D169" i="6"/>
  <c r="I168" i="6"/>
  <c r="H168" i="6"/>
  <c r="G168" i="6"/>
  <c r="F168" i="6"/>
  <c r="E168" i="6"/>
  <c r="D168" i="6"/>
  <c r="I167" i="6"/>
  <c r="H167" i="6"/>
  <c r="G167" i="6"/>
  <c r="F167" i="6"/>
  <c r="E167" i="6"/>
  <c r="D167" i="6"/>
  <c r="I166" i="6"/>
  <c r="H166" i="6"/>
  <c r="G166" i="6"/>
  <c r="F166" i="6"/>
  <c r="E166" i="6"/>
  <c r="D166" i="6"/>
  <c r="I165" i="6"/>
  <c r="H165" i="6"/>
  <c r="G165" i="6"/>
  <c r="F165" i="6"/>
  <c r="E165" i="6"/>
  <c r="D165" i="6"/>
  <c r="I164" i="6"/>
  <c r="H164" i="6"/>
  <c r="G164" i="6"/>
  <c r="F164" i="6"/>
  <c r="E164" i="6"/>
  <c r="D164" i="6"/>
  <c r="I163" i="6"/>
  <c r="H163" i="6"/>
  <c r="G163" i="6"/>
  <c r="F163" i="6"/>
  <c r="E163" i="6"/>
  <c r="D163" i="6"/>
  <c r="I162" i="6"/>
  <c r="H162" i="6"/>
  <c r="G162" i="6"/>
  <c r="F162" i="6"/>
  <c r="E162" i="6"/>
  <c r="D162" i="6"/>
  <c r="I161" i="6"/>
  <c r="H161" i="6"/>
  <c r="G161" i="6"/>
  <c r="F161" i="6"/>
  <c r="E161" i="6"/>
  <c r="D161" i="6"/>
  <c r="I160" i="6"/>
  <c r="H160" i="6"/>
  <c r="G160" i="6"/>
  <c r="F160" i="6"/>
  <c r="E160" i="6"/>
  <c r="D160" i="6"/>
  <c r="I159" i="6"/>
  <c r="H159" i="6"/>
  <c r="G159" i="6"/>
  <c r="F159" i="6"/>
  <c r="E159" i="6"/>
  <c r="D159" i="6"/>
  <c r="I158" i="6"/>
  <c r="H158" i="6"/>
  <c r="G158" i="6"/>
  <c r="F158" i="6"/>
  <c r="E158" i="6"/>
  <c r="D158" i="6"/>
  <c r="I157" i="6"/>
  <c r="H157" i="6"/>
  <c r="G157" i="6"/>
  <c r="F157" i="6"/>
  <c r="E157" i="6"/>
  <c r="D157" i="6"/>
  <c r="I156" i="6"/>
  <c r="H156" i="6"/>
  <c r="G156" i="6"/>
  <c r="F156" i="6"/>
  <c r="E156" i="6"/>
  <c r="D156" i="6"/>
  <c r="I155" i="6"/>
  <c r="H155" i="6"/>
  <c r="G155" i="6"/>
  <c r="F155" i="6"/>
  <c r="E155" i="6"/>
  <c r="D155" i="6"/>
  <c r="I154" i="6"/>
  <c r="H154" i="6"/>
  <c r="G154" i="6"/>
  <c r="F154" i="6"/>
  <c r="E154" i="6"/>
  <c r="D154" i="6"/>
  <c r="I153" i="6"/>
  <c r="H153" i="6"/>
  <c r="G153" i="6"/>
  <c r="F153" i="6"/>
  <c r="E153" i="6"/>
  <c r="D153" i="6"/>
  <c r="I152" i="6"/>
  <c r="H152" i="6"/>
  <c r="G152" i="6"/>
  <c r="F152" i="6"/>
  <c r="E152" i="6"/>
  <c r="D152" i="6"/>
  <c r="I151" i="6"/>
  <c r="H151" i="6"/>
  <c r="G151" i="6"/>
  <c r="F151" i="6"/>
  <c r="E151" i="6"/>
  <c r="D151" i="6"/>
  <c r="I150" i="6"/>
  <c r="H150" i="6"/>
  <c r="G150" i="6"/>
  <c r="F150" i="6"/>
  <c r="E150" i="6"/>
  <c r="D150" i="6"/>
  <c r="I149" i="6"/>
  <c r="H149" i="6"/>
  <c r="G149" i="6"/>
  <c r="F149" i="6"/>
  <c r="E149" i="6"/>
  <c r="D149" i="6"/>
  <c r="I148" i="6"/>
  <c r="H148" i="6"/>
  <c r="G148" i="6"/>
  <c r="F148" i="6"/>
  <c r="E148" i="6"/>
  <c r="D148" i="6"/>
  <c r="I147" i="6"/>
  <c r="H147" i="6"/>
  <c r="G147" i="6"/>
  <c r="F147" i="6"/>
  <c r="E147" i="6"/>
  <c r="D147" i="6"/>
  <c r="I146" i="6"/>
  <c r="H146" i="6"/>
  <c r="G146" i="6"/>
  <c r="F146" i="6"/>
  <c r="E146" i="6"/>
  <c r="D146" i="6"/>
  <c r="I145" i="6"/>
  <c r="H145" i="6"/>
  <c r="G145" i="6"/>
  <c r="F145" i="6"/>
  <c r="E145" i="6"/>
  <c r="D145" i="6"/>
  <c r="I144" i="6"/>
  <c r="H144" i="6"/>
  <c r="G144" i="6"/>
  <c r="F144" i="6"/>
  <c r="E144" i="6"/>
  <c r="D144" i="6"/>
  <c r="I143" i="6"/>
  <c r="H143" i="6"/>
  <c r="G143" i="6"/>
  <c r="F143" i="6"/>
  <c r="E143" i="6"/>
  <c r="D143" i="6"/>
  <c r="I142" i="6"/>
  <c r="H142" i="6"/>
  <c r="G142" i="6"/>
  <c r="F142" i="6"/>
  <c r="E142" i="6"/>
  <c r="D142" i="6"/>
  <c r="I141" i="6"/>
  <c r="H141" i="6"/>
  <c r="G141" i="6"/>
  <c r="F141" i="6"/>
  <c r="E141" i="6"/>
  <c r="D141" i="6"/>
  <c r="I140" i="6"/>
  <c r="H140" i="6"/>
  <c r="G140" i="6"/>
  <c r="F140" i="6"/>
  <c r="E140" i="6"/>
  <c r="D140" i="6"/>
  <c r="I139" i="6"/>
  <c r="H139" i="6"/>
  <c r="G139" i="6"/>
  <c r="F139" i="6"/>
  <c r="E139" i="6"/>
  <c r="D139" i="6"/>
  <c r="I138" i="6"/>
  <c r="H138" i="6"/>
  <c r="G138" i="6"/>
  <c r="F138" i="6"/>
  <c r="E138" i="6"/>
  <c r="D138" i="6"/>
  <c r="I137" i="6"/>
  <c r="H137" i="6"/>
  <c r="G137" i="6"/>
  <c r="F137" i="6"/>
  <c r="E137" i="6"/>
  <c r="D137" i="6"/>
  <c r="I136" i="6"/>
  <c r="H136" i="6"/>
  <c r="G136" i="6"/>
  <c r="F136" i="6"/>
  <c r="E136" i="6"/>
  <c r="D136" i="6"/>
  <c r="I135" i="6"/>
  <c r="H135" i="6"/>
  <c r="G135" i="6"/>
  <c r="F135" i="6"/>
  <c r="E135" i="6"/>
  <c r="D135" i="6"/>
  <c r="I134" i="6"/>
  <c r="H134" i="6"/>
  <c r="G134" i="6"/>
  <c r="F134" i="6"/>
  <c r="E134" i="6"/>
  <c r="D134" i="6"/>
  <c r="I133" i="6"/>
  <c r="H133" i="6"/>
  <c r="G133" i="6"/>
  <c r="F133" i="6"/>
  <c r="E133" i="6"/>
  <c r="D133" i="6"/>
  <c r="I132" i="6"/>
  <c r="H132" i="6"/>
  <c r="G132" i="6"/>
  <c r="F132" i="6"/>
  <c r="E132" i="6"/>
  <c r="D132" i="6"/>
  <c r="I131" i="6"/>
  <c r="H131" i="6"/>
  <c r="G131" i="6"/>
  <c r="F131" i="6"/>
  <c r="E131" i="6"/>
  <c r="D131" i="6"/>
  <c r="I130" i="6"/>
  <c r="H130" i="6"/>
  <c r="G130" i="6"/>
  <c r="F130" i="6"/>
  <c r="E130" i="6"/>
  <c r="D130" i="6"/>
  <c r="I129" i="6"/>
  <c r="H129" i="6"/>
  <c r="G129" i="6"/>
  <c r="F129" i="6"/>
  <c r="E129" i="6"/>
  <c r="D129" i="6"/>
  <c r="I128" i="6"/>
  <c r="H128" i="6"/>
  <c r="G128" i="6"/>
  <c r="F128" i="6"/>
  <c r="E128" i="6"/>
  <c r="D128" i="6"/>
  <c r="I127" i="6"/>
  <c r="H127" i="6"/>
  <c r="G127" i="6"/>
  <c r="F127" i="6"/>
  <c r="E127" i="6"/>
  <c r="D127" i="6"/>
  <c r="I126" i="6"/>
  <c r="H126" i="6"/>
  <c r="G126" i="6"/>
  <c r="F126" i="6"/>
  <c r="E126" i="6"/>
  <c r="D126" i="6"/>
  <c r="I125" i="6"/>
  <c r="H125" i="6"/>
  <c r="G125" i="6"/>
  <c r="F125" i="6"/>
  <c r="E125" i="6"/>
  <c r="D125" i="6"/>
  <c r="I124" i="6"/>
  <c r="H124" i="6"/>
  <c r="G124" i="6"/>
  <c r="F124" i="6"/>
  <c r="E124" i="6"/>
  <c r="D124" i="6"/>
  <c r="I123" i="6"/>
  <c r="H123" i="6"/>
  <c r="G123" i="6"/>
  <c r="F123" i="6"/>
  <c r="E123" i="6"/>
  <c r="D123" i="6"/>
  <c r="I122" i="6"/>
  <c r="H122" i="6"/>
  <c r="G122" i="6"/>
  <c r="F122" i="6"/>
  <c r="E122" i="6"/>
  <c r="D122" i="6"/>
  <c r="I121" i="6"/>
  <c r="H121" i="6"/>
  <c r="G121" i="6"/>
  <c r="F121" i="6"/>
  <c r="E121" i="6"/>
  <c r="D121" i="6"/>
  <c r="I120" i="6"/>
  <c r="H120" i="6"/>
  <c r="G120" i="6"/>
  <c r="F120" i="6"/>
  <c r="E120" i="6"/>
  <c r="D120" i="6"/>
  <c r="I119" i="6"/>
  <c r="H119" i="6"/>
  <c r="G119" i="6"/>
  <c r="F119" i="6"/>
  <c r="E119" i="6"/>
  <c r="D119" i="6"/>
  <c r="I118" i="6"/>
  <c r="H118" i="6"/>
  <c r="G118" i="6"/>
  <c r="F118" i="6"/>
  <c r="E118" i="6"/>
  <c r="D118" i="6"/>
  <c r="I117" i="6"/>
  <c r="H117" i="6"/>
  <c r="G117" i="6"/>
  <c r="F117" i="6"/>
  <c r="E117" i="6"/>
  <c r="D117" i="6"/>
  <c r="I116" i="6"/>
  <c r="H116" i="6"/>
  <c r="G116" i="6"/>
  <c r="F116" i="6"/>
  <c r="E116" i="6"/>
  <c r="D116" i="6"/>
  <c r="I115" i="6"/>
  <c r="H115" i="6"/>
  <c r="G115" i="6"/>
  <c r="F115" i="6"/>
  <c r="E115" i="6"/>
  <c r="D115" i="6"/>
  <c r="I114" i="6"/>
  <c r="H114" i="6"/>
  <c r="G114" i="6"/>
  <c r="F114" i="6"/>
  <c r="E114" i="6"/>
  <c r="D114" i="6"/>
  <c r="I113" i="6"/>
  <c r="H113" i="6"/>
  <c r="G113" i="6"/>
  <c r="F113" i="6"/>
  <c r="E113" i="6"/>
  <c r="D113" i="6"/>
  <c r="I112" i="6"/>
  <c r="H112" i="6"/>
  <c r="G112" i="6"/>
  <c r="F112" i="6"/>
  <c r="E112" i="6"/>
  <c r="D112" i="6"/>
  <c r="I111" i="6"/>
  <c r="H111" i="6"/>
  <c r="G111" i="6"/>
  <c r="F111" i="6"/>
  <c r="E111" i="6"/>
  <c r="D111" i="6"/>
  <c r="I110" i="6"/>
  <c r="H110" i="6"/>
  <c r="G110" i="6"/>
  <c r="F110" i="6"/>
  <c r="E110" i="6"/>
  <c r="D110" i="6"/>
  <c r="I109" i="6"/>
  <c r="H109" i="6"/>
  <c r="G109" i="6"/>
  <c r="F109" i="6"/>
  <c r="E109" i="6"/>
  <c r="D109" i="6"/>
  <c r="I108" i="6"/>
  <c r="H108" i="6"/>
  <c r="G108" i="6"/>
  <c r="F108" i="6"/>
  <c r="E108" i="6"/>
  <c r="D108" i="6"/>
  <c r="I107" i="6"/>
  <c r="H107" i="6"/>
  <c r="G107" i="6"/>
  <c r="F107" i="6"/>
  <c r="E107" i="6"/>
  <c r="D107" i="6"/>
  <c r="I106" i="6"/>
  <c r="H106" i="6"/>
  <c r="G106" i="6"/>
  <c r="F106" i="6"/>
  <c r="E106" i="6"/>
  <c r="D106" i="6"/>
  <c r="I105" i="6"/>
  <c r="H105" i="6"/>
  <c r="G105" i="6"/>
  <c r="F105" i="6"/>
  <c r="E105" i="6"/>
  <c r="D105" i="6"/>
  <c r="I104" i="6"/>
  <c r="H104" i="6"/>
  <c r="G104" i="6"/>
  <c r="F104" i="6"/>
  <c r="E104" i="6"/>
  <c r="D104" i="6"/>
  <c r="I103" i="6"/>
  <c r="H103" i="6"/>
  <c r="G103" i="6"/>
  <c r="F103" i="6"/>
  <c r="E103" i="6"/>
  <c r="D103" i="6"/>
  <c r="I102" i="6"/>
  <c r="H102" i="6"/>
  <c r="G102" i="6"/>
  <c r="F102" i="6"/>
  <c r="E102" i="6"/>
  <c r="D102" i="6"/>
  <c r="I101" i="6"/>
  <c r="H101" i="6"/>
  <c r="G101" i="6"/>
  <c r="F101" i="6"/>
  <c r="E101" i="6"/>
  <c r="D101" i="6"/>
  <c r="I100" i="6"/>
  <c r="H100" i="6"/>
  <c r="G100" i="6"/>
  <c r="F100" i="6"/>
  <c r="E100" i="6"/>
  <c r="D100" i="6"/>
  <c r="I99" i="6"/>
  <c r="H99" i="6"/>
  <c r="G99" i="6"/>
  <c r="F99" i="6"/>
  <c r="E99" i="6"/>
  <c r="D99" i="6"/>
  <c r="I98" i="6"/>
  <c r="H98" i="6"/>
  <c r="G98" i="6"/>
  <c r="F98" i="6"/>
  <c r="E98" i="6"/>
  <c r="D98" i="6"/>
  <c r="I97" i="6"/>
  <c r="H97" i="6"/>
  <c r="G97" i="6"/>
  <c r="F97" i="6"/>
  <c r="E97" i="6"/>
  <c r="D97" i="6"/>
  <c r="I96" i="6"/>
  <c r="H96" i="6"/>
  <c r="G96" i="6"/>
  <c r="F96" i="6"/>
  <c r="E96" i="6"/>
  <c r="D96" i="6"/>
  <c r="I95" i="6"/>
  <c r="H95" i="6"/>
  <c r="G95" i="6"/>
  <c r="F95" i="6"/>
  <c r="E95" i="6"/>
  <c r="D95" i="6"/>
  <c r="I94" i="6"/>
  <c r="H94" i="6"/>
  <c r="G94" i="6"/>
  <c r="F94" i="6"/>
  <c r="E94" i="6"/>
  <c r="D94" i="6"/>
  <c r="I93" i="6"/>
  <c r="H93" i="6"/>
  <c r="G93" i="6"/>
  <c r="F93" i="6"/>
  <c r="E93" i="6"/>
  <c r="D93" i="6"/>
  <c r="I92" i="6"/>
  <c r="H92" i="6"/>
  <c r="G92" i="6"/>
  <c r="F92" i="6"/>
  <c r="E92" i="6"/>
  <c r="D92" i="6"/>
  <c r="I91" i="6"/>
  <c r="H91" i="6"/>
  <c r="G91" i="6"/>
  <c r="F91" i="6"/>
  <c r="E91" i="6"/>
  <c r="D91" i="6"/>
  <c r="I90" i="6"/>
  <c r="H90" i="6"/>
  <c r="G90" i="6"/>
  <c r="F90" i="6"/>
  <c r="E90" i="6"/>
  <c r="D90" i="6"/>
  <c r="I89" i="6"/>
  <c r="H89" i="6"/>
  <c r="G89" i="6"/>
  <c r="F89" i="6"/>
  <c r="E89" i="6"/>
  <c r="D89" i="6"/>
  <c r="I88" i="6"/>
  <c r="H88" i="6"/>
  <c r="G88" i="6"/>
  <c r="F88" i="6"/>
  <c r="E88" i="6"/>
  <c r="D88" i="6"/>
  <c r="I87" i="6"/>
  <c r="H87" i="6"/>
  <c r="G87" i="6"/>
  <c r="F87" i="6"/>
  <c r="E87" i="6"/>
  <c r="D87" i="6"/>
  <c r="I86" i="6"/>
  <c r="H86" i="6"/>
  <c r="G86" i="6"/>
  <c r="F86" i="6"/>
  <c r="E86" i="6"/>
  <c r="D86" i="6"/>
  <c r="I85" i="6"/>
  <c r="H85" i="6"/>
  <c r="G85" i="6"/>
  <c r="F85" i="6"/>
  <c r="E85" i="6"/>
  <c r="D85" i="6"/>
  <c r="I84" i="6"/>
  <c r="H84" i="6"/>
  <c r="G84" i="6"/>
  <c r="F84" i="6"/>
  <c r="E84" i="6"/>
  <c r="D84" i="6"/>
  <c r="I83" i="6"/>
  <c r="H83" i="6"/>
  <c r="G83" i="6"/>
  <c r="F83" i="6"/>
  <c r="E83" i="6"/>
  <c r="D83" i="6"/>
  <c r="I82" i="6"/>
  <c r="H82" i="6"/>
  <c r="G82" i="6"/>
  <c r="F82" i="6"/>
  <c r="E82" i="6"/>
  <c r="D82" i="6"/>
  <c r="I81" i="6"/>
  <c r="H81" i="6"/>
  <c r="G81" i="6"/>
  <c r="F81" i="6"/>
  <c r="E81" i="6"/>
  <c r="D81" i="6"/>
  <c r="I80" i="6"/>
  <c r="H80" i="6"/>
  <c r="G80" i="6"/>
  <c r="F80" i="6"/>
  <c r="E80" i="6"/>
  <c r="D80" i="6"/>
  <c r="I79" i="6"/>
  <c r="H79" i="6"/>
  <c r="G79" i="6"/>
  <c r="F79" i="6"/>
  <c r="E79" i="6"/>
  <c r="D79" i="6"/>
  <c r="I78" i="6"/>
  <c r="H78" i="6"/>
  <c r="G78" i="6"/>
  <c r="F78" i="6"/>
  <c r="E78" i="6"/>
  <c r="D78" i="6"/>
  <c r="I77" i="6"/>
  <c r="H77" i="6"/>
  <c r="G77" i="6"/>
  <c r="F77" i="6"/>
  <c r="E77" i="6"/>
  <c r="D77" i="6"/>
  <c r="I76" i="6"/>
  <c r="H76" i="6"/>
  <c r="G76" i="6"/>
  <c r="F76" i="6"/>
  <c r="E76" i="6"/>
  <c r="D76" i="6"/>
  <c r="I75" i="6"/>
  <c r="H75" i="6"/>
  <c r="G75" i="6"/>
  <c r="F75" i="6"/>
  <c r="E75" i="6"/>
  <c r="D75" i="6"/>
  <c r="I74" i="6"/>
  <c r="H74" i="6"/>
  <c r="G74" i="6"/>
  <c r="F74" i="6"/>
  <c r="E74" i="6"/>
  <c r="D74" i="6"/>
  <c r="I73" i="6"/>
  <c r="H73" i="6"/>
  <c r="G73" i="6"/>
  <c r="F73" i="6"/>
  <c r="E73" i="6"/>
  <c r="D73" i="6"/>
  <c r="I72" i="6"/>
  <c r="H72" i="6"/>
  <c r="G72" i="6"/>
  <c r="F72" i="6"/>
  <c r="E72" i="6"/>
  <c r="D72" i="6"/>
  <c r="I71" i="6"/>
  <c r="H71" i="6"/>
  <c r="G71" i="6"/>
  <c r="F71" i="6"/>
  <c r="E71" i="6"/>
  <c r="D71" i="6"/>
  <c r="I70" i="6"/>
  <c r="H70" i="6"/>
  <c r="G70" i="6"/>
  <c r="F70" i="6"/>
  <c r="E70" i="6"/>
  <c r="D70" i="6"/>
  <c r="I69" i="6"/>
  <c r="H69" i="6"/>
  <c r="G69" i="6"/>
  <c r="F69" i="6"/>
  <c r="E69" i="6"/>
  <c r="D69" i="6"/>
  <c r="I68" i="6"/>
  <c r="H68" i="6"/>
  <c r="G68" i="6"/>
  <c r="F68" i="6"/>
  <c r="E68" i="6"/>
  <c r="D68" i="6"/>
  <c r="I67" i="6"/>
  <c r="H67" i="6"/>
  <c r="G67" i="6"/>
  <c r="F67" i="6"/>
  <c r="E67" i="6"/>
  <c r="D67" i="6"/>
  <c r="I66" i="6"/>
  <c r="H66" i="6"/>
  <c r="G66" i="6"/>
  <c r="F66" i="6"/>
  <c r="E66" i="6"/>
  <c r="D66" i="6"/>
  <c r="I65" i="6"/>
  <c r="H65" i="6"/>
  <c r="G65" i="6"/>
  <c r="F65" i="6"/>
  <c r="E65" i="6"/>
  <c r="D65" i="6"/>
  <c r="I64" i="6"/>
  <c r="H64" i="6"/>
  <c r="G64" i="6"/>
  <c r="F64" i="6"/>
  <c r="E64" i="6"/>
  <c r="D64" i="6"/>
  <c r="I63" i="6"/>
  <c r="H63" i="6"/>
  <c r="G63" i="6"/>
  <c r="F63" i="6"/>
  <c r="E63" i="6"/>
  <c r="D63" i="6"/>
  <c r="I62" i="6"/>
  <c r="H62" i="6"/>
  <c r="G62" i="6"/>
  <c r="F62" i="6"/>
  <c r="E62" i="6"/>
  <c r="D62" i="6"/>
  <c r="I61" i="6"/>
  <c r="H61" i="6"/>
  <c r="G61" i="6"/>
  <c r="F61" i="6"/>
  <c r="E61" i="6"/>
  <c r="D61" i="6"/>
  <c r="I60" i="6"/>
  <c r="H60" i="6"/>
  <c r="G60" i="6"/>
  <c r="F60" i="6"/>
  <c r="E60" i="6"/>
  <c r="D60" i="6"/>
  <c r="I59" i="6"/>
  <c r="H59" i="6"/>
  <c r="G59" i="6"/>
  <c r="F59" i="6"/>
  <c r="E59" i="6"/>
  <c r="D59" i="6"/>
  <c r="I58" i="6"/>
  <c r="H58" i="6"/>
  <c r="G58" i="6"/>
  <c r="F58" i="6"/>
  <c r="E58" i="6"/>
  <c r="D58" i="6"/>
  <c r="I57" i="6"/>
  <c r="H57" i="6"/>
  <c r="G57" i="6"/>
  <c r="F57" i="6"/>
  <c r="E57" i="6"/>
  <c r="D57" i="6"/>
  <c r="I56" i="6"/>
  <c r="H56" i="6"/>
  <c r="G56" i="6"/>
  <c r="F56" i="6"/>
  <c r="E56" i="6"/>
  <c r="D56" i="6"/>
  <c r="I55" i="6"/>
  <c r="H55" i="6"/>
  <c r="G55" i="6"/>
  <c r="F55" i="6"/>
  <c r="E55" i="6"/>
  <c r="D55" i="6"/>
  <c r="I54" i="6"/>
  <c r="H54" i="6"/>
  <c r="G54" i="6"/>
  <c r="F54" i="6"/>
  <c r="E54" i="6"/>
  <c r="D54" i="6"/>
  <c r="I53" i="6"/>
  <c r="H53" i="6"/>
  <c r="G53" i="6"/>
  <c r="F53" i="6"/>
  <c r="E53" i="6"/>
  <c r="D53" i="6"/>
  <c r="I52" i="6"/>
  <c r="H52" i="6"/>
  <c r="G52" i="6"/>
  <c r="F52" i="6"/>
  <c r="E52" i="6"/>
  <c r="D52" i="6"/>
  <c r="I51" i="6"/>
  <c r="H51" i="6"/>
  <c r="G51" i="6"/>
  <c r="F51" i="6"/>
  <c r="E51" i="6"/>
  <c r="D51" i="6"/>
  <c r="I50" i="6"/>
  <c r="H50" i="6"/>
  <c r="G50" i="6"/>
  <c r="F50" i="6"/>
  <c r="E50" i="6"/>
  <c r="D50" i="6"/>
  <c r="I49" i="6"/>
  <c r="H49" i="6"/>
  <c r="G49" i="6"/>
  <c r="F49" i="6"/>
  <c r="E49" i="6"/>
  <c r="D49" i="6"/>
  <c r="I48" i="6"/>
  <c r="H48" i="6"/>
  <c r="G48" i="6"/>
  <c r="F48" i="6"/>
  <c r="E48" i="6"/>
  <c r="D48" i="6"/>
  <c r="I47" i="6"/>
  <c r="H47" i="6"/>
  <c r="G47" i="6"/>
  <c r="F47" i="6"/>
  <c r="E47" i="6"/>
  <c r="D47" i="6"/>
  <c r="I46" i="6"/>
  <c r="H46" i="6"/>
  <c r="G46" i="6"/>
  <c r="F46" i="6"/>
  <c r="E46" i="6"/>
  <c r="D46" i="6"/>
  <c r="I45" i="6"/>
  <c r="H45" i="6"/>
  <c r="G45" i="6"/>
  <c r="F45" i="6"/>
  <c r="E45" i="6"/>
  <c r="D45" i="6"/>
  <c r="I44" i="6"/>
  <c r="H44" i="6"/>
  <c r="G44" i="6"/>
  <c r="F44" i="6"/>
  <c r="E44" i="6"/>
  <c r="D44" i="6"/>
  <c r="I43" i="6"/>
  <c r="H43" i="6"/>
  <c r="G43" i="6"/>
  <c r="F43" i="6"/>
  <c r="E43" i="6"/>
  <c r="D43" i="6"/>
  <c r="I42" i="6"/>
  <c r="H42" i="6"/>
  <c r="G42" i="6"/>
  <c r="F42" i="6"/>
  <c r="E42" i="6"/>
  <c r="D42" i="6"/>
  <c r="I41" i="6"/>
  <c r="H41" i="6"/>
  <c r="G41" i="6"/>
  <c r="F41" i="6"/>
  <c r="E41" i="6"/>
  <c r="D41" i="6"/>
  <c r="I40" i="6"/>
  <c r="H40" i="6"/>
  <c r="G40" i="6"/>
  <c r="F40" i="6"/>
  <c r="E40" i="6"/>
  <c r="D40" i="6"/>
  <c r="I39" i="6"/>
  <c r="H39" i="6"/>
  <c r="G39" i="6"/>
  <c r="F39" i="6"/>
  <c r="E39" i="6"/>
  <c r="D39" i="6"/>
  <c r="I38" i="6"/>
  <c r="H38" i="6"/>
  <c r="G38" i="6"/>
  <c r="F38" i="6"/>
  <c r="E38" i="6"/>
  <c r="D38" i="6"/>
  <c r="I37" i="6"/>
  <c r="H37" i="6"/>
  <c r="G37" i="6"/>
  <c r="F37" i="6"/>
  <c r="E37" i="6"/>
  <c r="D37" i="6"/>
  <c r="I36" i="6"/>
  <c r="H36" i="6"/>
  <c r="G36" i="6"/>
  <c r="F36" i="6"/>
  <c r="E36" i="6"/>
  <c r="D36" i="6"/>
  <c r="I35" i="6"/>
  <c r="H35" i="6"/>
  <c r="G35" i="6"/>
  <c r="F35" i="6"/>
  <c r="E35" i="6"/>
  <c r="D35" i="6"/>
  <c r="I34" i="6"/>
  <c r="H34" i="6"/>
  <c r="G34" i="6"/>
  <c r="F34" i="6"/>
  <c r="E34" i="6"/>
  <c r="D34" i="6"/>
  <c r="I33" i="6"/>
  <c r="H33" i="6"/>
  <c r="G33" i="6"/>
  <c r="F33" i="6"/>
  <c r="E33" i="6"/>
  <c r="D33" i="6"/>
  <c r="I32" i="6"/>
  <c r="H32" i="6"/>
  <c r="G32" i="6"/>
  <c r="F32" i="6"/>
  <c r="E32" i="6"/>
  <c r="D32" i="6"/>
  <c r="I31" i="6"/>
  <c r="H31" i="6"/>
  <c r="G31" i="6"/>
  <c r="F31" i="6"/>
  <c r="E31" i="6"/>
  <c r="D31" i="6"/>
  <c r="I30" i="6"/>
  <c r="H30" i="6"/>
  <c r="G30" i="6"/>
  <c r="F30" i="6"/>
  <c r="E30" i="6"/>
  <c r="D30" i="6"/>
  <c r="I29" i="6"/>
  <c r="H29" i="6"/>
  <c r="G29" i="6"/>
  <c r="F29" i="6"/>
  <c r="E29" i="6"/>
  <c r="D29" i="6"/>
  <c r="I28" i="6"/>
  <c r="H28" i="6"/>
  <c r="G28" i="6"/>
  <c r="F28" i="6"/>
  <c r="E28" i="6"/>
  <c r="D28" i="6"/>
  <c r="I27" i="6"/>
  <c r="H27" i="6"/>
  <c r="G27" i="6"/>
  <c r="F27" i="6"/>
  <c r="E27" i="6"/>
  <c r="D27" i="6"/>
  <c r="I26" i="6"/>
  <c r="H26" i="6"/>
  <c r="G26" i="6"/>
  <c r="F26" i="6"/>
  <c r="E26" i="6"/>
  <c r="D26" i="6"/>
  <c r="I25" i="6"/>
  <c r="H25" i="6"/>
  <c r="G25" i="6"/>
  <c r="F25" i="6"/>
  <c r="E25" i="6"/>
  <c r="D25" i="6"/>
  <c r="I24" i="6"/>
  <c r="H24" i="6"/>
  <c r="G24" i="6"/>
  <c r="F24" i="6"/>
  <c r="E24" i="6"/>
  <c r="D24" i="6"/>
  <c r="I23" i="6"/>
  <c r="H23" i="6"/>
  <c r="G23" i="6"/>
  <c r="F23" i="6"/>
  <c r="E23" i="6"/>
  <c r="D23" i="6"/>
  <c r="I22" i="6"/>
  <c r="H22" i="6"/>
  <c r="G22" i="6"/>
  <c r="F22" i="6"/>
  <c r="E22" i="6"/>
  <c r="D22" i="6"/>
  <c r="I21" i="6"/>
  <c r="H21" i="6"/>
  <c r="G21" i="6"/>
  <c r="F21" i="6"/>
  <c r="E21" i="6"/>
  <c r="D21" i="6"/>
  <c r="I20" i="6"/>
  <c r="H20" i="6"/>
  <c r="G20" i="6"/>
  <c r="F20" i="6"/>
  <c r="E20" i="6"/>
  <c r="D20" i="6"/>
  <c r="I19" i="6"/>
  <c r="H19" i="6"/>
  <c r="G19" i="6"/>
  <c r="F19" i="6"/>
  <c r="E19" i="6"/>
  <c r="D19" i="6"/>
  <c r="I18" i="6"/>
  <c r="H18" i="6"/>
  <c r="G18" i="6"/>
  <c r="F18" i="6"/>
  <c r="E18" i="6"/>
  <c r="D18" i="6"/>
  <c r="I17" i="6"/>
  <c r="H17" i="6"/>
  <c r="G17" i="6"/>
  <c r="F17" i="6"/>
  <c r="E17" i="6"/>
  <c r="D17" i="6"/>
  <c r="I16" i="6"/>
  <c r="H16" i="6"/>
  <c r="G16" i="6"/>
  <c r="F16" i="6"/>
  <c r="E16" i="6"/>
  <c r="D16" i="6"/>
  <c r="I15" i="6"/>
  <c r="H15" i="6"/>
  <c r="G15" i="6"/>
  <c r="F15" i="6"/>
  <c r="E15" i="6"/>
  <c r="D15" i="6"/>
  <c r="I14" i="6"/>
  <c r="H14" i="6"/>
  <c r="G14" i="6"/>
  <c r="F14" i="6"/>
  <c r="E14" i="6"/>
  <c r="D14" i="6"/>
  <c r="I13" i="6"/>
  <c r="H13" i="6"/>
  <c r="G13" i="6"/>
  <c r="F13" i="6"/>
  <c r="E13" i="6"/>
  <c r="D13" i="6"/>
  <c r="I12" i="6"/>
  <c r="H12" i="6"/>
  <c r="G12" i="6"/>
  <c r="F12" i="6"/>
  <c r="E12" i="6"/>
  <c r="D12" i="6"/>
  <c r="I11" i="6"/>
  <c r="H11" i="6"/>
  <c r="G11" i="6"/>
  <c r="F11" i="6"/>
  <c r="E11" i="6"/>
  <c r="D11" i="6"/>
  <c r="I10" i="6"/>
  <c r="H10" i="6"/>
  <c r="G10" i="6"/>
  <c r="F10" i="6"/>
  <c r="E10" i="6"/>
  <c r="D10" i="6"/>
  <c r="I9" i="6"/>
  <c r="H9" i="6"/>
  <c r="G9" i="6"/>
  <c r="F9" i="6"/>
  <c r="E9" i="6"/>
  <c r="D9" i="6"/>
  <c r="I8" i="6"/>
  <c r="H8" i="6"/>
  <c r="G8" i="6"/>
  <c r="F8" i="6"/>
  <c r="E8" i="6"/>
  <c r="D8" i="6"/>
  <c r="I7" i="6"/>
  <c r="H7" i="6"/>
  <c r="G7" i="6"/>
  <c r="F7" i="6"/>
  <c r="E7" i="6"/>
  <c r="D7" i="6"/>
  <c r="I6" i="6"/>
  <c r="H6" i="6"/>
  <c r="G6" i="6"/>
  <c r="F6" i="6"/>
  <c r="E6" i="6"/>
  <c r="D6" i="6"/>
  <c r="I326" i="6" l="1"/>
  <c r="I334" i="6" s="1"/>
  <c r="C454" i="5"/>
  <c r="H453" i="5"/>
  <c r="G453" i="5"/>
  <c r="F453" i="5"/>
  <c r="E453" i="5"/>
  <c r="D453" i="5"/>
  <c r="H452" i="5"/>
  <c r="G452" i="5"/>
  <c r="F452" i="5"/>
  <c r="E452" i="5"/>
  <c r="D452" i="5"/>
  <c r="H451" i="5"/>
  <c r="G451" i="5"/>
  <c r="F451" i="5"/>
  <c r="E451" i="5"/>
  <c r="D451" i="5"/>
  <c r="H450" i="5"/>
  <c r="G450" i="5"/>
  <c r="F450" i="5"/>
  <c r="E450" i="5"/>
  <c r="D450" i="5"/>
  <c r="H449" i="5"/>
  <c r="G449" i="5"/>
  <c r="F449" i="5"/>
  <c r="E449" i="5"/>
  <c r="D449" i="5"/>
  <c r="I448" i="5"/>
  <c r="I454" i="5" s="1"/>
  <c r="H448" i="5"/>
  <c r="G448" i="5"/>
  <c r="F448" i="5"/>
  <c r="E448" i="5"/>
  <c r="D448" i="5"/>
  <c r="C447" i="5"/>
  <c r="I402" i="5"/>
  <c r="H402" i="5"/>
  <c r="G402" i="5"/>
  <c r="F402" i="5"/>
  <c r="E402" i="5"/>
  <c r="D402" i="5"/>
  <c r="I401" i="5"/>
  <c r="H401" i="5"/>
  <c r="G401" i="5"/>
  <c r="F401" i="5"/>
  <c r="E401" i="5"/>
  <c r="D401" i="5"/>
  <c r="I400" i="5"/>
  <c r="H400" i="5"/>
  <c r="G400" i="5"/>
  <c r="F400" i="5"/>
  <c r="E400" i="5"/>
  <c r="D400" i="5"/>
  <c r="I399" i="5"/>
  <c r="H399" i="5"/>
  <c r="G399" i="5"/>
  <c r="F399" i="5"/>
  <c r="E399" i="5"/>
  <c r="D399" i="5"/>
  <c r="I398" i="5"/>
  <c r="H398" i="5"/>
  <c r="G398" i="5"/>
  <c r="F398" i="5"/>
  <c r="E398" i="5"/>
  <c r="D398" i="5"/>
  <c r="I397" i="5"/>
  <c r="H397" i="5"/>
  <c r="G397" i="5"/>
  <c r="F397" i="5"/>
  <c r="E397" i="5"/>
  <c r="D397" i="5"/>
  <c r="I396" i="5"/>
  <c r="H396" i="5"/>
  <c r="G396" i="5"/>
  <c r="F396" i="5"/>
  <c r="E396" i="5"/>
  <c r="D396" i="5"/>
  <c r="I395" i="5"/>
  <c r="H395" i="5"/>
  <c r="G395" i="5"/>
  <c r="F395" i="5"/>
  <c r="E395" i="5"/>
  <c r="D395" i="5"/>
  <c r="I394" i="5"/>
  <c r="H394" i="5"/>
  <c r="G394" i="5"/>
  <c r="F394" i="5"/>
  <c r="E394" i="5"/>
  <c r="D394" i="5"/>
  <c r="I393" i="5"/>
  <c r="H393" i="5"/>
  <c r="G393" i="5"/>
  <c r="F393" i="5"/>
  <c r="E393" i="5"/>
  <c r="D393" i="5"/>
  <c r="I392" i="5"/>
  <c r="H392" i="5"/>
  <c r="G392" i="5"/>
  <c r="F392" i="5"/>
  <c r="E392" i="5"/>
  <c r="D392" i="5"/>
  <c r="I391" i="5"/>
  <c r="H391" i="5"/>
  <c r="G391" i="5"/>
  <c r="F391" i="5"/>
  <c r="E391" i="5"/>
  <c r="D391" i="5"/>
  <c r="I390" i="5"/>
  <c r="H390" i="5"/>
  <c r="G390" i="5"/>
  <c r="F390" i="5"/>
  <c r="E390" i="5"/>
  <c r="D390" i="5"/>
  <c r="I389" i="5"/>
  <c r="H389" i="5"/>
  <c r="G389" i="5"/>
  <c r="F389" i="5"/>
  <c r="E389" i="5"/>
  <c r="D389" i="5"/>
  <c r="I388" i="5"/>
  <c r="H388" i="5"/>
  <c r="G388" i="5"/>
  <c r="F388" i="5"/>
  <c r="E388" i="5"/>
  <c r="D388" i="5"/>
  <c r="I387" i="5"/>
  <c r="H387" i="5"/>
  <c r="G387" i="5"/>
  <c r="F387" i="5"/>
  <c r="E387" i="5"/>
  <c r="D387" i="5"/>
  <c r="I386" i="5"/>
  <c r="H386" i="5"/>
  <c r="G386" i="5"/>
  <c r="F386" i="5"/>
  <c r="E386" i="5"/>
  <c r="D386" i="5"/>
  <c r="I385" i="5"/>
  <c r="H385" i="5"/>
  <c r="G385" i="5"/>
  <c r="F385" i="5"/>
  <c r="E385" i="5"/>
  <c r="D385" i="5"/>
  <c r="I384" i="5"/>
  <c r="H384" i="5"/>
  <c r="G384" i="5"/>
  <c r="F384" i="5"/>
  <c r="E384" i="5"/>
  <c r="D384" i="5"/>
  <c r="I383" i="5"/>
  <c r="H383" i="5"/>
  <c r="G383" i="5"/>
  <c r="F383" i="5"/>
  <c r="E383" i="5"/>
  <c r="D383" i="5"/>
  <c r="I382" i="5"/>
  <c r="H382" i="5"/>
  <c r="G382" i="5"/>
  <c r="F382" i="5"/>
  <c r="E382" i="5"/>
  <c r="D382" i="5"/>
  <c r="I381" i="5"/>
  <c r="H381" i="5"/>
  <c r="G381" i="5"/>
  <c r="F381" i="5"/>
  <c r="E381" i="5"/>
  <c r="D381" i="5"/>
  <c r="I380" i="5"/>
  <c r="H380" i="5"/>
  <c r="G380" i="5"/>
  <c r="F380" i="5"/>
  <c r="E380" i="5"/>
  <c r="D380" i="5"/>
  <c r="I379" i="5"/>
  <c r="H379" i="5"/>
  <c r="G379" i="5"/>
  <c r="F379" i="5"/>
  <c r="E379" i="5"/>
  <c r="D379" i="5"/>
  <c r="I378" i="5"/>
  <c r="H378" i="5"/>
  <c r="G378" i="5"/>
  <c r="F378" i="5"/>
  <c r="E378" i="5"/>
  <c r="D378" i="5"/>
  <c r="I377" i="5"/>
  <c r="H377" i="5"/>
  <c r="G377" i="5"/>
  <c r="F377" i="5"/>
  <c r="E377" i="5"/>
  <c r="D377" i="5"/>
  <c r="I376" i="5"/>
  <c r="H376" i="5"/>
  <c r="G376" i="5"/>
  <c r="F376" i="5"/>
  <c r="E376" i="5"/>
  <c r="D376" i="5"/>
  <c r="I375" i="5"/>
  <c r="H375" i="5"/>
  <c r="G375" i="5"/>
  <c r="F375" i="5"/>
  <c r="E375" i="5"/>
  <c r="D375" i="5"/>
  <c r="I374" i="5"/>
  <c r="H374" i="5"/>
  <c r="G374" i="5"/>
  <c r="F374" i="5"/>
  <c r="E374" i="5"/>
  <c r="D374" i="5"/>
  <c r="I373" i="5"/>
  <c r="H373" i="5"/>
  <c r="G373" i="5"/>
  <c r="F373" i="5"/>
  <c r="E373" i="5"/>
  <c r="D373" i="5"/>
  <c r="I372" i="5"/>
  <c r="H372" i="5"/>
  <c r="G372" i="5"/>
  <c r="F372" i="5"/>
  <c r="E372" i="5"/>
  <c r="D372" i="5"/>
  <c r="I371" i="5"/>
  <c r="H371" i="5"/>
  <c r="G371" i="5"/>
  <c r="F371" i="5"/>
  <c r="E371" i="5"/>
  <c r="D371" i="5"/>
  <c r="I370" i="5"/>
  <c r="H370" i="5"/>
  <c r="G370" i="5"/>
  <c r="F370" i="5"/>
  <c r="E370" i="5"/>
  <c r="D370" i="5"/>
  <c r="I369" i="5"/>
  <c r="H369" i="5"/>
  <c r="G369" i="5"/>
  <c r="F369" i="5"/>
  <c r="E369" i="5"/>
  <c r="D369" i="5"/>
  <c r="I368" i="5"/>
  <c r="H368" i="5"/>
  <c r="G368" i="5"/>
  <c r="F368" i="5"/>
  <c r="E368" i="5"/>
  <c r="D368" i="5"/>
  <c r="I367" i="5"/>
  <c r="H367" i="5"/>
  <c r="G367" i="5"/>
  <c r="F367" i="5"/>
  <c r="E367" i="5"/>
  <c r="D367" i="5"/>
  <c r="I366" i="5"/>
  <c r="H366" i="5"/>
  <c r="G366" i="5"/>
  <c r="F366" i="5"/>
  <c r="E366" i="5"/>
  <c r="D366" i="5"/>
  <c r="I365" i="5"/>
  <c r="H365" i="5"/>
  <c r="G365" i="5"/>
  <c r="F365" i="5"/>
  <c r="E365" i="5"/>
  <c r="D365" i="5"/>
  <c r="I364" i="5"/>
  <c r="H364" i="5"/>
  <c r="G364" i="5"/>
  <c r="F364" i="5"/>
  <c r="E364" i="5"/>
  <c r="D364" i="5"/>
  <c r="I363" i="5"/>
  <c r="H363" i="5"/>
  <c r="G363" i="5"/>
  <c r="F363" i="5"/>
  <c r="E363" i="5"/>
  <c r="D363" i="5"/>
  <c r="I362" i="5"/>
  <c r="H362" i="5"/>
  <c r="G362" i="5"/>
  <c r="F362" i="5"/>
  <c r="E362" i="5"/>
  <c r="D362" i="5"/>
  <c r="I361" i="5"/>
  <c r="H361" i="5"/>
  <c r="G361" i="5"/>
  <c r="F361" i="5"/>
  <c r="E361" i="5"/>
  <c r="D361" i="5"/>
  <c r="I360" i="5"/>
  <c r="H360" i="5"/>
  <c r="G360" i="5"/>
  <c r="F360" i="5"/>
  <c r="E360" i="5"/>
  <c r="D360" i="5"/>
  <c r="I359" i="5"/>
  <c r="H359" i="5"/>
  <c r="G359" i="5"/>
  <c r="F359" i="5"/>
  <c r="E359" i="5"/>
  <c r="D359" i="5"/>
  <c r="I358" i="5"/>
  <c r="H358" i="5"/>
  <c r="G358" i="5"/>
  <c r="F358" i="5"/>
  <c r="E358" i="5"/>
  <c r="D358" i="5"/>
  <c r="I357" i="5"/>
  <c r="H357" i="5"/>
  <c r="G357" i="5"/>
  <c r="F357" i="5"/>
  <c r="E357" i="5"/>
  <c r="D357" i="5"/>
  <c r="I356" i="5"/>
  <c r="H356" i="5"/>
  <c r="G356" i="5"/>
  <c r="F356" i="5"/>
  <c r="E356" i="5"/>
  <c r="D356" i="5"/>
  <c r="I355" i="5"/>
  <c r="H355" i="5"/>
  <c r="G355" i="5"/>
  <c r="F355" i="5"/>
  <c r="E355" i="5"/>
  <c r="D355" i="5"/>
  <c r="I354" i="5"/>
  <c r="H354" i="5"/>
  <c r="G354" i="5"/>
  <c r="F354" i="5"/>
  <c r="E354" i="5"/>
  <c r="D354" i="5"/>
  <c r="I353" i="5"/>
  <c r="H353" i="5"/>
  <c r="G353" i="5"/>
  <c r="F353" i="5"/>
  <c r="E353" i="5"/>
  <c r="D353" i="5"/>
  <c r="I352" i="5"/>
  <c r="H352" i="5"/>
  <c r="G352" i="5"/>
  <c r="F352" i="5"/>
  <c r="E352" i="5"/>
  <c r="D352" i="5"/>
  <c r="I351" i="5"/>
  <c r="H351" i="5"/>
  <c r="G351" i="5"/>
  <c r="F351" i="5"/>
  <c r="E351" i="5"/>
  <c r="D351" i="5"/>
  <c r="I350" i="5"/>
  <c r="H350" i="5"/>
  <c r="G350" i="5"/>
  <c r="F350" i="5"/>
  <c r="E350" i="5"/>
  <c r="D350" i="5"/>
  <c r="I349" i="5"/>
  <c r="H349" i="5"/>
  <c r="G349" i="5"/>
  <c r="F349" i="5"/>
  <c r="E349" i="5"/>
  <c r="D349" i="5"/>
  <c r="I348" i="5"/>
  <c r="H348" i="5"/>
  <c r="G348" i="5"/>
  <c r="F348" i="5"/>
  <c r="E348" i="5"/>
  <c r="D348" i="5"/>
  <c r="I347" i="5"/>
  <c r="H347" i="5"/>
  <c r="G347" i="5"/>
  <c r="F347" i="5"/>
  <c r="E347" i="5"/>
  <c r="D347" i="5"/>
  <c r="I346" i="5"/>
  <c r="H346" i="5"/>
  <c r="G346" i="5"/>
  <c r="F346" i="5"/>
  <c r="E346" i="5"/>
  <c r="D346" i="5"/>
  <c r="I345" i="5"/>
  <c r="H345" i="5"/>
  <c r="G345" i="5"/>
  <c r="F345" i="5"/>
  <c r="E345" i="5"/>
  <c r="D345" i="5"/>
  <c r="I344" i="5"/>
  <c r="H344" i="5"/>
  <c r="G344" i="5"/>
  <c r="F344" i="5"/>
  <c r="E344" i="5"/>
  <c r="D344" i="5"/>
  <c r="I343" i="5"/>
  <c r="H343" i="5"/>
  <c r="G343" i="5"/>
  <c r="F343" i="5"/>
  <c r="E343" i="5"/>
  <c r="D343" i="5"/>
  <c r="I342" i="5"/>
  <c r="H342" i="5"/>
  <c r="G342" i="5"/>
  <c r="F342" i="5"/>
  <c r="E342" i="5"/>
  <c r="D342" i="5"/>
  <c r="I341" i="5"/>
  <c r="H341" i="5"/>
  <c r="G341" i="5"/>
  <c r="F341" i="5"/>
  <c r="E341" i="5"/>
  <c r="D341" i="5"/>
  <c r="I340" i="5"/>
  <c r="H340" i="5"/>
  <c r="G340" i="5"/>
  <c r="F340" i="5"/>
  <c r="E340" i="5"/>
  <c r="D340" i="5"/>
  <c r="I339" i="5"/>
  <c r="H339" i="5"/>
  <c r="G339" i="5"/>
  <c r="F339" i="5"/>
  <c r="E339" i="5"/>
  <c r="D339" i="5"/>
  <c r="I338" i="5"/>
  <c r="H338" i="5"/>
  <c r="G338" i="5"/>
  <c r="F338" i="5"/>
  <c r="E338" i="5"/>
  <c r="D338" i="5"/>
  <c r="I337" i="5"/>
  <c r="H337" i="5"/>
  <c r="G337" i="5"/>
  <c r="F337" i="5"/>
  <c r="E337" i="5"/>
  <c r="D337" i="5"/>
  <c r="I336" i="5"/>
  <c r="H336" i="5"/>
  <c r="G336" i="5"/>
  <c r="F336" i="5"/>
  <c r="E336" i="5"/>
  <c r="D336" i="5"/>
  <c r="I335" i="5"/>
  <c r="H335" i="5"/>
  <c r="G335" i="5"/>
  <c r="F335" i="5"/>
  <c r="E335" i="5"/>
  <c r="D335" i="5"/>
  <c r="I334" i="5"/>
  <c r="H334" i="5"/>
  <c r="G334" i="5"/>
  <c r="F334" i="5"/>
  <c r="E334" i="5"/>
  <c r="D334" i="5"/>
  <c r="I333" i="5"/>
  <c r="H333" i="5"/>
  <c r="G333" i="5"/>
  <c r="F333" i="5"/>
  <c r="E333" i="5"/>
  <c r="D333" i="5"/>
  <c r="I332" i="5"/>
  <c r="H332" i="5"/>
  <c r="G332" i="5"/>
  <c r="F332" i="5"/>
  <c r="E332" i="5"/>
  <c r="D332" i="5"/>
  <c r="I331" i="5"/>
  <c r="H331" i="5"/>
  <c r="G331" i="5"/>
  <c r="F331" i="5"/>
  <c r="E331" i="5"/>
  <c r="D331" i="5"/>
  <c r="I330" i="5"/>
  <c r="H330" i="5"/>
  <c r="G330" i="5"/>
  <c r="F330" i="5"/>
  <c r="E330" i="5"/>
  <c r="D330" i="5"/>
  <c r="I329" i="5"/>
  <c r="H329" i="5"/>
  <c r="G329" i="5"/>
  <c r="F329" i="5"/>
  <c r="E329" i="5"/>
  <c r="D329" i="5"/>
  <c r="I328" i="5"/>
  <c r="H328" i="5"/>
  <c r="G328" i="5"/>
  <c r="F328" i="5"/>
  <c r="E328" i="5"/>
  <c r="D328" i="5"/>
  <c r="I327" i="5"/>
  <c r="H327" i="5"/>
  <c r="G327" i="5"/>
  <c r="F327" i="5"/>
  <c r="E327" i="5"/>
  <c r="D327" i="5"/>
  <c r="I326" i="5"/>
  <c r="H326" i="5"/>
  <c r="G326" i="5"/>
  <c r="F326" i="5"/>
  <c r="E326" i="5"/>
  <c r="D326" i="5"/>
  <c r="I325" i="5"/>
  <c r="H325" i="5"/>
  <c r="G325" i="5"/>
  <c r="F325" i="5"/>
  <c r="E325" i="5"/>
  <c r="D325" i="5"/>
  <c r="I324" i="5"/>
  <c r="H324" i="5"/>
  <c r="G324" i="5"/>
  <c r="F324" i="5"/>
  <c r="E324" i="5"/>
  <c r="D324" i="5"/>
  <c r="I323" i="5"/>
  <c r="H323" i="5"/>
  <c r="G323" i="5"/>
  <c r="F323" i="5"/>
  <c r="E323" i="5"/>
  <c r="D323" i="5"/>
  <c r="I322" i="5"/>
  <c r="H322" i="5"/>
  <c r="G322" i="5"/>
  <c r="F322" i="5"/>
  <c r="E322" i="5"/>
  <c r="D322" i="5"/>
  <c r="I321" i="5"/>
  <c r="H321" i="5"/>
  <c r="G321" i="5"/>
  <c r="F321" i="5"/>
  <c r="E321" i="5"/>
  <c r="D321" i="5"/>
  <c r="I320" i="5"/>
  <c r="H320" i="5"/>
  <c r="G320" i="5"/>
  <c r="F320" i="5"/>
  <c r="E320" i="5"/>
  <c r="D320" i="5"/>
  <c r="I319" i="5"/>
  <c r="H319" i="5"/>
  <c r="G319" i="5"/>
  <c r="F319" i="5"/>
  <c r="E319" i="5"/>
  <c r="D319" i="5"/>
  <c r="I318" i="5"/>
  <c r="H318" i="5"/>
  <c r="G318" i="5"/>
  <c r="F318" i="5"/>
  <c r="E318" i="5"/>
  <c r="D318" i="5"/>
  <c r="I317" i="5"/>
  <c r="H317" i="5"/>
  <c r="G317" i="5"/>
  <c r="F317" i="5"/>
  <c r="E317" i="5"/>
  <c r="D317" i="5"/>
  <c r="I316" i="5"/>
  <c r="H316" i="5"/>
  <c r="G316" i="5"/>
  <c r="F316" i="5"/>
  <c r="E316" i="5"/>
  <c r="D316" i="5"/>
  <c r="I315" i="5"/>
  <c r="H315" i="5"/>
  <c r="G315" i="5"/>
  <c r="F315" i="5"/>
  <c r="E315" i="5"/>
  <c r="D315" i="5"/>
  <c r="I314" i="5"/>
  <c r="H314" i="5"/>
  <c r="G314" i="5"/>
  <c r="F314" i="5"/>
  <c r="E314" i="5"/>
  <c r="D314" i="5"/>
  <c r="I313" i="5"/>
  <c r="H313" i="5"/>
  <c r="G313" i="5"/>
  <c r="F313" i="5"/>
  <c r="E313" i="5"/>
  <c r="D313" i="5"/>
  <c r="I312" i="5"/>
  <c r="H312" i="5"/>
  <c r="G312" i="5"/>
  <c r="F312" i="5"/>
  <c r="E312" i="5"/>
  <c r="D312" i="5"/>
  <c r="I311" i="5"/>
  <c r="H311" i="5"/>
  <c r="G311" i="5"/>
  <c r="F311" i="5"/>
  <c r="E311" i="5"/>
  <c r="D311" i="5"/>
  <c r="I310" i="5"/>
  <c r="H310" i="5"/>
  <c r="G310" i="5"/>
  <c r="F310" i="5"/>
  <c r="E310" i="5"/>
  <c r="D310" i="5"/>
  <c r="I309" i="5"/>
  <c r="H309" i="5"/>
  <c r="G309" i="5"/>
  <c r="F309" i="5"/>
  <c r="E309" i="5"/>
  <c r="D309" i="5"/>
  <c r="I308" i="5"/>
  <c r="H308" i="5"/>
  <c r="G308" i="5"/>
  <c r="F308" i="5"/>
  <c r="E308" i="5"/>
  <c r="D308" i="5"/>
  <c r="I307" i="5"/>
  <c r="H307" i="5"/>
  <c r="G307" i="5"/>
  <c r="F307" i="5"/>
  <c r="E307" i="5"/>
  <c r="D307" i="5"/>
  <c r="I306" i="5"/>
  <c r="H306" i="5"/>
  <c r="G306" i="5"/>
  <c r="F306" i="5"/>
  <c r="E306" i="5"/>
  <c r="D306" i="5"/>
  <c r="I305" i="5"/>
  <c r="H305" i="5"/>
  <c r="G305" i="5"/>
  <c r="F305" i="5"/>
  <c r="E305" i="5"/>
  <c r="D305" i="5"/>
  <c r="I304" i="5"/>
  <c r="H304" i="5"/>
  <c r="G304" i="5"/>
  <c r="F304" i="5"/>
  <c r="E304" i="5"/>
  <c r="D304" i="5"/>
  <c r="I303" i="5"/>
  <c r="H303" i="5"/>
  <c r="G303" i="5"/>
  <c r="F303" i="5"/>
  <c r="E303" i="5"/>
  <c r="D303" i="5"/>
  <c r="I302" i="5"/>
  <c r="H302" i="5"/>
  <c r="G302" i="5"/>
  <c r="F302" i="5"/>
  <c r="E302" i="5"/>
  <c r="D302" i="5"/>
  <c r="I301" i="5"/>
  <c r="H301" i="5"/>
  <c r="G301" i="5"/>
  <c r="F301" i="5"/>
  <c r="E301" i="5"/>
  <c r="D301" i="5"/>
  <c r="I300" i="5"/>
  <c r="H300" i="5"/>
  <c r="G300" i="5"/>
  <c r="F300" i="5"/>
  <c r="E300" i="5"/>
  <c r="D300" i="5"/>
  <c r="I299" i="5"/>
  <c r="H299" i="5"/>
  <c r="G299" i="5"/>
  <c r="F299" i="5"/>
  <c r="E299" i="5"/>
  <c r="D299" i="5"/>
  <c r="I298" i="5"/>
  <c r="H298" i="5"/>
  <c r="G298" i="5"/>
  <c r="F298" i="5"/>
  <c r="E298" i="5"/>
  <c r="D298" i="5"/>
  <c r="I297" i="5"/>
  <c r="H297" i="5"/>
  <c r="G297" i="5"/>
  <c r="F297" i="5"/>
  <c r="E297" i="5"/>
  <c r="D297" i="5"/>
  <c r="I296" i="5"/>
  <c r="H296" i="5"/>
  <c r="G296" i="5"/>
  <c r="F296" i="5"/>
  <c r="E296" i="5"/>
  <c r="D296" i="5"/>
  <c r="I295" i="5"/>
  <c r="H295" i="5"/>
  <c r="G295" i="5"/>
  <c r="F295" i="5"/>
  <c r="E295" i="5"/>
  <c r="D295" i="5"/>
  <c r="I294" i="5"/>
  <c r="H294" i="5"/>
  <c r="G294" i="5"/>
  <c r="F294" i="5"/>
  <c r="E294" i="5"/>
  <c r="D294" i="5"/>
  <c r="I293" i="5"/>
  <c r="H293" i="5"/>
  <c r="G293" i="5"/>
  <c r="F293" i="5"/>
  <c r="E293" i="5"/>
  <c r="D293" i="5"/>
  <c r="I292" i="5"/>
  <c r="H292" i="5"/>
  <c r="G292" i="5"/>
  <c r="F292" i="5"/>
  <c r="E292" i="5"/>
  <c r="D292" i="5"/>
  <c r="I291" i="5"/>
  <c r="H291" i="5"/>
  <c r="G291" i="5"/>
  <c r="F291" i="5"/>
  <c r="E291" i="5"/>
  <c r="D291" i="5"/>
  <c r="I290" i="5"/>
  <c r="H290" i="5"/>
  <c r="G290" i="5"/>
  <c r="F290" i="5"/>
  <c r="E290" i="5"/>
  <c r="D290" i="5"/>
  <c r="I289" i="5"/>
  <c r="H289" i="5"/>
  <c r="G289" i="5"/>
  <c r="F289" i="5"/>
  <c r="E289" i="5"/>
  <c r="D289" i="5"/>
  <c r="I288" i="5"/>
  <c r="H288" i="5"/>
  <c r="G288" i="5"/>
  <c r="F288" i="5"/>
  <c r="E288" i="5"/>
  <c r="D288" i="5"/>
  <c r="I287" i="5"/>
  <c r="H287" i="5"/>
  <c r="G287" i="5"/>
  <c r="F287" i="5"/>
  <c r="E287" i="5"/>
  <c r="D287" i="5"/>
  <c r="I286" i="5"/>
  <c r="H286" i="5"/>
  <c r="G286" i="5"/>
  <c r="F286" i="5"/>
  <c r="E286" i="5"/>
  <c r="D286" i="5"/>
  <c r="I285" i="5"/>
  <c r="H285" i="5"/>
  <c r="G285" i="5"/>
  <c r="F285" i="5"/>
  <c r="E285" i="5"/>
  <c r="D285" i="5"/>
  <c r="I284" i="5"/>
  <c r="H284" i="5"/>
  <c r="G284" i="5"/>
  <c r="F284" i="5"/>
  <c r="E284" i="5"/>
  <c r="D284" i="5"/>
  <c r="I283" i="5"/>
  <c r="H283" i="5"/>
  <c r="G283" i="5"/>
  <c r="F283" i="5"/>
  <c r="E283" i="5"/>
  <c r="D283" i="5"/>
  <c r="I282" i="5"/>
  <c r="H282" i="5"/>
  <c r="G282" i="5"/>
  <c r="F282" i="5"/>
  <c r="E282" i="5"/>
  <c r="D282" i="5"/>
  <c r="I281" i="5"/>
  <c r="H281" i="5"/>
  <c r="G281" i="5"/>
  <c r="F281" i="5"/>
  <c r="E281" i="5"/>
  <c r="D281" i="5"/>
  <c r="I280" i="5"/>
  <c r="H280" i="5"/>
  <c r="G280" i="5"/>
  <c r="F280" i="5"/>
  <c r="E280" i="5"/>
  <c r="D280" i="5"/>
  <c r="I279" i="5"/>
  <c r="H279" i="5"/>
  <c r="G279" i="5"/>
  <c r="F279" i="5"/>
  <c r="E279" i="5"/>
  <c r="D279" i="5"/>
  <c r="I278" i="5"/>
  <c r="H278" i="5"/>
  <c r="G278" i="5"/>
  <c r="F278" i="5"/>
  <c r="E278" i="5"/>
  <c r="D278" i="5"/>
  <c r="I277" i="5"/>
  <c r="H277" i="5"/>
  <c r="G277" i="5"/>
  <c r="F277" i="5"/>
  <c r="E277" i="5"/>
  <c r="D277" i="5"/>
  <c r="I276" i="5"/>
  <c r="H276" i="5"/>
  <c r="G276" i="5"/>
  <c r="F276" i="5"/>
  <c r="E276" i="5"/>
  <c r="D276" i="5"/>
  <c r="I275" i="5"/>
  <c r="H275" i="5"/>
  <c r="G275" i="5"/>
  <c r="F275" i="5"/>
  <c r="E275" i="5"/>
  <c r="D275" i="5"/>
  <c r="I274" i="5"/>
  <c r="H274" i="5"/>
  <c r="G274" i="5"/>
  <c r="F274" i="5"/>
  <c r="E274" i="5"/>
  <c r="D274" i="5"/>
  <c r="I273" i="5"/>
  <c r="H273" i="5"/>
  <c r="G273" i="5"/>
  <c r="F273" i="5"/>
  <c r="E273" i="5"/>
  <c r="D273" i="5"/>
  <c r="I272" i="5"/>
  <c r="H272" i="5"/>
  <c r="G272" i="5"/>
  <c r="F272" i="5"/>
  <c r="E272" i="5"/>
  <c r="D272" i="5"/>
  <c r="I271" i="5"/>
  <c r="H271" i="5"/>
  <c r="G271" i="5"/>
  <c r="F271" i="5"/>
  <c r="E271" i="5"/>
  <c r="D271" i="5"/>
  <c r="I270" i="5"/>
  <c r="H270" i="5"/>
  <c r="G270" i="5"/>
  <c r="F270" i="5"/>
  <c r="E270" i="5"/>
  <c r="D270" i="5"/>
  <c r="I269" i="5"/>
  <c r="H269" i="5"/>
  <c r="G269" i="5"/>
  <c r="F269" i="5"/>
  <c r="E269" i="5"/>
  <c r="D269" i="5"/>
  <c r="I268" i="5"/>
  <c r="H268" i="5"/>
  <c r="G268" i="5"/>
  <c r="F268" i="5"/>
  <c r="E268" i="5"/>
  <c r="D268" i="5"/>
  <c r="I267" i="5"/>
  <c r="H267" i="5"/>
  <c r="G267" i="5"/>
  <c r="F267" i="5"/>
  <c r="E267" i="5"/>
  <c r="D267" i="5"/>
  <c r="I266" i="5"/>
  <c r="H266" i="5"/>
  <c r="G266" i="5"/>
  <c r="F266" i="5"/>
  <c r="E266" i="5"/>
  <c r="D266" i="5"/>
  <c r="I265" i="5"/>
  <c r="H265" i="5"/>
  <c r="G265" i="5"/>
  <c r="F265" i="5"/>
  <c r="E265" i="5"/>
  <c r="D265" i="5"/>
  <c r="I264" i="5"/>
  <c r="H264" i="5"/>
  <c r="G264" i="5"/>
  <c r="F264" i="5"/>
  <c r="E264" i="5"/>
  <c r="D264" i="5"/>
  <c r="I263" i="5"/>
  <c r="H263" i="5"/>
  <c r="G263" i="5"/>
  <c r="F263" i="5"/>
  <c r="E263" i="5"/>
  <c r="D263" i="5"/>
  <c r="I262" i="5"/>
  <c r="H262" i="5"/>
  <c r="G262" i="5"/>
  <c r="F262" i="5"/>
  <c r="E262" i="5"/>
  <c r="D262" i="5"/>
  <c r="I261" i="5"/>
  <c r="H261" i="5"/>
  <c r="G261" i="5"/>
  <c r="F261" i="5"/>
  <c r="E261" i="5"/>
  <c r="D261" i="5"/>
  <c r="I260" i="5"/>
  <c r="H260" i="5"/>
  <c r="G260" i="5"/>
  <c r="F260" i="5"/>
  <c r="E260" i="5"/>
  <c r="D260" i="5"/>
  <c r="I259" i="5"/>
  <c r="H259" i="5"/>
  <c r="G259" i="5"/>
  <c r="F259" i="5"/>
  <c r="E259" i="5"/>
  <c r="D259" i="5"/>
  <c r="I258" i="5"/>
  <c r="H258" i="5"/>
  <c r="G258" i="5"/>
  <c r="F258" i="5"/>
  <c r="E258" i="5"/>
  <c r="D258" i="5"/>
  <c r="I257" i="5"/>
  <c r="H257" i="5"/>
  <c r="G257" i="5"/>
  <c r="F257" i="5"/>
  <c r="E257" i="5"/>
  <c r="D257" i="5"/>
  <c r="I256" i="5"/>
  <c r="H256" i="5"/>
  <c r="G256" i="5"/>
  <c r="F256" i="5"/>
  <c r="E256" i="5"/>
  <c r="D256" i="5"/>
  <c r="I255" i="5"/>
  <c r="H255" i="5"/>
  <c r="G255" i="5"/>
  <c r="F255" i="5"/>
  <c r="E255" i="5"/>
  <c r="D255" i="5"/>
  <c r="I254" i="5"/>
  <c r="H254" i="5"/>
  <c r="G254" i="5"/>
  <c r="F254" i="5"/>
  <c r="E254" i="5"/>
  <c r="D254" i="5"/>
  <c r="I253" i="5"/>
  <c r="H253" i="5"/>
  <c r="G253" i="5"/>
  <c r="F253" i="5"/>
  <c r="E253" i="5"/>
  <c r="D253" i="5"/>
  <c r="I252" i="5"/>
  <c r="H252" i="5"/>
  <c r="G252" i="5"/>
  <c r="F252" i="5"/>
  <c r="E252" i="5"/>
  <c r="D252" i="5"/>
  <c r="I251" i="5"/>
  <c r="H251" i="5"/>
  <c r="G251" i="5"/>
  <c r="F251" i="5"/>
  <c r="E251" i="5"/>
  <c r="D251" i="5"/>
  <c r="I250" i="5"/>
  <c r="H250" i="5"/>
  <c r="G250" i="5"/>
  <c r="F250" i="5"/>
  <c r="E250" i="5"/>
  <c r="D250" i="5"/>
  <c r="I249" i="5"/>
  <c r="H249" i="5"/>
  <c r="G249" i="5"/>
  <c r="F249" i="5"/>
  <c r="E249" i="5"/>
  <c r="D249" i="5"/>
  <c r="I248" i="5"/>
  <c r="H248" i="5"/>
  <c r="G248" i="5"/>
  <c r="F248" i="5"/>
  <c r="E248" i="5"/>
  <c r="D248" i="5"/>
  <c r="I247" i="5"/>
  <c r="H247" i="5"/>
  <c r="G247" i="5"/>
  <c r="F247" i="5"/>
  <c r="E247" i="5"/>
  <c r="D247" i="5"/>
  <c r="I246" i="5"/>
  <c r="H246" i="5"/>
  <c r="G246" i="5"/>
  <c r="F246" i="5"/>
  <c r="E246" i="5"/>
  <c r="D246" i="5"/>
  <c r="I245" i="5"/>
  <c r="H245" i="5"/>
  <c r="G245" i="5"/>
  <c r="F245" i="5"/>
  <c r="E245" i="5"/>
  <c r="D245" i="5"/>
  <c r="I244" i="5"/>
  <c r="H244" i="5"/>
  <c r="G244" i="5"/>
  <c r="F244" i="5"/>
  <c r="E244" i="5"/>
  <c r="D244" i="5"/>
  <c r="I243" i="5"/>
  <c r="H243" i="5"/>
  <c r="G243" i="5"/>
  <c r="F243" i="5"/>
  <c r="E243" i="5"/>
  <c r="D243" i="5"/>
  <c r="I242" i="5"/>
  <c r="H242" i="5"/>
  <c r="G242" i="5"/>
  <c r="F242" i="5"/>
  <c r="E242" i="5"/>
  <c r="D242" i="5"/>
  <c r="I241" i="5"/>
  <c r="H241" i="5"/>
  <c r="G241" i="5"/>
  <c r="F241" i="5"/>
  <c r="E241" i="5"/>
  <c r="D241" i="5"/>
  <c r="I240" i="5"/>
  <c r="H240" i="5"/>
  <c r="G240" i="5"/>
  <c r="F240" i="5"/>
  <c r="E240" i="5"/>
  <c r="D240" i="5"/>
  <c r="I239" i="5"/>
  <c r="H239" i="5"/>
  <c r="G239" i="5"/>
  <c r="F239" i="5"/>
  <c r="E239" i="5"/>
  <c r="D239" i="5"/>
  <c r="I238" i="5"/>
  <c r="H238" i="5"/>
  <c r="G238" i="5"/>
  <c r="F238" i="5"/>
  <c r="E238" i="5"/>
  <c r="D238" i="5"/>
  <c r="I237" i="5"/>
  <c r="H237" i="5"/>
  <c r="G237" i="5"/>
  <c r="F237" i="5"/>
  <c r="E237" i="5"/>
  <c r="D237" i="5"/>
  <c r="I236" i="5"/>
  <c r="H236" i="5"/>
  <c r="G236" i="5"/>
  <c r="F236" i="5"/>
  <c r="E236" i="5"/>
  <c r="D236" i="5"/>
  <c r="I235" i="5"/>
  <c r="H235" i="5"/>
  <c r="G235" i="5"/>
  <c r="F235" i="5"/>
  <c r="E235" i="5"/>
  <c r="D235" i="5"/>
  <c r="I234" i="5"/>
  <c r="H234" i="5"/>
  <c r="G234" i="5"/>
  <c r="F234" i="5"/>
  <c r="E234" i="5"/>
  <c r="D234" i="5"/>
  <c r="I233" i="5"/>
  <c r="H233" i="5"/>
  <c r="G233" i="5"/>
  <c r="F233" i="5"/>
  <c r="E233" i="5"/>
  <c r="D233" i="5"/>
  <c r="I232" i="5"/>
  <c r="H232" i="5"/>
  <c r="G232" i="5"/>
  <c r="F232" i="5"/>
  <c r="E232" i="5"/>
  <c r="D232" i="5"/>
  <c r="I231" i="5"/>
  <c r="H231" i="5"/>
  <c r="G231" i="5"/>
  <c r="F231" i="5"/>
  <c r="E231" i="5"/>
  <c r="D231" i="5"/>
  <c r="I230" i="5"/>
  <c r="H230" i="5"/>
  <c r="G230" i="5"/>
  <c r="F230" i="5"/>
  <c r="E230" i="5"/>
  <c r="D230" i="5"/>
  <c r="I229" i="5"/>
  <c r="H229" i="5"/>
  <c r="G229" i="5"/>
  <c r="F229" i="5"/>
  <c r="E229" i="5"/>
  <c r="D229" i="5"/>
  <c r="I228" i="5"/>
  <c r="H228" i="5"/>
  <c r="G228" i="5"/>
  <c r="F228" i="5"/>
  <c r="E228" i="5"/>
  <c r="D228" i="5"/>
  <c r="I227" i="5"/>
  <c r="H227" i="5"/>
  <c r="G227" i="5"/>
  <c r="F227" i="5"/>
  <c r="E227" i="5"/>
  <c r="D227" i="5"/>
  <c r="I226" i="5"/>
  <c r="H226" i="5"/>
  <c r="G226" i="5"/>
  <c r="F226" i="5"/>
  <c r="E226" i="5"/>
  <c r="D226" i="5"/>
  <c r="I225" i="5"/>
  <c r="H225" i="5"/>
  <c r="G225" i="5"/>
  <c r="F225" i="5"/>
  <c r="E225" i="5"/>
  <c r="D225" i="5"/>
  <c r="I224" i="5"/>
  <c r="H224" i="5"/>
  <c r="G224" i="5"/>
  <c r="F224" i="5"/>
  <c r="E224" i="5"/>
  <c r="D224" i="5"/>
  <c r="I223" i="5"/>
  <c r="H223" i="5"/>
  <c r="G223" i="5"/>
  <c r="F223" i="5"/>
  <c r="E223" i="5"/>
  <c r="D223" i="5"/>
  <c r="I222" i="5"/>
  <c r="H222" i="5"/>
  <c r="G222" i="5"/>
  <c r="F222" i="5"/>
  <c r="E222" i="5"/>
  <c r="D222" i="5"/>
  <c r="I221" i="5"/>
  <c r="H221" i="5"/>
  <c r="G221" i="5"/>
  <c r="F221" i="5"/>
  <c r="E221" i="5"/>
  <c r="D221" i="5"/>
  <c r="I220" i="5"/>
  <c r="H220" i="5"/>
  <c r="G220" i="5"/>
  <c r="F220" i="5"/>
  <c r="E220" i="5"/>
  <c r="D220" i="5"/>
  <c r="I219" i="5"/>
  <c r="H219" i="5"/>
  <c r="G219" i="5"/>
  <c r="F219" i="5"/>
  <c r="E219" i="5"/>
  <c r="D219" i="5"/>
  <c r="I218" i="5"/>
  <c r="H218" i="5"/>
  <c r="G218" i="5"/>
  <c r="F218" i="5"/>
  <c r="E218" i="5"/>
  <c r="D218" i="5"/>
  <c r="I217" i="5"/>
  <c r="H217" i="5"/>
  <c r="G217" i="5"/>
  <c r="F217" i="5"/>
  <c r="E217" i="5"/>
  <c r="D217" i="5"/>
  <c r="I216" i="5"/>
  <c r="H216" i="5"/>
  <c r="G216" i="5"/>
  <c r="F216" i="5"/>
  <c r="E216" i="5"/>
  <c r="D216" i="5"/>
  <c r="I215" i="5"/>
  <c r="H215" i="5"/>
  <c r="G215" i="5"/>
  <c r="F215" i="5"/>
  <c r="E215" i="5"/>
  <c r="D215" i="5"/>
  <c r="I214" i="5"/>
  <c r="H214" i="5"/>
  <c r="G214" i="5"/>
  <c r="F214" i="5"/>
  <c r="E214" i="5"/>
  <c r="D214" i="5"/>
  <c r="I213" i="5"/>
  <c r="H213" i="5"/>
  <c r="G213" i="5"/>
  <c r="F213" i="5"/>
  <c r="E213" i="5"/>
  <c r="D213" i="5"/>
  <c r="I212" i="5"/>
  <c r="H212" i="5"/>
  <c r="G212" i="5"/>
  <c r="F212" i="5"/>
  <c r="E212" i="5"/>
  <c r="D212" i="5"/>
  <c r="I211" i="5"/>
  <c r="H211" i="5"/>
  <c r="G211" i="5"/>
  <c r="F211" i="5"/>
  <c r="E211" i="5"/>
  <c r="D211" i="5"/>
  <c r="I210" i="5"/>
  <c r="H210" i="5"/>
  <c r="G210" i="5"/>
  <c r="F210" i="5"/>
  <c r="E210" i="5"/>
  <c r="D210" i="5"/>
  <c r="I209" i="5"/>
  <c r="H209" i="5"/>
  <c r="G209" i="5"/>
  <c r="F209" i="5"/>
  <c r="E209" i="5"/>
  <c r="D209" i="5"/>
  <c r="I208" i="5"/>
  <c r="H208" i="5"/>
  <c r="G208" i="5"/>
  <c r="F208" i="5"/>
  <c r="E208" i="5"/>
  <c r="D208" i="5"/>
  <c r="I207" i="5"/>
  <c r="H207" i="5"/>
  <c r="G207" i="5"/>
  <c r="F207" i="5"/>
  <c r="E207" i="5"/>
  <c r="D207" i="5"/>
  <c r="I206" i="5"/>
  <c r="H206" i="5"/>
  <c r="G206" i="5"/>
  <c r="F206" i="5"/>
  <c r="E206" i="5"/>
  <c r="D206" i="5"/>
  <c r="I205" i="5"/>
  <c r="H205" i="5"/>
  <c r="G205" i="5"/>
  <c r="F205" i="5"/>
  <c r="E205" i="5"/>
  <c r="D205" i="5"/>
  <c r="I204" i="5"/>
  <c r="H204" i="5"/>
  <c r="G204" i="5"/>
  <c r="F204" i="5"/>
  <c r="E204" i="5"/>
  <c r="D204" i="5"/>
  <c r="I203" i="5"/>
  <c r="H203" i="5"/>
  <c r="G203" i="5"/>
  <c r="F203" i="5"/>
  <c r="E203" i="5"/>
  <c r="D203" i="5"/>
  <c r="I202" i="5"/>
  <c r="H202" i="5"/>
  <c r="G202" i="5"/>
  <c r="F202" i="5"/>
  <c r="E202" i="5"/>
  <c r="D202" i="5"/>
  <c r="I201" i="5"/>
  <c r="H201" i="5"/>
  <c r="G201" i="5"/>
  <c r="F201" i="5"/>
  <c r="E201" i="5"/>
  <c r="D201" i="5"/>
  <c r="I200" i="5"/>
  <c r="H200" i="5"/>
  <c r="G200" i="5"/>
  <c r="F200" i="5"/>
  <c r="E200" i="5"/>
  <c r="D200" i="5"/>
  <c r="I199" i="5"/>
  <c r="H199" i="5"/>
  <c r="G199" i="5"/>
  <c r="F199" i="5"/>
  <c r="E199" i="5"/>
  <c r="D199" i="5"/>
  <c r="I198" i="5"/>
  <c r="H198" i="5"/>
  <c r="G198" i="5"/>
  <c r="F198" i="5"/>
  <c r="E198" i="5"/>
  <c r="D198" i="5"/>
  <c r="I197" i="5"/>
  <c r="H197" i="5"/>
  <c r="G197" i="5"/>
  <c r="F197" i="5"/>
  <c r="E197" i="5"/>
  <c r="D197" i="5"/>
  <c r="I196" i="5"/>
  <c r="H196" i="5"/>
  <c r="G196" i="5"/>
  <c r="F196" i="5"/>
  <c r="E196" i="5"/>
  <c r="D196" i="5"/>
  <c r="I195" i="5"/>
  <c r="H195" i="5"/>
  <c r="G195" i="5"/>
  <c r="F195" i="5"/>
  <c r="E195" i="5"/>
  <c r="D195" i="5"/>
  <c r="I194" i="5"/>
  <c r="H194" i="5"/>
  <c r="G194" i="5"/>
  <c r="F194" i="5"/>
  <c r="E194" i="5"/>
  <c r="D194" i="5"/>
  <c r="I193" i="5"/>
  <c r="H193" i="5"/>
  <c r="G193" i="5"/>
  <c r="F193" i="5"/>
  <c r="E193" i="5"/>
  <c r="D193" i="5"/>
  <c r="I192" i="5"/>
  <c r="H192" i="5"/>
  <c r="G192" i="5"/>
  <c r="F192" i="5"/>
  <c r="E192" i="5"/>
  <c r="D192" i="5"/>
  <c r="I191" i="5"/>
  <c r="H191" i="5"/>
  <c r="G191" i="5"/>
  <c r="F191" i="5"/>
  <c r="E191" i="5"/>
  <c r="D191" i="5"/>
  <c r="I190" i="5"/>
  <c r="H190" i="5"/>
  <c r="G190" i="5"/>
  <c r="F190" i="5"/>
  <c r="E190" i="5"/>
  <c r="D190" i="5"/>
  <c r="I189" i="5"/>
  <c r="H189" i="5"/>
  <c r="G189" i="5"/>
  <c r="F189" i="5"/>
  <c r="E189" i="5"/>
  <c r="D189" i="5"/>
  <c r="I188" i="5"/>
  <c r="H188" i="5"/>
  <c r="G188" i="5"/>
  <c r="F188" i="5"/>
  <c r="E188" i="5"/>
  <c r="D188" i="5"/>
  <c r="I187" i="5"/>
  <c r="H187" i="5"/>
  <c r="G187" i="5"/>
  <c r="F187" i="5"/>
  <c r="E187" i="5"/>
  <c r="D187" i="5"/>
  <c r="I186" i="5"/>
  <c r="H186" i="5"/>
  <c r="G186" i="5"/>
  <c r="F186" i="5"/>
  <c r="E186" i="5"/>
  <c r="D186" i="5"/>
  <c r="I185" i="5"/>
  <c r="H185" i="5"/>
  <c r="G185" i="5"/>
  <c r="F185" i="5"/>
  <c r="E185" i="5"/>
  <c r="D185" i="5"/>
  <c r="I184" i="5"/>
  <c r="H184" i="5"/>
  <c r="G184" i="5"/>
  <c r="F184" i="5"/>
  <c r="E184" i="5"/>
  <c r="D184" i="5"/>
  <c r="I183" i="5"/>
  <c r="H183" i="5"/>
  <c r="G183" i="5"/>
  <c r="F183" i="5"/>
  <c r="E183" i="5"/>
  <c r="D183" i="5"/>
  <c r="I182" i="5"/>
  <c r="H182" i="5"/>
  <c r="G182" i="5"/>
  <c r="F182" i="5"/>
  <c r="E182" i="5"/>
  <c r="D182" i="5"/>
  <c r="I181" i="5"/>
  <c r="H181" i="5"/>
  <c r="G181" i="5"/>
  <c r="F181" i="5"/>
  <c r="E181" i="5"/>
  <c r="D181" i="5"/>
  <c r="I180" i="5"/>
  <c r="H180" i="5"/>
  <c r="G180" i="5"/>
  <c r="F180" i="5"/>
  <c r="E180" i="5"/>
  <c r="D180" i="5"/>
  <c r="I179" i="5"/>
  <c r="H179" i="5"/>
  <c r="G179" i="5"/>
  <c r="F179" i="5"/>
  <c r="E179" i="5"/>
  <c r="D179" i="5"/>
  <c r="I178" i="5"/>
  <c r="H178" i="5"/>
  <c r="G178" i="5"/>
  <c r="F178" i="5"/>
  <c r="E178" i="5"/>
  <c r="D178" i="5"/>
  <c r="I177" i="5"/>
  <c r="H177" i="5"/>
  <c r="G177" i="5"/>
  <c r="F177" i="5"/>
  <c r="E177" i="5"/>
  <c r="D177" i="5"/>
  <c r="I176" i="5"/>
  <c r="H176" i="5"/>
  <c r="G176" i="5"/>
  <c r="F176" i="5"/>
  <c r="E176" i="5"/>
  <c r="D176" i="5"/>
  <c r="I175" i="5"/>
  <c r="H175" i="5"/>
  <c r="G175" i="5"/>
  <c r="F175" i="5"/>
  <c r="E175" i="5"/>
  <c r="D175" i="5"/>
  <c r="I174" i="5"/>
  <c r="H174" i="5"/>
  <c r="G174" i="5"/>
  <c r="F174" i="5"/>
  <c r="E174" i="5"/>
  <c r="D174" i="5"/>
  <c r="I173" i="5"/>
  <c r="H173" i="5"/>
  <c r="G173" i="5"/>
  <c r="F173" i="5"/>
  <c r="E173" i="5"/>
  <c r="D173" i="5"/>
  <c r="I172" i="5"/>
  <c r="H172" i="5"/>
  <c r="G172" i="5"/>
  <c r="F172" i="5"/>
  <c r="E172" i="5"/>
  <c r="D172" i="5"/>
  <c r="I171" i="5"/>
  <c r="H171" i="5"/>
  <c r="G171" i="5"/>
  <c r="F171" i="5"/>
  <c r="E171" i="5"/>
  <c r="D171" i="5"/>
  <c r="I170" i="5"/>
  <c r="H170" i="5"/>
  <c r="G170" i="5"/>
  <c r="F170" i="5"/>
  <c r="E170" i="5"/>
  <c r="D170" i="5"/>
  <c r="I169" i="5"/>
  <c r="H169" i="5"/>
  <c r="G169" i="5"/>
  <c r="F169" i="5"/>
  <c r="E169" i="5"/>
  <c r="D169" i="5"/>
  <c r="I168" i="5"/>
  <c r="H168" i="5"/>
  <c r="G168" i="5"/>
  <c r="F168" i="5"/>
  <c r="E168" i="5"/>
  <c r="D168" i="5"/>
  <c r="I167" i="5"/>
  <c r="H167" i="5"/>
  <c r="G167" i="5"/>
  <c r="F167" i="5"/>
  <c r="E167" i="5"/>
  <c r="D167" i="5"/>
  <c r="I166" i="5"/>
  <c r="H166" i="5"/>
  <c r="G166" i="5"/>
  <c r="F166" i="5"/>
  <c r="E166" i="5"/>
  <c r="D166" i="5"/>
  <c r="I165" i="5"/>
  <c r="H165" i="5"/>
  <c r="G165" i="5"/>
  <c r="F165" i="5"/>
  <c r="E165" i="5"/>
  <c r="D165" i="5"/>
  <c r="I164" i="5"/>
  <c r="H164" i="5"/>
  <c r="G164" i="5"/>
  <c r="F164" i="5"/>
  <c r="E164" i="5"/>
  <c r="D164" i="5"/>
  <c r="I163" i="5"/>
  <c r="H163" i="5"/>
  <c r="G163" i="5"/>
  <c r="F163" i="5"/>
  <c r="E163" i="5"/>
  <c r="D163" i="5"/>
  <c r="I162" i="5"/>
  <c r="H162" i="5"/>
  <c r="G162" i="5"/>
  <c r="F162" i="5"/>
  <c r="E162" i="5"/>
  <c r="D162" i="5"/>
  <c r="I161" i="5"/>
  <c r="H161" i="5"/>
  <c r="G161" i="5"/>
  <c r="F161" i="5"/>
  <c r="E161" i="5"/>
  <c r="D161" i="5"/>
  <c r="I160" i="5"/>
  <c r="H160" i="5"/>
  <c r="G160" i="5"/>
  <c r="F160" i="5"/>
  <c r="E160" i="5"/>
  <c r="D160" i="5"/>
  <c r="I159" i="5"/>
  <c r="H159" i="5"/>
  <c r="G159" i="5"/>
  <c r="F159" i="5"/>
  <c r="E159" i="5"/>
  <c r="D159" i="5"/>
  <c r="I158" i="5"/>
  <c r="H158" i="5"/>
  <c r="G158" i="5"/>
  <c r="F158" i="5"/>
  <c r="E158" i="5"/>
  <c r="D158" i="5"/>
  <c r="I157" i="5"/>
  <c r="H157" i="5"/>
  <c r="G157" i="5"/>
  <c r="F157" i="5"/>
  <c r="E157" i="5"/>
  <c r="D157" i="5"/>
  <c r="I156" i="5"/>
  <c r="H156" i="5"/>
  <c r="G156" i="5"/>
  <c r="F156" i="5"/>
  <c r="E156" i="5"/>
  <c r="D156" i="5"/>
  <c r="I155" i="5"/>
  <c r="H155" i="5"/>
  <c r="G155" i="5"/>
  <c r="F155" i="5"/>
  <c r="E155" i="5"/>
  <c r="D155" i="5"/>
  <c r="I154" i="5"/>
  <c r="H154" i="5"/>
  <c r="G154" i="5"/>
  <c r="F154" i="5"/>
  <c r="E154" i="5"/>
  <c r="D154" i="5"/>
  <c r="I153" i="5"/>
  <c r="H153" i="5"/>
  <c r="G153" i="5"/>
  <c r="F153" i="5"/>
  <c r="E153" i="5"/>
  <c r="D153" i="5"/>
  <c r="I152" i="5"/>
  <c r="H152" i="5"/>
  <c r="G152" i="5"/>
  <c r="F152" i="5"/>
  <c r="E152" i="5"/>
  <c r="D152" i="5"/>
  <c r="I151" i="5"/>
  <c r="H151" i="5"/>
  <c r="G151" i="5"/>
  <c r="F151" i="5"/>
  <c r="E151" i="5"/>
  <c r="D151" i="5"/>
  <c r="I150" i="5"/>
  <c r="H150" i="5"/>
  <c r="G150" i="5"/>
  <c r="F150" i="5"/>
  <c r="E150" i="5"/>
  <c r="D150" i="5"/>
  <c r="I149" i="5"/>
  <c r="H149" i="5"/>
  <c r="G149" i="5"/>
  <c r="F149" i="5"/>
  <c r="E149" i="5"/>
  <c r="D149" i="5"/>
  <c r="I148" i="5"/>
  <c r="H148" i="5"/>
  <c r="G148" i="5"/>
  <c r="F148" i="5"/>
  <c r="E148" i="5"/>
  <c r="D148" i="5"/>
  <c r="I147" i="5"/>
  <c r="H147" i="5"/>
  <c r="G147" i="5"/>
  <c r="F147" i="5"/>
  <c r="E147" i="5"/>
  <c r="D147" i="5"/>
  <c r="I146" i="5"/>
  <c r="H146" i="5"/>
  <c r="G146" i="5"/>
  <c r="F146" i="5"/>
  <c r="E146" i="5"/>
  <c r="D146" i="5"/>
  <c r="I145" i="5"/>
  <c r="H145" i="5"/>
  <c r="G145" i="5"/>
  <c r="F145" i="5"/>
  <c r="E145" i="5"/>
  <c r="D145" i="5"/>
  <c r="I144" i="5"/>
  <c r="H144" i="5"/>
  <c r="G144" i="5"/>
  <c r="F144" i="5"/>
  <c r="E144" i="5"/>
  <c r="D144" i="5"/>
  <c r="I143" i="5"/>
  <c r="H143" i="5"/>
  <c r="G143" i="5"/>
  <c r="F143" i="5"/>
  <c r="E143" i="5"/>
  <c r="D143" i="5"/>
  <c r="I142" i="5"/>
  <c r="H142" i="5"/>
  <c r="G142" i="5"/>
  <c r="F142" i="5"/>
  <c r="E142" i="5"/>
  <c r="D142" i="5"/>
  <c r="I141" i="5"/>
  <c r="H141" i="5"/>
  <c r="G141" i="5"/>
  <c r="F141" i="5"/>
  <c r="E141" i="5"/>
  <c r="D141" i="5"/>
  <c r="I140" i="5"/>
  <c r="H140" i="5"/>
  <c r="G140" i="5"/>
  <c r="F140" i="5"/>
  <c r="E140" i="5"/>
  <c r="D140" i="5"/>
  <c r="I139" i="5"/>
  <c r="H139" i="5"/>
  <c r="G139" i="5"/>
  <c r="F139" i="5"/>
  <c r="E139" i="5"/>
  <c r="D139" i="5"/>
  <c r="I138" i="5"/>
  <c r="H138" i="5"/>
  <c r="G138" i="5"/>
  <c r="F138" i="5"/>
  <c r="E138" i="5"/>
  <c r="D138" i="5"/>
  <c r="I137" i="5"/>
  <c r="H137" i="5"/>
  <c r="G137" i="5"/>
  <c r="F137" i="5"/>
  <c r="E137" i="5"/>
  <c r="D137" i="5"/>
  <c r="I136" i="5"/>
  <c r="H136" i="5"/>
  <c r="G136" i="5"/>
  <c r="F136" i="5"/>
  <c r="E136" i="5"/>
  <c r="D136" i="5"/>
  <c r="I135" i="5"/>
  <c r="H135" i="5"/>
  <c r="G135" i="5"/>
  <c r="F135" i="5"/>
  <c r="E135" i="5"/>
  <c r="D135" i="5"/>
  <c r="I134" i="5"/>
  <c r="H134" i="5"/>
  <c r="G134" i="5"/>
  <c r="F134" i="5"/>
  <c r="E134" i="5"/>
  <c r="D134" i="5"/>
  <c r="I133" i="5"/>
  <c r="H133" i="5"/>
  <c r="G133" i="5"/>
  <c r="F133" i="5"/>
  <c r="E133" i="5"/>
  <c r="D133" i="5"/>
  <c r="I132" i="5"/>
  <c r="H132" i="5"/>
  <c r="G132" i="5"/>
  <c r="F132" i="5"/>
  <c r="E132" i="5"/>
  <c r="D132" i="5"/>
  <c r="I131" i="5"/>
  <c r="H131" i="5"/>
  <c r="G131" i="5"/>
  <c r="F131" i="5"/>
  <c r="E131" i="5"/>
  <c r="D131" i="5"/>
  <c r="I130" i="5"/>
  <c r="H130" i="5"/>
  <c r="G130" i="5"/>
  <c r="F130" i="5"/>
  <c r="E130" i="5"/>
  <c r="D130" i="5"/>
  <c r="I129" i="5"/>
  <c r="H129" i="5"/>
  <c r="G129" i="5"/>
  <c r="F129" i="5"/>
  <c r="E129" i="5"/>
  <c r="D129" i="5"/>
  <c r="I128" i="5"/>
  <c r="H128" i="5"/>
  <c r="G128" i="5"/>
  <c r="F128" i="5"/>
  <c r="E128" i="5"/>
  <c r="D128" i="5"/>
  <c r="I127" i="5"/>
  <c r="H127" i="5"/>
  <c r="G127" i="5"/>
  <c r="F127" i="5"/>
  <c r="E127" i="5"/>
  <c r="D127" i="5"/>
  <c r="I126" i="5"/>
  <c r="H126" i="5"/>
  <c r="G126" i="5"/>
  <c r="F126" i="5"/>
  <c r="E126" i="5"/>
  <c r="D126" i="5"/>
  <c r="I125" i="5"/>
  <c r="H125" i="5"/>
  <c r="G125" i="5"/>
  <c r="F125" i="5"/>
  <c r="E125" i="5"/>
  <c r="D125" i="5"/>
  <c r="I124" i="5"/>
  <c r="H124" i="5"/>
  <c r="G124" i="5"/>
  <c r="F124" i="5"/>
  <c r="E124" i="5"/>
  <c r="D124" i="5"/>
  <c r="I123" i="5"/>
  <c r="H123" i="5"/>
  <c r="G123" i="5"/>
  <c r="F123" i="5"/>
  <c r="E123" i="5"/>
  <c r="D123" i="5"/>
  <c r="I122" i="5"/>
  <c r="H122" i="5"/>
  <c r="G122" i="5"/>
  <c r="F122" i="5"/>
  <c r="E122" i="5"/>
  <c r="D122" i="5"/>
  <c r="I121" i="5"/>
  <c r="H121" i="5"/>
  <c r="G121" i="5"/>
  <c r="F121" i="5"/>
  <c r="E121" i="5"/>
  <c r="D121" i="5"/>
  <c r="I120" i="5"/>
  <c r="H120" i="5"/>
  <c r="G120" i="5"/>
  <c r="F120" i="5"/>
  <c r="E120" i="5"/>
  <c r="D120" i="5"/>
  <c r="I119" i="5"/>
  <c r="H119" i="5"/>
  <c r="G119" i="5"/>
  <c r="F119" i="5"/>
  <c r="E119" i="5"/>
  <c r="D119" i="5"/>
  <c r="I118" i="5"/>
  <c r="H118" i="5"/>
  <c r="G118" i="5"/>
  <c r="F118" i="5"/>
  <c r="E118" i="5"/>
  <c r="D118" i="5"/>
  <c r="I117" i="5"/>
  <c r="H117" i="5"/>
  <c r="G117" i="5"/>
  <c r="F117" i="5"/>
  <c r="E117" i="5"/>
  <c r="D117" i="5"/>
  <c r="I116" i="5"/>
  <c r="H116" i="5"/>
  <c r="G116" i="5"/>
  <c r="F116" i="5"/>
  <c r="E116" i="5"/>
  <c r="D116" i="5"/>
  <c r="I115" i="5"/>
  <c r="H115" i="5"/>
  <c r="G115" i="5"/>
  <c r="F115" i="5"/>
  <c r="E115" i="5"/>
  <c r="D115" i="5"/>
  <c r="I114" i="5"/>
  <c r="H114" i="5"/>
  <c r="G114" i="5"/>
  <c r="F114" i="5"/>
  <c r="E114" i="5"/>
  <c r="D114" i="5"/>
  <c r="I113" i="5"/>
  <c r="H113" i="5"/>
  <c r="G113" i="5"/>
  <c r="F113" i="5"/>
  <c r="E113" i="5"/>
  <c r="D113" i="5"/>
  <c r="I112" i="5"/>
  <c r="H112" i="5"/>
  <c r="G112" i="5"/>
  <c r="F112" i="5"/>
  <c r="E112" i="5"/>
  <c r="D112" i="5"/>
  <c r="I111" i="5"/>
  <c r="H111" i="5"/>
  <c r="G111" i="5"/>
  <c r="F111" i="5"/>
  <c r="E111" i="5"/>
  <c r="D111" i="5"/>
  <c r="I110" i="5"/>
  <c r="H110" i="5"/>
  <c r="G110" i="5"/>
  <c r="F110" i="5"/>
  <c r="E110" i="5"/>
  <c r="D110" i="5"/>
  <c r="I109" i="5"/>
  <c r="H109" i="5"/>
  <c r="G109" i="5"/>
  <c r="F109" i="5"/>
  <c r="E109" i="5"/>
  <c r="D109" i="5"/>
  <c r="I108" i="5"/>
  <c r="H108" i="5"/>
  <c r="G108" i="5"/>
  <c r="F108" i="5"/>
  <c r="E108" i="5"/>
  <c r="D108" i="5"/>
  <c r="I107" i="5"/>
  <c r="H107" i="5"/>
  <c r="G107" i="5"/>
  <c r="F107" i="5"/>
  <c r="E107" i="5"/>
  <c r="D107" i="5"/>
  <c r="I106" i="5"/>
  <c r="H106" i="5"/>
  <c r="G106" i="5"/>
  <c r="F106" i="5"/>
  <c r="E106" i="5"/>
  <c r="D106" i="5"/>
  <c r="I105" i="5"/>
  <c r="H105" i="5"/>
  <c r="G105" i="5"/>
  <c r="F105" i="5"/>
  <c r="E105" i="5"/>
  <c r="D105" i="5"/>
  <c r="I104" i="5"/>
  <c r="H104" i="5"/>
  <c r="G104" i="5"/>
  <c r="F104" i="5"/>
  <c r="E104" i="5"/>
  <c r="D104" i="5"/>
  <c r="I103" i="5"/>
  <c r="H103" i="5"/>
  <c r="G103" i="5"/>
  <c r="F103" i="5"/>
  <c r="E103" i="5"/>
  <c r="D103" i="5"/>
  <c r="I102" i="5"/>
  <c r="H102" i="5"/>
  <c r="G102" i="5"/>
  <c r="F102" i="5"/>
  <c r="E102" i="5"/>
  <c r="D102" i="5"/>
  <c r="I101" i="5"/>
  <c r="H101" i="5"/>
  <c r="G101" i="5"/>
  <c r="F101" i="5"/>
  <c r="E101" i="5"/>
  <c r="D101" i="5"/>
  <c r="I100" i="5"/>
  <c r="H100" i="5"/>
  <c r="G100" i="5"/>
  <c r="F100" i="5"/>
  <c r="E100" i="5"/>
  <c r="D100" i="5"/>
  <c r="I99" i="5"/>
  <c r="H99" i="5"/>
  <c r="G99" i="5"/>
  <c r="F99" i="5"/>
  <c r="E99" i="5"/>
  <c r="D99" i="5"/>
  <c r="I98" i="5"/>
  <c r="H98" i="5"/>
  <c r="G98" i="5"/>
  <c r="F98" i="5"/>
  <c r="E98" i="5"/>
  <c r="D98" i="5"/>
  <c r="I97" i="5"/>
  <c r="H97" i="5"/>
  <c r="G97" i="5"/>
  <c r="F97" i="5"/>
  <c r="E97" i="5"/>
  <c r="D97" i="5"/>
  <c r="I96" i="5"/>
  <c r="H96" i="5"/>
  <c r="G96" i="5"/>
  <c r="F96" i="5"/>
  <c r="E96" i="5"/>
  <c r="D96" i="5"/>
  <c r="I95" i="5"/>
  <c r="H95" i="5"/>
  <c r="G95" i="5"/>
  <c r="F95" i="5"/>
  <c r="E95" i="5"/>
  <c r="D95" i="5"/>
  <c r="I94" i="5"/>
  <c r="H94" i="5"/>
  <c r="G94" i="5"/>
  <c r="F94" i="5"/>
  <c r="E94" i="5"/>
  <c r="D94" i="5"/>
  <c r="I93" i="5"/>
  <c r="H93" i="5"/>
  <c r="G93" i="5"/>
  <c r="F93" i="5"/>
  <c r="E93" i="5"/>
  <c r="D93" i="5"/>
  <c r="I92" i="5"/>
  <c r="H92" i="5"/>
  <c r="G92" i="5"/>
  <c r="F92" i="5"/>
  <c r="E92" i="5"/>
  <c r="D92" i="5"/>
  <c r="I91" i="5"/>
  <c r="H91" i="5"/>
  <c r="G91" i="5"/>
  <c r="F91" i="5"/>
  <c r="E91" i="5"/>
  <c r="D91" i="5"/>
  <c r="I90" i="5"/>
  <c r="H90" i="5"/>
  <c r="G90" i="5"/>
  <c r="F90" i="5"/>
  <c r="E90" i="5"/>
  <c r="D90" i="5"/>
  <c r="I89" i="5"/>
  <c r="H89" i="5"/>
  <c r="G89" i="5"/>
  <c r="F89" i="5"/>
  <c r="E89" i="5"/>
  <c r="D89" i="5"/>
  <c r="I88" i="5"/>
  <c r="H88" i="5"/>
  <c r="G88" i="5"/>
  <c r="F88" i="5"/>
  <c r="E88" i="5"/>
  <c r="D88" i="5"/>
  <c r="I87" i="5"/>
  <c r="H87" i="5"/>
  <c r="G87" i="5"/>
  <c r="F87" i="5"/>
  <c r="E87" i="5"/>
  <c r="D87" i="5"/>
  <c r="I86" i="5"/>
  <c r="H86" i="5"/>
  <c r="G86" i="5"/>
  <c r="F86" i="5"/>
  <c r="E86" i="5"/>
  <c r="D86" i="5"/>
  <c r="I85" i="5"/>
  <c r="H85" i="5"/>
  <c r="G85" i="5"/>
  <c r="F85" i="5"/>
  <c r="E85" i="5"/>
  <c r="D85" i="5"/>
  <c r="I84" i="5"/>
  <c r="H84" i="5"/>
  <c r="G84" i="5"/>
  <c r="F84" i="5"/>
  <c r="E84" i="5"/>
  <c r="D84" i="5"/>
  <c r="I83" i="5"/>
  <c r="H83" i="5"/>
  <c r="G83" i="5"/>
  <c r="F83" i="5"/>
  <c r="E83" i="5"/>
  <c r="D83" i="5"/>
  <c r="I82" i="5"/>
  <c r="H82" i="5"/>
  <c r="G82" i="5"/>
  <c r="F82" i="5"/>
  <c r="E82" i="5"/>
  <c r="D82" i="5"/>
  <c r="I81" i="5"/>
  <c r="H81" i="5"/>
  <c r="G81" i="5"/>
  <c r="F81" i="5"/>
  <c r="E81" i="5"/>
  <c r="D81" i="5"/>
  <c r="I80" i="5"/>
  <c r="H80" i="5"/>
  <c r="G80" i="5"/>
  <c r="F80" i="5"/>
  <c r="E80" i="5"/>
  <c r="D80" i="5"/>
  <c r="I79" i="5"/>
  <c r="H79" i="5"/>
  <c r="G79" i="5"/>
  <c r="F79" i="5"/>
  <c r="E79" i="5"/>
  <c r="D79" i="5"/>
  <c r="I78" i="5"/>
  <c r="H78" i="5"/>
  <c r="G78" i="5"/>
  <c r="F78" i="5"/>
  <c r="E78" i="5"/>
  <c r="D78" i="5"/>
  <c r="I77" i="5"/>
  <c r="H77" i="5"/>
  <c r="G77" i="5"/>
  <c r="F77" i="5"/>
  <c r="E77" i="5"/>
  <c r="D77" i="5"/>
  <c r="I76" i="5"/>
  <c r="H76" i="5"/>
  <c r="G76" i="5"/>
  <c r="F76" i="5"/>
  <c r="E76" i="5"/>
  <c r="D76" i="5"/>
  <c r="I75" i="5"/>
  <c r="H75" i="5"/>
  <c r="G75" i="5"/>
  <c r="F75" i="5"/>
  <c r="E75" i="5"/>
  <c r="D75" i="5"/>
  <c r="I74" i="5"/>
  <c r="H74" i="5"/>
  <c r="G74" i="5"/>
  <c r="F74" i="5"/>
  <c r="E74" i="5"/>
  <c r="D74" i="5"/>
  <c r="I73" i="5"/>
  <c r="H73" i="5"/>
  <c r="G73" i="5"/>
  <c r="F73" i="5"/>
  <c r="E73" i="5"/>
  <c r="D73" i="5"/>
  <c r="I72" i="5"/>
  <c r="H72" i="5"/>
  <c r="G72" i="5"/>
  <c r="F72" i="5"/>
  <c r="E72" i="5"/>
  <c r="D72" i="5"/>
  <c r="I71" i="5"/>
  <c r="H71" i="5"/>
  <c r="G71" i="5"/>
  <c r="F71" i="5"/>
  <c r="E71" i="5"/>
  <c r="D71" i="5"/>
  <c r="I70" i="5"/>
  <c r="H70" i="5"/>
  <c r="G70" i="5"/>
  <c r="F70" i="5"/>
  <c r="E70" i="5"/>
  <c r="D70" i="5"/>
  <c r="I69" i="5"/>
  <c r="H69" i="5"/>
  <c r="G69" i="5"/>
  <c r="F69" i="5"/>
  <c r="E69" i="5"/>
  <c r="D69" i="5"/>
  <c r="I68" i="5"/>
  <c r="H68" i="5"/>
  <c r="G68" i="5"/>
  <c r="F68" i="5"/>
  <c r="E68" i="5"/>
  <c r="D68" i="5"/>
  <c r="I67" i="5"/>
  <c r="H67" i="5"/>
  <c r="G67" i="5"/>
  <c r="F67" i="5"/>
  <c r="E67" i="5"/>
  <c r="D67" i="5"/>
  <c r="I66" i="5"/>
  <c r="H66" i="5"/>
  <c r="G66" i="5"/>
  <c r="F66" i="5"/>
  <c r="E66" i="5"/>
  <c r="D66" i="5"/>
  <c r="I65" i="5"/>
  <c r="H65" i="5"/>
  <c r="G65" i="5"/>
  <c r="F65" i="5"/>
  <c r="E65" i="5"/>
  <c r="D65" i="5"/>
  <c r="I64" i="5"/>
  <c r="H64" i="5"/>
  <c r="G64" i="5"/>
  <c r="F64" i="5"/>
  <c r="E64" i="5"/>
  <c r="D64" i="5"/>
  <c r="I63" i="5"/>
  <c r="H63" i="5"/>
  <c r="G63" i="5"/>
  <c r="F63" i="5"/>
  <c r="E63" i="5"/>
  <c r="D63" i="5"/>
  <c r="I62" i="5"/>
  <c r="H62" i="5"/>
  <c r="G62" i="5"/>
  <c r="F62" i="5"/>
  <c r="E62" i="5"/>
  <c r="D62" i="5"/>
  <c r="I61" i="5"/>
  <c r="H61" i="5"/>
  <c r="G61" i="5"/>
  <c r="F61" i="5"/>
  <c r="E61" i="5"/>
  <c r="D61" i="5"/>
  <c r="I60" i="5"/>
  <c r="H60" i="5"/>
  <c r="G60" i="5"/>
  <c r="F60" i="5"/>
  <c r="E60" i="5"/>
  <c r="D60" i="5"/>
  <c r="I59" i="5"/>
  <c r="H59" i="5"/>
  <c r="G59" i="5"/>
  <c r="F59" i="5"/>
  <c r="E59" i="5"/>
  <c r="D59" i="5"/>
  <c r="I58" i="5"/>
  <c r="H58" i="5"/>
  <c r="G58" i="5"/>
  <c r="F58" i="5"/>
  <c r="E58" i="5"/>
  <c r="D58" i="5"/>
  <c r="I57" i="5"/>
  <c r="H57" i="5"/>
  <c r="G57" i="5"/>
  <c r="F57" i="5"/>
  <c r="E57" i="5"/>
  <c r="D57" i="5"/>
  <c r="I56" i="5"/>
  <c r="H56" i="5"/>
  <c r="G56" i="5"/>
  <c r="F56" i="5"/>
  <c r="E56" i="5"/>
  <c r="D56" i="5"/>
  <c r="I55" i="5"/>
  <c r="H55" i="5"/>
  <c r="G55" i="5"/>
  <c r="F55" i="5"/>
  <c r="E55" i="5"/>
  <c r="D55" i="5"/>
  <c r="I54" i="5"/>
  <c r="H54" i="5"/>
  <c r="G54" i="5"/>
  <c r="F54" i="5"/>
  <c r="E54" i="5"/>
  <c r="D54" i="5"/>
  <c r="I53" i="5"/>
  <c r="H53" i="5"/>
  <c r="G53" i="5"/>
  <c r="F53" i="5"/>
  <c r="E53" i="5"/>
  <c r="D53" i="5"/>
  <c r="I52" i="5"/>
  <c r="H52" i="5"/>
  <c r="G52" i="5"/>
  <c r="F52" i="5"/>
  <c r="E52" i="5"/>
  <c r="D52" i="5"/>
  <c r="I51" i="5"/>
  <c r="H51" i="5"/>
  <c r="G51" i="5"/>
  <c r="F51" i="5"/>
  <c r="E51" i="5"/>
  <c r="D51" i="5"/>
  <c r="I50" i="5"/>
  <c r="H50" i="5"/>
  <c r="G50" i="5"/>
  <c r="F50" i="5"/>
  <c r="E50" i="5"/>
  <c r="D50" i="5"/>
  <c r="I49" i="5"/>
  <c r="H49" i="5"/>
  <c r="G49" i="5"/>
  <c r="F49" i="5"/>
  <c r="E49" i="5"/>
  <c r="D49" i="5"/>
  <c r="I48" i="5"/>
  <c r="H48" i="5"/>
  <c r="G48" i="5"/>
  <c r="F48" i="5"/>
  <c r="E48" i="5"/>
  <c r="D48" i="5"/>
  <c r="I47" i="5"/>
  <c r="H47" i="5"/>
  <c r="G47" i="5"/>
  <c r="F47" i="5"/>
  <c r="E47" i="5"/>
  <c r="D47" i="5"/>
  <c r="I46" i="5"/>
  <c r="H46" i="5"/>
  <c r="G46" i="5"/>
  <c r="F46" i="5"/>
  <c r="E46" i="5"/>
  <c r="D46" i="5"/>
  <c r="I45" i="5"/>
  <c r="H45" i="5"/>
  <c r="G45" i="5"/>
  <c r="F45" i="5"/>
  <c r="E45" i="5"/>
  <c r="D45" i="5"/>
  <c r="I44" i="5"/>
  <c r="H44" i="5"/>
  <c r="G44" i="5"/>
  <c r="F44" i="5"/>
  <c r="E44" i="5"/>
  <c r="D44" i="5"/>
  <c r="I43" i="5"/>
  <c r="H43" i="5"/>
  <c r="G43" i="5"/>
  <c r="F43" i="5"/>
  <c r="E43" i="5"/>
  <c r="D43" i="5"/>
  <c r="I42" i="5"/>
  <c r="H42" i="5"/>
  <c r="G42" i="5"/>
  <c r="F42" i="5"/>
  <c r="E42" i="5"/>
  <c r="D42" i="5"/>
  <c r="I41" i="5"/>
  <c r="H41" i="5"/>
  <c r="G41" i="5"/>
  <c r="F41" i="5"/>
  <c r="E41" i="5"/>
  <c r="D41" i="5"/>
  <c r="I40" i="5"/>
  <c r="H40" i="5"/>
  <c r="G40" i="5"/>
  <c r="F40" i="5"/>
  <c r="E40" i="5"/>
  <c r="D40" i="5"/>
  <c r="I39" i="5"/>
  <c r="H39" i="5"/>
  <c r="G39" i="5"/>
  <c r="F39" i="5"/>
  <c r="E39" i="5"/>
  <c r="D39" i="5"/>
  <c r="I38" i="5"/>
  <c r="H38" i="5"/>
  <c r="G38" i="5"/>
  <c r="F38" i="5"/>
  <c r="E38" i="5"/>
  <c r="D38" i="5"/>
  <c r="I37" i="5"/>
  <c r="H37" i="5"/>
  <c r="G37" i="5"/>
  <c r="F37" i="5"/>
  <c r="E37" i="5"/>
  <c r="D37" i="5"/>
  <c r="I36" i="5"/>
  <c r="H36" i="5"/>
  <c r="G36" i="5"/>
  <c r="F36" i="5"/>
  <c r="E36" i="5"/>
  <c r="D36" i="5"/>
  <c r="I35" i="5"/>
  <c r="H35" i="5"/>
  <c r="G35" i="5"/>
  <c r="F35" i="5"/>
  <c r="E35" i="5"/>
  <c r="D35" i="5"/>
  <c r="I34" i="5"/>
  <c r="H34" i="5"/>
  <c r="G34" i="5"/>
  <c r="F34" i="5"/>
  <c r="E34" i="5"/>
  <c r="D34" i="5"/>
  <c r="I33" i="5"/>
  <c r="H33" i="5"/>
  <c r="G33" i="5"/>
  <c r="F33" i="5"/>
  <c r="E33" i="5"/>
  <c r="D33" i="5"/>
  <c r="I32" i="5"/>
  <c r="H32" i="5"/>
  <c r="G32" i="5"/>
  <c r="F32" i="5"/>
  <c r="E32" i="5"/>
  <c r="D32" i="5"/>
  <c r="I31" i="5"/>
  <c r="H31" i="5"/>
  <c r="G31" i="5"/>
  <c r="F31" i="5"/>
  <c r="E31" i="5"/>
  <c r="D31" i="5"/>
  <c r="I30" i="5"/>
  <c r="H30" i="5"/>
  <c r="G30" i="5"/>
  <c r="F30" i="5"/>
  <c r="E30" i="5"/>
  <c r="D30" i="5"/>
  <c r="I29" i="5"/>
  <c r="H29" i="5"/>
  <c r="G29" i="5"/>
  <c r="F29" i="5"/>
  <c r="E29" i="5"/>
  <c r="D29" i="5"/>
  <c r="I28" i="5"/>
  <c r="H28" i="5"/>
  <c r="G28" i="5"/>
  <c r="F28" i="5"/>
  <c r="E28" i="5"/>
  <c r="D28" i="5"/>
  <c r="I27" i="5"/>
  <c r="H27" i="5"/>
  <c r="G27" i="5"/>
  <c r="F27" i="5"/>
  <c r="E27" i="5"/>
  <c r="D27" i="5"/>
  <c r="I26" i="5"/>
  <c r="H26" i="5"/>
  <c r="G26" i="5"/>
  <c r="F26" i="5"/>
  <c r="E26" i="5"/>
  <c r="D26" i="5"/>
  <c r="I25" i="5"/>
  <c r="H25" i="5"/>
  <c r="G25" i="5"/>
  <c r="F25" i="5"/>
  <c r="E25" i="5"/>
  <c r="D25" i="5"/>
  <c r="I24" i="5"/>
  <c r="H24" i="5"/>
  <c r="G24" i="5"/>
  <c r="F24" i="5"/>
  <c r="E24" i="5"/>
  <c r="D24" i="5"/>
  <c r="I23" i="5"/>
  <c r="H23" i="5"/>
  <c r="G23" i="5"/>
  <c r="F23" i="5"/>
  <c r="E23" i="5"/>
  <c r="D23" i="5"/>
  <c r="I22" i="5"/>
  <c r="H22" i="5"/>
  <c r="G22" i="5"/>
  <c r="F22" i="5"/>
  <c r="E22" i="5"/>
  <c r="D22" i="5"/>
  <c r="I21" i="5"/>
  <c r="H21" i="5"/>
  <c r="G21" i="5"/>
  <c r="F21" i="5"/>
  <c r="E21" i="5"/>
  <c r="D21" i="5"/>
  <c r="I20" i="5"/>
  <c r="H20" i="5"/>
  <c r="G20" i="5"/>
  <c r="F20" i="5"/>
  <c r="E20" i="5"/>
  <c r="D20" i="5"/>
  <c r="I19" i="5"/>
  <c r="H19" i="5"/>
  <c r="G19" i="5"/>
  <c r="F19" i="5"/>
  <c r="E19" i="5"/>
  <c r="D19" i="5"/>
  <c r="I18" i="5"/>
  <c r="H18" i="5"/>
  <c r="G18" i="5"/>
  <c r="F18" i="5"/>
  <c r="E18" i="5"/>
  <c r="D18" i="5"/>
  <c r="I17" i="5"/>
  <c r="H17" i="5"/>
  <c r="G17" i="5"/>
  <c r="F17" i="5"/>
  <c r="E17" i="5"/>
  <c r="D17" i="5"/>
  <c r="I16" i="5"/>
  <c r="H16" i="5"/>
  <c r="G16" i="5"/>
  <c r="F16" i="5"/>
  <c r="E16" i="5"/>
  <c r="D16" i="5"/>
  <c r="I15" i="5"/>
  <c r="H15" i="5"/>
  <c r="G15" i="5"/>
  <c r="F15" i="5"/>
  <c r="E15" i="5"/>
  <c r="D15" i="5"/>
  <c r="I14" i="5"/>
  <c r="H14" i="5"/>
  <c r="G14" i="5"/>
  <c r="F14" i="5"/>
  <c r="E14" i="5"/>
  <c r="D14" i="5"/>
  <c r="I13" i="5"/>
  <c r="H13" i="5"/>
  <c r="G13" i="5"/>
  <c r="F13" i="5"/>
  <c r="E13" i="5"/>
  <c r="D13" i="5"/>
  <c r="I12" i="5"/>
  <c r="H12" i="5"/>
  <c r="G12" i="5"/>
  <c r="F12" i="5"/>
  <c r="E12" i="5"/>
  <c r="D12" i="5"/>
  <c r="I11" i="5"/>
  <c r="H11" i="5"/>
  <c r="G11" i="5"/>
  <c r="F11" i="5"/>
  <c r="E11" i="5"/>
  <c r="D11" i="5"/>
  <c r="I10" i="5"/>
  <c r="H10" i="5"/>
  <c r="G10" i="5"/>
  <c r="F10" i="5"/>
  <c r="E10" i="5"/>
  <c r="D10" i="5"/>
  <c r="I9" i="5"/>
  <c r="H9" i="5"/>
  <c r="G9" i="5"/>
  <c r="F9" i="5"/>
  <c r="E9" i="5"/>
  <c r="D9" i="5"/>
  <c r="I8" i="5"/>
  <c r="H8" i="5"/>
  <c r="G8" i="5"/>
  <c r="F8" i="5"/>
  <c r="E8" i="5"/>
  <c r="D8" i="5"/>
  <c r="I7" i="5"/>
  <c r="H7" i="5"/>
  <c r="G7" i="5"/>
  <c r="F7" i="5"/>
  <c r="E7" i="5"/>
  <c r="D7" i="5"/>
  <c r="I6" i="5"/>
  <c r="H6" i="5"/>
  <c r="G6" i="5"/>
  <c r="F6" i="5"/>
  <c r="E6" i="5"/>
  <c r="D6" i="5"/>
  <c r="I447" i="5" l="1"/>
  <c r="I458" i="5" s="1"/>
  <c r="C463" i="4"/>
  <c r="H460" i="4"/>
  <c r="G460" i="4"/>
  <c r="F460" i="4"/>
  <c r="E460" i="4"/>
  <c r="D460" i="4"/>
  <c r="H459" i="4"/>
  <c r="G459" i="4"/>
  <c r="F459" i="4"/>
  <c r="E459" i="4"/>
  <c r="D459" i="4"/>
  <c r="I458" i="4"/>
  <c r="H458" i="4"/>
  <c r="G458" i="4"/>
  <c r="F458" i="4"/>
  <c r="E458" i="4"/>
  <c r="D458" i="4"/>
  <c r="I457" i="4"/>
  <c r="H457" i="4"/>
  <c r="G457" i="4"/>
  <c r="F457" i="4"/>
  <c r="E457" i="4"/>
  <c r="D457" i="4"/>
  <c r="H456" i="4"/>
  <c r="G456" i="4"/>
  <c r="F456" i="4"/>
  <c r="E456" i="4"/>
  <c r="D456" i="4"/>
  <c r="H455" i="4"/>
  <c r="G455" i="4"/>
  <c r="F455" i="4"/>
  <c r="E455" i="4"/>
  <c r="D455" i="4"/>
  <c r="I454" i="4"/>
  <c r="H454" i="4"/>
  <c r="G454" i="4"/>
  <c r="F454" i="4"/>
  <c r="E454" i="4"/>
  <c r="D454" i="4"/>
  <c r="I453" i="4"/>
  <c r="H453" i="4"/>
  <c r="G453" i="4"/>
  <c r="F453" i="4"/>
  <c r="E453" i="4"/>
  <c r="D453" i="4"/>
  <c r="H452" i="4"/>
  <c r="G452" i="4"/>
  <c r="F452" i="4"/>
  <c r="E452" i="4"/>
  <c r="D452" i="4"/>
  <c r="I451" i="4"/>
  <c r="H451" i="4"/>
  <c r="G451" i="4"/>
  <c r="F451" i="4"/>
  <c r="E451" i="4"/>
  <c r="D451" i="4"/>
  <c r="H450" i="4"/>
  <c r="G450" i="4"/>
  <c r="F450" i="4"/>
  <c r="E450" i="4"/>
  <c r="D450" i="4"/>
  <c r="I449" i="4"/>
  <c r="H449" i="4"/>
  <c r="G449" i="4"/>
  <c r="F449" i="4"/>
  <c r="E449" i="4"/>
  <c r="D449" i="4"/>
  <c r="I448" i="4"/>
  <c r="I463" i="4" s="1"/>
  <c r="H448" i="4"/>
  <c r="G448" i="4"/>
  <c r="F448" i="4"/>
  <c r="E448" i="4"/>
  <c r="D448" i="4"/>
  <c r="C447" i="4"/>
  <c r="I212" i="4"/>
  <c r="H212" i="4"/>
  <c r="G212" i="4"/>
  <c r="F212" i="4"/>
  <c r="E212" i="4"/>
  <c r="D212" i="4"/>
  <c r="I211" i="4"/>
  <c r="H211" i="4"/>
  <c r="G211" i="4"/>
  <c r="F211" i="4"/>
  <c r="E211" i="4"/>
  <c r="D211" i="4"/>
  <c r="I210" i="4"/>
  <c r="H210" i="4"/>
  <c r="G210" i="4"/>
  <c r="F210" i="4"/>
  <c r="E210" i="4"/>
  <c r="D210" i="4"/>
  <c r="I209" i="4"/>
  <c r="H209" i="4"/>
  <c r="G209" i="4"/>
  <c r="F209" i="4"/>
  <c r="E209" i="4"/>
  <c r="D209" i="4"/>
  <c r="I208" i="4"/>
  <c r="H208" i="4"/>
  <c r="G208" i="4"/>
  <c r="F208" i="4"/>
  <c r="E208" i="4"/>
  <c r="D208" i="4"/>
  <c r="I207" i="4"/>
  <c r="H207" i="4"/>
  <c r="G207" i="4"/>
  <c r="F207" i="4"/>
  <c r="E207" i="4"/>
  <c r="D207" i="4"/>
  <c r="I206" i="4"/>
  <c r="H206" i="4"/>
  <c r="G206" i="4"/>
  <c r="F206" i="4"/>
  <c r="E206" i="4"/>
  <c r="D206" i="4"/>
  <c r="I205" i="4"/>
  <c r="H205" i="4"/>
  <c r="G205" i="4"/>
  <c r="F205" i="4"/>
  <c r="E205" i="4"/>
  <c r="D205" i="4"/>
  <c r="I204" i="4"/>
  <c r="H204" i="4"/>
  <c r="G204" i="4"/>
  <c r="F204" i="4"/>
  <c r="E204" i="4"/>
  <c r="D204" i="4"/>
  <c r="I203" i="4"/>
  <c r="H203" i="4"/>
  <c r="G203" i="4"/>
  <c r="F203" i="4"/>
  <c r="E203" i="4"/>
  <c r="D203" i="4"/>
  <c r="I202" i="4"/>
  <c r="H202" i="4"/>
  <c r="G202" i="4"/>
  <c r="F202" i="4"/>
  <c r="E202" i="4"/>
  <c r="D202" i="4"/>
  <c r="I201" i="4"/>
  <c r="H201" i="4"/>
  <c r="G201" i="4"/>
  <c r="F201" i="4"/>
  <c r="E201" i="4"/>
  <c r="D201" i="4"/>
  <c r="I200" i="4"/>
  <c r="H200" i="4"/>
  <c r="G200" i="4"/>
  <c r="F200" i="4"/>
  <c r="E200" i="4"/>
  <c r="D200" i="4"/>
  <c r="I199" i="4"/>
  <c r="H199" i="4"/>
  <c r="G199" i="4"/>
  <c r="F199" i="4"/>
  <c r="E199" i="4"/>
  <c r="D199" i="4"/>
  <c r="I198" i="4"/>
  <c r="H198" i="4"/>
  <c r="G198" i="4"/>
  <c r="F198" i="4"/>
  <c r="E198" i="4"/>
  <c r="D198" i="4"/>
  <c r="I197" i="4"/>
  <c r="H197" i="4"/>
  <c r="G197" i="4"/>
  <c r="F197" i="4"/>
  <c r="E197" i="4"/>
  <c r="D197" i="4"/>
  <c r="I196" i="4"/>
  <c r="H196" i="4"/>
  <c r="G196" i="4"/>
  <c r="F196" i="4"/>
  <c r="E196" i="4"/>
  <c r="D196" i="4"/>
  <c r="I195" i="4"/>
  <c r="H195" i="4"/>
  <c r="G195" i="4"/>
  <c r="F195" i="4"/>
  <c r="E195" i="4"/>
  <c r="D195" i="4"/>
  <c r="I194" i="4"/>
  <c r="H194" i="4"/>
  <c r="G194" i="4"/>
  <c r="F194" i="4"/>
  <c r="E194" i="4"/>
  <c r="D194" i="4"/>
  <c r="I193" i="4"/>
  <c r="H193" i="4"/>
  <c r="G193" i="4"/>
  <c r="F193" i="4"/>
  <c r="E193" i="4"/>
  <c r="D193" i="4"/>
  <c r="I192" i="4"/>
  <c r="H192" i="4"/>
  <c r="G192" i="4"/>
  <c r="F192" i="4"/>
  <c r="E192" i="4"/>
  <c r="D192" i="4"/>
  <c r="I191" i="4"/>
  <c r="H191" i="4"/>
  <c r="G191" i="4"/>
  <c r="F191" i="4"/>
  <c r="E191" i="4"/>
  <c r="D191" i="4"/>
  <c r="I190" i="4"/>
  <c r="H190" i="4"/>
  <c r="G190" i="4"/>
  <c r="F190" i="4"/>
  <c r="E190" i="4"/>
  <c r="D190" i="4"/>
  <c r="I189" i="4"/>
  <c r="H189" i="4"/>
  <c r="G189" i="4"/>
  <c r="F189" i="4"/>
  <c r="E189" i="4"/>
  <c r="D189" i="4"/>
  <c r="I188" i="4"/>
  <c r="H188" i="4"/>
  <c r="G188" i="4"/>
  <c r="F188" i="4"/>
  <c r="E188" i="4"/>
  <c r="D188" i="4"/>
  <c r="I187" i="4"/>
  <c r="H187" i="4"/>
  <c r="G187" i="4"/>
  <c r="F187" i="4"/>
  <c r="E187" i="4"/>
  <c r="D187" i="4"/>
  <c r="I186" i="4"/>
  <c r="H186" i="4"/>
  <c r="G186" i="4"/>
  <c r="F186" i="4"/>
  <c r="E186" i="4"/>
  <c r="D186" i="4"/>
  <c r="I185" i="4"/>
  <c r="H185" i="4"/>
  <c r="G185" i="4"/>
  <c r="F185" i="4"/>
  <c r="E185" i="4"/>
  <c r="D185" i="4"/>
  <c r="I184" i="4"/>
  <c r="H184" i="4"/>
  <c r="G184" i="4"/>
  <c r="F184" i="4"/>
  <c r="E184" i="4"/>
  <c r="D184" i="4"/>
  <c r="I183" i="4"/>
  <c r="H183" i="4"/>
  <c r="G183" i="4"/>
  <c r="F183" i="4"/>
  <c r="E183" i="4"/>
  <c r="D183" i="4"/>
  <c r="I182" i="4"/>
  <c r="H182" i="4"/>
  <c r="G182" i="4"/>
  <c r="F182" i="4"/>
  <c r="E182" i="4"/>
  <c r="D182" i="4"/>
  <c r="I181" i="4"/>
  <c r="H181" i="4"/>
  <c r="G181" i="4"/>
  <c r="F181" i="4"/>
  <c r="E181" i="4"/>
  <c r="D181" i="4"/>
  <c r="I180" i="4"/>
  <c r="H180" i="4"/>
  <c r="G180" i="4"/>
  <c r="F180" i="4"/>
  <c r="E180" i="4"/>
  <c r="D180" i="4"/>
  <c r="I179" i="4"/>
  <c r="H179" i="4"/>
  <c r="G179" i="4"/>
  <c r="F179" i="4"/>
  <c r="E179" i="4"/>
  <c r="D179" i="4"/>
  <c r="I178" i="4"/>
  <c r="H178" i="4"/>
  <c r="G178" i="4"/>
  <c r="F178" i="4"/>
  <c r="E178" i="4"/>
  <c r="D178" i="4"/>
  <c r="I177" i="4"/>
  <c r="H177" i="4"/>
  <c r="G177" i="4"/>
  <c r="F177" i="4"/>
  <c r="E177" i="4"/>
  <c r="D177" i="4"/>
  <c r="I176" i="4"/>
  <c r="H176" i="4"/>
  <c r="G176" i="4"/>
  <c r="F176" i="4"/>
  <c r="E176" i="4"/>
  <c r="D176" i="4"/>
  <c r="I175" i="4"/>
  <c r="H175" i="4"/>
  <c r="G175" i="4"/>
  <c r="F175" i="4"/>
  <c r="E175" i="4"/>
  <c r="D175" i="4"/>
  <c r="I174" i="4"/>
  <c r="H174" i="4"/>
  <c r="G174" i="4"/>
  <c r="F174" i="4"/>
  <c r="E174" i="4"/>
  <c r="D174" i="4"/>
  <c r="I173" i="4"/>
  <c r="H173" i="4"/>
  <c r="G173" i="4"/>
  <c r="F173" i="4"/>
  <c r="E173" i="4"/>
  <c r="D173" i="4"/>
  <c r="I172" i="4"/>
  <c r="H172" i="4"/>
  <c r="G172" i="4"/>
  <c r="F172" i="4"/>
  <c r="E172" i="4"/>
  <c r="D172" i="4"/>
  <c r="I171" i="4"/>
  <c r="H171" i="4"/>
  <c r="G171" i="4"/>
  <c r="F171" i="4"/>
  <c r="E171" i="4"/>
  <c r="D171" i="4"/>
  <c r="I170" i="4"/>
  <c r="H170" i="4"/>
  <c r="G170" i="4"/>
  <c r="F170" i="4"/>
  <c r="E170" i="4"/>
  <c r="D170" i="4"/>
  <c r="I169" i="4"/>
  <c r="H169" i="4"/>
  <c r="G169" i="4"/>
  <c r="F169" i="4"/>
  <c r="E169" i="4"/>
  <c r="D169" i="4"/>
  <c r="I168" i="4"/>
  <c r="H168" i="4"/>
  <c r="G168" i="4"/>
  <c r="F168" i="4"/>
  <c r="E168" i="4"/>
  <c r="D168" i="4"/>
  <c r="I167" i="4"/>
  <c r="H167" i="4"/>
  <c r="G167" i="4"/>
  <c r="F167" i="4"/>
  <c r="E167" i="4"/>
  <c r="D167" i="4"/>
  <c r="I166" i="4"/>
  <c r="H166" i="4"/>
  <c r="G166" i="4"/>
  <c r="F166" i="4"/>
  <c r="E166" i="4"/>
  <c r="D166" i="4"/>
  <c r="I165" i="4"/>
  <c r="H165" i="4"/>
  <c r="G165" i="4"/>
  <c r="F165" i="4"/>
  <c r="E165" i="4"/>
  <c r="D165" i="4"/>
  <c r="I164" i="4"/>
  <c r="H164" i="4"/>
  <c r="G164" i="4"/>
  <c r="F164" i="4"/>
  <c r="E164" i="4"/>
  <c r="D164" i="4"/>
  <c r="I163" i="4"/>
  <c r="H163" i="4"/>
  <c r="G163" i="4"/>
  <c r="F163" i="4"/>
  <c r="E163" i="4"/>
  <c r="D163" i="4"/>
  <c r="I162" i="4"/>
  <c r="H162" i="4"/>
  <c r="G162" i="4"/>
  <c r="F162" i="4"/>
  <c r="E162" i="4"/>
  <c r="D162" i="4"/>
  <c r="I161" i="4"/>
  <c r="H161" i="4"/>
  <c r="G161" i="4"/>
  <c r="F161" i="4"/>
  <c r="E161" i="4"/>
  <c r="D161" i="4"/>
  <c r="I160" i="4"/>
  <c r="H160" i="4"/>
  <c r="G160" i="4"/>
  <c r="F160" i="4"/>
  <c r="E160" i="4"/>
  <c r="D160" i="4"/>
  <c r="I159" i="4"/>
  <c r="H159" i="4"/>
  <c r="G159" i="4"/>
  <c r="F159" i="4"/>
  <c r="E159" i="4"/>
  <c r="D159" i="4"/>
  <c r="I158" i="4"/>
  <c r="H158" i="4"/>
  <c r="G158" i="4"/>
  <c r="F158" i="4"/>
  <c r="E158" i="4"/>
  <c r="D158" i="4"/>
  <c r="I157" i="4"/>
  <c r="H157" i="4"/>
  <c r="G157" i="4"/>
  <c r="F157" i="4"/>
  <c r="E157" i="4"/>
  <c r="D157" i="4"/>
  <c r="I156" i="4"/>
  <c r="H156" i="4"/>
  <c r="G156" i="4"/>
  <c r="F156" i="4"/>
  <c r="E156" i="4"/>
  <c r="D156" i="4"/>
  <c r="I155" i="4"/>
  <c r="H155" i="4"/>
  <c r="G155" i="4"/>
  <c r="F155" i="4"/>
  <c r="E155" i="4"/>
  <c r="D155" i="4"/>
  <c r="I154" i="4"/>
  <c r="H154" i="4"/>
  <c r="G154" i="4"/>
  <c r="F154" i="4"/>
  <c r="E154" i="4"/>
  <c r="D154" i="4"/>
  <c r="I153" i="4"/>
  <c r="H153" i="4"/>
  <c r="G153" i="4"/>
  <c r="F153" i="4"/>
  <c r="E153" i="4"/>
  <c r="D153" i="4"/>
  <c r="I152" i="4"/>
  <c r="H152" i="4"/>
  <c r="G152" i="4"/>
  <c r="F152" i="4"/>
  <c r="E152" i="4"/>
  <c r="D152" i="4"/>
  <c r="I151" i="4"/>
  <c r="H151" i="4"/>
  <c r="G151" i="4"/>
  <c r="F151" i="4"/>
  <c r="E151" i="4"/>
  <c r="D151" i="4"/>
  <c r="I150" i="4"/>
  <c r="H150" i="4"/>
  <c r="G150" i="4"/>
  <c r="F150" i="4"/>
  <c r="E150" i="4"/>
  <c r="D150" i="4"/>
  <c r="I149" i="4"/>
  <c r="H149" i="4"/>
  <c r="G149" i="4"/>
  <c r="F149" i="4"/>
  <c r="E149" i="4"/>
  <c r="D149" i="4"/>
  <c r="I148" i="4"/>
  <c r="H148" i="4"/>
  <c r="G148" i="4"/>
  <c r="F148" i="4"/>
  <c r="E148" i="4"/>
  <c r="D148" i="4"/>
  <c r="I147" i="4"/>
  <c r="H147" i="4"/>
  <c r="G147" i="4"/>
  <c r="F147" i="4"/>
  <c r="E147" i="4"/>
  <c r="D147" i="4"/>
  <c r="I146" i="4"/>
  <c r="H146" i="4"/>
  <c r="G146" i="4"/>
  <c r="F146" i="4"/>
  <c r="E146" i="4"/>
  <c r="D146" i="4"/>
  <c r="I145" i="4"/>
  <c r="H145" i="4"/>
  <c r="G145" i="4"/>
  <c r="F145" i="4"/>
  <c r="E145" i="4"/>
  <c r="D145" i="4"/>
  <c r="I144" i="4"/>
  <c r="H144" i="4"/>
  <c r="G144" i="4"/>
  <c r="F144" i="4"/>
  <c r="E144" i="4"/>
  <c r="D144" i="4"/>
  <c r="I143" i="4"/>
  <c r="H143" i="4"/>
  <c r="G143" i="4"/>
  <c r="F143" i="4"/>
  <c r="E143" i="4"/>
  <c r="D143" i="4"/>
  <c r="I142" i="4"/>
  <c r="H142" i="4"/>
  <c r="G142" i="4"/>
  <c r="F142" i="4"/>
  <c r="E142" i="4"/>
  <c r="D142" i="4"/>
  <c r="I141" i="4"/>
  <c r="H141" i="4"/>
  <c r="G141" i="4"/>
  <c r="F141" i="4"/>
  <c r="E141" i="4"/>
  <c r="D141" i="4"/>
  <c r="I140" i="4"/>
  <c r="H140" i="4"/>
  <c r="G140" i="4"/>
  <c r="F140" i="4"/>
  <c r="E140" i="4"/>
  <c r="D140" i="4"/>
  <c r="I139" i="4"/>
  <c r="H139" i="4"/>
  <c r="G139" i="4"/>
  <c r="F139" i="4"/>
  <c r="E139" i="4"/>
  <c r="D139" i="4"/>
  <c r="I138" i="4"/>
  <c r="H138" i="4"/>
  <c r="G138" i="4"/>
  <c r="F138" i="4"/>
  <c r="E138" i="4"/>
  <c r="D138" i="4"/>
  <c r="I137" i="4"/>
  <c r="H137" i="4"/>
  <c r="G137" i="4"/>
  <c r="F137" i="4"/>
  <c r="E137" i="4"/>
  <c r="D137" i="4"/>
  <c r="I136" i="4"/>
  <c r="H136" i="4"/>
  <c r="G136" i="4"/>
  <c r="F136" i="4"/>
  <c r="E136" i="4"/>
  <c r="D136" i="4"/>
  <c r="I135" i="4"/>
  <c r="H135" i="4"/>
  <c r="G135" i="4"/>
  <c r="F135" i="4"/>
  <c r="E135" i="4"/>
  <c r="D135" i="4"/>
  <c r="I134" i="4"/>
  <c r="H134" i="4"/>
  <c r="G134" i="4"/>
  <c r="F134" i="4"/>
  <c r="E134" i="4"/>
  <c r="D134" i="4"/>
  <c r="I133" i="4"/>
  <c r="H133" i="4"/>
  <c r="G133" i="4"/>
  <c r="F133" i="4"/>
  <c r="E133" i="4"/>
  <c r="D133" i="4"/>
  <c r="I132" i="4"/>
  <c r="H132" i="4"/>
  <c r="G132" i="4"/>
  <c r="F132" i="4"/>
  <c r="E132" i="4"/>
  <c r="D132" i="4"/>
  <c r="I131" i="4"/>
  <c r="H131" i="4"/>
  <c r="G131" i="4"/>
  <c r="F131" i="4"/>
  <c r="E131" i="4"/>
  <c r="D131" i="4"/>
  <c r="I130" i="4"/>
  <c r="H130" i="4"/>
  <c r="G130" i="4"/>
  <c r="F130" i="4"/>
  <c r="E130" i="4"/>
  <c r="D130" i="4"/>
  <c r="I129" i="4"/>
  <c r="H129" i="4"/>
  <c r="G129" i="4"/>
  <c r="F129" i="4"/>
  <c r="E129" i="4"/>
  <c r="D129" i="4"/>
  <c r="I128" i="4"/>
  <c r="H128" i="4"/>
  <c r="G128" i="4"/>
  <c r="F128" i="4"/>
  <c r="E128" i="4"/>
  <c r="D128" i="4"/>
  <c r="I126" i="4"/>
  <c r="H126" i="4"/>
  <c r="G126" i="4"/>
  <c r="F126" i="4"/>
  <c r="E126" i="4"/>
  <c r="D126" i="4"/>
  <c r="I125" i="4"/>
  <c r="H125" i="4"/>
  <c r="G125" i="4"/>
  <c r="F125" i="4"/>
  <c r="E125" i="4"/>
  <c r="D125" i="4"/>
  <c r="I124" i="4"/>
  <c r="H124" i="4"/>
  <c r="G124" i="4"/>
  <c r="F124" i="4"/>
  <c r="E124" i="4"/>
  <c r="D124" i="4"/>
  <c r="I123" i="4"/>
  <c r="H123" i="4"/>
  <c r="G123" i="4"/>
  <c r="F123" i="4"/>
  <c r="E123" i="4"/>
  <c r="D123" i="4"/>
  <c r="I122" i="4"/>
  <c r="H122" i="4"/>
  <c r="G122" i="4"/>
  <c r="F122" i="4"/>
  <c r="E122" i="4"/>
  <c r="D122" i="4"/>
  <c r="I121" i="4"/>
  <c r="H121" i="4"/>
  <c r="G121" i="4"/>
  <c r="F121" i="4"/>
  <c r="E121" i="4"/>
  <c r="D121" i="4"/>
  <c r="I120" i="4"/>
  <c r="H120" i="4"/>
  <c r="G120" i="4"/>
  <c r="F120" i="4"/>
  <c r="E120" i="4"/>
  <c r="D120" i="4"/>
  <c r="I119" i="4"/>
  <c r="H119" i="4"/>
  <c r="G119" i="4"/>
  <c r="F119" i="4"/>
  <c r="E119" i="4"/>
  <c r="D119" i="4"/>
  <c r="I118" i="4"/>
  <c r="H118" i="4"/>
  <c r="G118" i="4"/>
  <c r="F118" i="4"/>
  <c r="E118" i="4"/>
  <c r="D118" i="4"/>
  <c r="I117" i="4"/>
  <c r="H117" i="4"/>
  <c r="G117" i="4"/>
  <c r="F117" i="4"/>
  <c r="E117" i="4"/>
  <c r="D117" i="4"/>
  <c r="I116" i="4"/>
  <c r="H116" i="4"/>
  <c r="G116" i="4"/>
  <c r="F116" i="4"/>
  <c r="E116" i="4"/>
  <c r="D116" i="4"/>
  <c r="I115" i="4"/>
  <c r="H115" i="4"/>
  <c r="G115" i="4"/>
  <c r="F115" i="4"/>
  <c r="E115" i="4"/>
  <c r="D115" i="4"/>
  <c r="I114" i="4"/>
  <c r="H114" i="4"/>
  <c r="G114" i="4"/>
  <c r="F114" i="4"/>
  <c r="E114" i="4"/>
  <c r="D114" i="4"/>
  <c r="I113" i="4"/>
  <c r="H113" i="4"/>
  <c r="G113" i="4"/>
  <c r="F113" i="4"/>
  <c r="E113" i="4"/>
  <c r="D113" i="4"/>
  <c r="I112" i="4"/>
  <c r="H112" i="4"/>
  <c r="G112" i="4"/>
  <c r="F112" i="4"/>
  <c r="E112" i="4"/>
  <c r="D112" i="4"/>
  <c r="I111" i="4"/>
  <c r="H111" i="4"/>
  <c r="G111" i="4"/>
  <c r="F111" i="4"/>
  <c r="E111" i="4"/>
  <c r="D111" i="4"/>
  <c r="I110" i="4"/>
  <c r="H110" i="4"/>
  <c r="G110" i="4"/>
  <c r="F110" i="4"/>
  <c r="E110" i="4"/>
  <c r="D110" i="4"/>
  <c r="I109" i="4"/>
  <c r="H109" i="4"/>
  <c r="G109" i="4"/>
  <c r="F109" i="4"/>
  <c r="E109" i="4"/>
  <c r="D109" i="4"/>
  <c r="I108" i="4"/>
  <c r="H108" i="4"/>
  <c r="G108" i="4"/>
  <c r="F108" i="4"/>
  <c r="E108" i="4"/>
  <c r="D108" i="4"/>
  <c r="I107" i="4"/>
  <c r="H107" i="4"/>
  <c r="G107" i="4"/>
  <c r="F107" i="4"/>
  <c r="E107" i="4"/>
  <c r="D107" i="4"/>
  <c r="I106" i="4"/>
  <c r="H106" i="4"/>
  <c r="G106" i="4"/>
  <c r="F106" i="4"/>
  <c r="E106" i="4"/>
  <c r="D106" i="4"/>
  <c r="I105" i="4"/>
  <c r="H105" i="4"/>
  <c r="G105" i="4"/>
  <c r="F105" i="4"/>
  <c r="E105" i="4"/>
  <c r="D105" i="4"/>
  <c r="I104" i="4"/>
  <c r="H104" i="4"/>
  <c r="G104" i="4"/>
  <c r="F104" i="4"/>
  <c r="E104" i="4"/>
  <c r="D104" i="4"/>
  <c r="I103" i="4"/>
  <c r="H103" i="4"/>
  <c r="G103" i="4"/>
  <c r="F103" i="4"/>
  <c r="E103" i="4"/>
  <c r="D103" i="4"/>
  <c r="I102" i="4"/>
  <c r="H102" i="4"/>
  <c r="G102" i="4"/>
  <c r="F102" i="4"/>
  <c r="E102" i="4"/>
  <c r="D102" i="4"/>
  <c r="I101" i="4"/>
  <c r="H101" i="4"/>
  <c r="G101" i="4"/>
  <c r="F101" i="4"/>
  <c r="E101" i="4"/>
  <c r="D101" i="4"/>
  <c r="I100" i="4"/>
  <c r="H100" i="4"/>
  <c r="G100" i="4"/>
  <c r="F100" i="4"/>
  <c r="E100" i="4"/>
  <c r="D100" i="4"/>
  <c r="I99" i="4"/>
  <c r="H99" i="4"/>
  <c r="G99" i="4"/>
  <c r="F99" i="4"/>
  <c r="E99" i="4"/>
  <c r="D99" i="4"/>
  <c r="I98" i="4"/>
  <c r="H98" i="4"/>
  <c r="G98" i="4"/>
  <c r="F98" i="4"/>
  <c r="E98" i="4"/>
  <c r="D98" i="4"/>
  <c r="I97" i="4"/>
  <c r="H97" i="4"/>
  <c r="G97" i="4"/>
  <c r="F97" i="4"/>
  <c r="E97" i="4"/>
  <c r="D97" i="4"/>
  <c r="I96" i="4"/>
  <c r="H96" i="4"/>
  <c r="G96" i="4"/>
  <c r="F96" i="4"/>
  <c r="E96" i="4"/>
  <c r="D96" i="4"/>
  <c r="I95" i="4"/>
  <c r="H95" i="4"/>
  <c r="G95" i="4"/>
  <c r="F95" i="4"/>
  <c r="E95" i="4"/>
  <c r="D95" i="4"/>
  <c r="I94" i="4"/>
  <c r="H94" i="4"/>
  <c r="G94" i="4"/>
  <c r="F94" i="4"/>
  <c r="E94" i="4"/>
  <c r="D94" i="4"/>
  <c r="I93" i="4"/>
  <c r="H93" i="4"/>
  <c r="G93" i="4"/>
  <c r="F93" i="4"/>
  <c r="E93" i="4"/>
  <c r="D93" i="4"/>
  <c r="I92" i="4"/>
  <c r="H92" i="4"/>
  <c r="G92" i="4"/>
  <c r="F92" i="4"/>
  <c r="E92" i="4"/>
  <c r="D92" i="4"/>
  <c r="I91" i="4"/>
  <c r="H91" i="4"/>
  <c r="G91" i="4"/>
  <c r="F91" i="4"/>
  <c r="E91" i="4"/>
  <c r="D91" i="4"/>
  <c r="I90" i="4"/>
  <c r="H90" i="4"/>
  <c r="G90" i="4"/>
  <c r="F90" i="4"/>
  <c r="E90" i="4"/>
  <c r="D90" i="4"/>
  <c r="I89" i="4"/>
  <c r="H89" i="4"/>
  <c r="G89" i="4"/>
  <c r="F89" i="4"/>
  <c r="E89" i="4"/>
  <c r="D89" i="4"/>
  <c r="I88" i="4"/>
  <c r="H88" i="4"/>
  <c r="G88" i="4"/>
  <c r="F88" i="4"/>
  <c r="E88" i="4"/>
  <c r="D88" i="4"/>
  <c r="I87" i="4"/>
  <c r="H87" i="4"/>
  <c r="G87" i="4"/>
  <c r="F87" i="4"/>
  <c r="E87" i="4"/>
  <c r="D87" i="4"/>
  <c r="I86" i="4"/>
  <c r="H86" i="4"/>
  <c r="G86" i="4"/>
  <c r="F86" i="4"/>
  <c r="E86" i="4"/>
  <c r="D86" i="4"/>
  <c r="I85" i="4"/>
  <c r="H85" i="4"/>
  <c r="G85" i="4"/>
  <c r="F85" i="4"/>
  <c r="E85" i="4"/>
  <c r="D85" i="4"/>
  <c r="I84" i="4"/>
  <c r="H84" i="4"/>
  <c r="G84" i="4"/>
  <c r="F84" i="4"/>
  <c r="E84" i="4"/>
  <c r="D84" i="4"/>
  <c r="I83" i="4"/>
  <c r="H83" i="4"/>
  <c r="G83" i="4"/>
  <c r="F83" i="4"/>
  <c r="E83" i="4"/>
  <c r="D83" i="4"/>
  <c r="I82" i="4"/>
  <c r="H82" i="4"/>
  <c r="G82" i="4"/>
  <c r="F82" i="4"/>
  <c r="E82" i="4"/>
  <c r="D82" i="4"/>
  <c r="I81" i="4"/>
  <c r="H81" i="4"/>
  <c r="G81" i="4"/>
  <c r="F81" i="4"/>
  <c r="E81" i="4"/>
  <c r="D81" i="4"/>
  <c r="I80" i="4"/>
  <c r="H80" i="4"/>
  <c r="G80" i="4"/>
  <c r="F80" i="4"/>
  <c r="E80" i="4"/>
  <c r="D80" i="4"/>
  <c r="I79" i="4"/>
  <c r="H79" i="4"/>
  <c r="G79" i="4"/>
  <c r="F79" i="4"/>
  <c r="E79" i="4"/>
  <c r="D79" i="4"/>
  <c r="I78" i="4"/>
  <c r="H78" i="4"/>
  <c r="G78" i="4"/>
  <c r="F78" i="4"/>
  <c r="E78" i="4"/>
  <c r="D78" i="4"/>
  <c r="I77" i="4"/>
  <c r="H77" i="4"/>
  <c r="G77" i="4"/>
  <c r="F77" i="4"/>
  <c r="E77" i="4"/>
  <c r="D77" i="4"/>
  <c r="I76" i="4"/>
  <c r="H76" i="4"/>
  <c r="G76" i="4"/>
  <c r="F76" i="4"/>
  <c r="E76" i="4"/>
  <c r="D76" i="4"/>
  <c r="I75" i="4"/>
  <c r="H75" i="4"/>
  <c r="G75" i="4"/>
  <c r="F75" i="4"/>
  <c r="E75" i="4"/>
  <c r="D75" i="4"/>
  <c r="I74" i="4"/>
  <c r="H74" i="4"/>
  <c r="G74" i="4"/>
  <c r="F74" i="4"/>
  <c r="E74" i="4"/>
  <c r="D74" i="4"/>
  <c r="I73" i="4"/>
  <c r="H73" i="4"/>
  <c r="G73" i="4"/>
  <c r="F73" i="4"/>
  <c r="E73" i="4"/>
  <c r="D73" i="4"/>
  <c r="I72" i="4"/>
  <c r="H72" i="4"/>
  <c r="G72" i="4"/>
  <c r="F72" i="4"/>
  <c r="E72" i="4"/>
  <c r="D72" i="4"/>
  <c r="I71" i="4"/>
  <c r="H71" i="4"/>
  <c r="G71" i="4"/>
  <c r="F71" i="4"/>
  <c r="E71" i="4"/>
  <c r="D71" i="4"/>
  <c r="I70" i="4"/>
  <c r="H70" i="4"/>
  <c r="G70" i="4"/>
  <c r="F70" i="4"/>
  <c r="E70" i="4"/>
  <c r="D70" i="4"/>
  <c r="I69" i="4"/>
  <c r="H69" i="4"/>
  <c r="G69" i="4"/>
  <c r="F69" i="4"/>
  <c r="E69" i="4"/>
  <c r="D69" i="4"/>
  <c r="I68" i="4"/>
  <c r="H68" i="4"/>
  <c r="G68" i="4"/>
  <c r="F68" i="4"/>
  <c r="E68" i="4"/>
  <c r="D68" i="4"/>
  <c r="I67" i="4"/>
  <c r="H67" i="4"/>
  <c r="G67" i="4"/>
  <c r="F67" i="4"/>
  <c r="E67" i="4"/>
  <c r="D67" i="4"/>
  <c r="I66" i="4"/>
  <c r="H66" i="4"/>
  <c r="G66" i="4"/>
  <c r="F66" i="4"/>
  <c r="E66" i="4"/>
  <c r="D66" i="4"/>
  <c r="I65" i="4"/>
  <c r="H65" i="4"/>
  <c r="G65" i="4"/>
  <c r="F65" i="4"/>
  <c r="E65" i="4"/>
  <c r="D65" i="4"/>
  <c r="I64" i="4"/>
  <c r="H64" i="4"/>
  <c r="G64" i="4"/>
  <c r="F64" i="4"/>
  <c r="E64" i="4"/>
  <c r="D64" i="4"/>
  <c r="I63" i="4"/>
  <c r="H63" i="4"/>
  <c r="G63" i="4"/>
  <c r="F63" i="4"/>
  <c r="E63" i="4"/>
  <c r="D63" i="4"/>
  <c r="I62" i="4"/>
  <c r="H62" i="4"/>
  <c r="G62" i="4"/>
  <c r="F62" i="4"/>
  <c r="E62" i="4"/>
  <c r="D62" i="4"/>
  <c r="I61" i="4"/>
  <c r="H61" i="4"/>
  <c r="G61" i="4"/>
  <c r="F61" i="4"/>
  <c r="E61" i="4"/>
  <c r="D61" i="4"/>
  <c r="I60" i="4"/>
  <c r="H60" i="4"/>
  <c r="G60" i="4"/>
  <c r="F60" i="4"/>
  <c r="E60" i="4"/>
  <c r="D60" i="4"/>
  <c r="I59" i="4"/>
  <c r="H59" i="4"/>
  <c r="G59" i="4"/>
  <c r="F59" i="4"/>
  <c r="E59" i="4"/>
  <c r="D59" i="4"/>
  <c r="I58" i="4"/>
  <c r="H58" i="4"/>
  <c r="G58" i="4"/>
  <c r="F58" i="4"/>
  <c r="E58" i="4"/>
  <c r="D58" i="4"/>
  <c r="I57" i="4"/>
  <c r="H57" i="4"/>
  <c r="G57" i="4"/>
  <c r="F57" i="4"/>
  <c r="E57" i="4"/>
  <c r="D57" i="4"/>
  <c r="I56" i="4"/>
  <c r="H56" i="4"/>
  <c r="G56" i="4"/>
  <c r="F56" i="4"/>
  <c r="E56" i="4"/>
  <c r="D56" i="4"/>
  <c r="I55" i="4"/>
  <c r="H55" i="4"/>
  <c r="G55" i="4"/>
  <c r="F55" i="4"/>
  <c r="E55" i="4"/>
  <c r="D55" i="4"/>
  <c r="I54" i="4"/>
  <c r="H54" i="4"/>
  <c r="G54" i="4"/>
  <c r="F54" i="4"/>
  <c r="E54" i="4"/>
  <c r="D54" i="4"/>
  <c r="I53" i="4"/>
  <c r="H53" i="4"/>
  <c r="G53" i="4"/>
  <c r="F53" i="4"/>
  <c r="E53" i="4"/>
  <c r="D53" i="4"/>
  <c r="I52" i="4"/>
  <c r="H52" i="4"/>
  <c r="G52" i="4"/>
  <c r="F52" i="4"/>
  <c r="E52" i="4"/>
  <c r="D52" i="4"/>
  <c r="I51" i="4"/>
  <c r="H51" i="4"/>
  <c r="G51" i="4"/>
  <c r="F51" i="4"/>
  <c r="E51" i="4"/>
  <c r="D51" i="4"/>
  <c r="I50" i="4"/>
  <c r="H50" i="4"/>
  <c r="G50" i="4"/>
  <c r="F50" i="4"/>
  <c r="E50" i="4"/>
  <c r="D50" i="4"/>
  <c r="I49" i="4"/>
  <c r="H49" i="4"/>
  <c r="G49" i="4"/>
  <c r="F49" i="4"/>
  <c r="E49" i="4"/>
  <c r="D49" i="4"/>
  <c r="I48" i="4"/>
  <c r="H48" i="4"/>
  <c r="G48" i="4"/>
  <c r="F48" i="4"/>
  <c r="E48" i="4"/>
  <c r="D48" i="4"/>
  <c r="I47" i="4"/>
  <c r="H47" i="4"/>
  <c r="G47" i="4"/>
  <c r="F47" i="4"/>
  <c r="E47" i="4"/>
  <c r="D47" i="4"/>
  <c r="I46" i="4"/>
  <c r="H46" i="4"/>
  <c r="G46" i="4"/>
  <c r="F46" i="4"/>
  <c r="E46" i="4"/>
  <c r="D46" i="4"/>
  <c r="I45" i="4"/>
  <c r="H45" i="4"/>
  <c r="G45" i="4"/>
  <c r="F45" i="4"/>
  <c r="E45" i="4"/>
  <c r="D45" i="4"/>
  <c r="I44" i="4"/>
  <c r="H44" i="4"/>
  <c r="G44" i="4"/>
  <c r="F44" i="4"/>
  <c r="E44" i="4"/>
  <c r="D44" i="4"/>
  <c r="I43" i="4"/>
  <c r="H43" i="4"/>
  <c r="G43" i="4"/>
  <c r="F43" i="4"/>
  <c r="E43" i="4"/>
  <c r="D43" i="4"/>
  <c r="I42" i="4"/>
  <c r="H42" i="4"/>
  <c r="G42" i="4"/>
  <c r="F42" i="4"/>
  <c r="E42" i="4"/>
  <c r="D42" i="4"/>
  <c r="I41" i="4"/>
  <c r="H41" i="4"/>
  <c r="G41" i="4"/>
  <c r="F41" i="4"/>
  <c r="E41" i="4"/>
  <c r="D41" i="4"/>
  <c r="I40" i="4"/>
  <c r="H40" i="4"/>
  <c r="G40" i="4"/>
  <c r="F40" i="4"/>
  <c r="E40" i="4"/>
  <c r="D40" i="4"/>
  <c r="I39" i="4"/>
  <c r="H39" i="4"/>
  <c r="G39" i="4"/>
  <c r="F39" i="4"/>
  <c r="E39" i="4"/>
  <c r="D39" i="4"/>
  <c r="I38" i="4"/>
  <c r="H38" i="4"/>
  <c r="G38" i="4"/>
  <c r="F38" i="4"/>
  <c r="E38" i="4"/>
  <c r="D38" i="4"/>
  <c r="I37" i="4"/>
  <c r="H37" i="4"/>
  <c r="G37" i="4"/>
  <c r="F37" i="4"/>
  <c r="E37" i="4"/>
  <c r="D37" i="4"/>
  <c r="I36" i="4"/>
  <c r="H36" i="4"/>
  <c r="G36" i="4"/>
  <c r="F36" i="4"/>
  <c r="E36" i="4"/>
  <c r="D36" i="4"/>
  <c r="I35" i="4"/>
  <c r="H35" i="4"/>
  <c r="G35" i="4"/>
  <c r="F35" i="4"/>
  <c r="E35" i="4"/>
  <c r="D35" i="4"/>
  <c r="I34" i="4"/>
  <c r="H34" i="4"/>
  <c r="G34" i="4"/>
  <c r="F34" i="4"/>
  <c r="E34" i="4"/>
  <c r="D34" i="4"/>
  <c r="I33" i="4"/>
  <c r="H33" i="4"/>
  <c r="G33" i="4"/>
  <c r="F33" i="4"/>
  <c r="E33" i="4"/>
  <c r="D33" i="4"/>
  <c r="I32" i="4"/>
  <c r="H32" i="4"/>
  <c r="G32" i="4"/>
  <c r="F32" i="4"/>
  <c r="E32" i="4"/>
  <c r="D32" i="4"/>
  <c r="I31" i="4"/>
  <c r="H31" i="4"/>
  <c r="G31" i="4"/>
  <c r="F31" i="4"/>
  <c r="E31" i="4"/>
  <c r="D31" i="4"/>
  <c r="I30" i="4"/>
  <c r="H30" i="4"/>
  <c r="G30" i="4"/>
  <c r="F30" i="4"/>
  <c r="E30" i="4"/>
  <c r="D30" i="4"/>
  <c r="I28" i="4"/>
  <c r="H28" i="4"/>
  <c r="G28" i="4"/>
  <c r="F28" i="4"/>
  <c r="E28" i="4"/>
  <c r="D28" i="4"/>
  <c r="I27" i="4"/>
  <c r="H27" i="4"/>
  <c r="G27" i="4"/>
  <c r="F27" i="4"/>
  <c r="E27" i="4"/>
  <c r="D27" i="4"/>
  <c r="I26" i="4"/>
  <c r="H26" i="4"/>
  <c r="G26" i="4"/>
  <c r="F26" i="4"/>
  <c r="E26" i="4"/>
  <c r="D26" i="4"/>
  <c r="I25" i="4"/>
  <c r="H25" i="4"/>
  <c r="G25" i="4"/>
  <c r="F25" i="4"/>
  <c r="E25" i="4"/>
  <c r="D25" i="4"/>
  <c r="I24" i="4"/>
  <c r="H24" i="4"/>
  <c r="G24" i="4"/>
  <c r="F24" i="4"/>
  <c r="E24" i="4"/>
  <c r="D24" i="4"/>
  <c r="I23" i="4"/>
  <c r="H23" i="4"/>
  <c r="G23" i="4"/>
  <c r="F23" i="4"/>
  <c r="E23" i="4"/>
  <c r="D23" i="4"/>
  <c r="I22" i="4"/>
  <c r="H22" i="4"/>
  <c r="G22" i="4"/>
  <c r="F22" i="4"/>
  <c r="E22" i="4"/>
  <c r="D22" i="4"/>
  <c r="I21" i="4"/>
  <c r="H21" i="4"/>
  <c r="G21" i="4"/>
  <c r="F21" i="4"/>
  <c r="E21" i="4"/>
  <c r="D21" i="4"/>
  <c r="I20" i="4"/>
  <c r="H20" i="4"/>
  <c r="G20" i="4"/>
  <c r="F20" i="4"/>
  <c r="E20" i="4"/>
  <c r="D20" i="4"/>
  <c r="I19" i="4"/>
  <c r="H19" i="4"/>
  <c r="G19" i="4"/>
  <c r="F19" i="4"/>
  <c r="E19" i="4"/>
  <c r="D19" i="4"/>
  <c r="I18" i="4"/>
  <c r="H18" i="4"/>
  <c r="G18" i="4"/>
  <c r="F18" i="4"/>
  <c r="E18" i="4"/>
  <c r="D18" i="4"/>
  <c r="I17" i="4"/>
  <c r="H17" i="4"/>
  <c r="G17" i="4"/>
  <c r="F17" i="4"/>
  <c r="E17" i="4"/>
  <c r="D17" i="4"/>
  <c r="I16" i="4"/>
  <c r="H16" i="4"/>
  <c r="G16" i="4"/>
  <c r="F16" i="4"/>
  <c r="E16" i="4"/>
  <c r="D16" i="4"/>
  <c r="I15" i="4"/>
  <c r="H15" i="4"/>
  <c r="G15" i="4"/>
  <c r="F15" i="4"/>
  <c r="E15" i="4"/>
  <c r="D15" i="4"/>
  <c r="I14" i="4"/>
  <c r="H14" i="4"/>
  <c r="G14" i="4"/>
  <c r="F14" i="4"/>
  <c r="E14" i="4"/>
  <c r="D14" i="4"/>
  <c r="I13" i="4"/>
  <c r="H13" i="4"/>
  <c r="G13" i="4"/>
  <c r="F13" i="4"/>
  <c r="E13" i="4"/>
  <c r="D13" i="4"/>
  <c r="I12" i="4"/>
  <c r="H12" i="4"/>
  <c r="G12" i="4"/>
  <c r="F12" i="4"/>
  <c r="E12" i="4"/>
  <c r="D12" i="4"/>
  <c r="I11" i="4"/>
  <c r="H11" i="4"/>
  <c r="G11" i="4"/>
  <c r="F11" i="4"/>
  <c r="E11" i="4"/>
  <c r="D11" i="4"/>
  <c r="I10" i="4"/>
  <c r="H10" i="4"/>
  <c r="G10" i="4"/>
  <c r="F10" i="4"/>
  <c r="E10" i="4"/>
  <c r="D10" i="4"/>
  <c r="I9" i="4"/>
  <c r="H9" i="4"/>
  <c r="G9" i="4"/>
  <c r="F9" i="4"/>
  <c r="E9" i="4"/>
  <c r="D9" i="4"/>
  <c r="I8" i="4"/>
  <c r="H8" i="4"/>
  <c r="G8" i="4"/>
  <c r="F8" i="4"/>
  <c r="E8" i="4"/>
  <c r="D8" i="4"/>
  <c r="I7" i="4"/>
  <c r="H7" i="4"/>
  <c r="G7" i="4"/>
  <c r="F7" i="4"/>
  <c r="E7" i="4"/>
  <c r="D7" i="4"/>
  <c r="I6" i="4"/>
  <c r="H6" i="4"/>
  <c r="G6" i="4"/>
  <c r="F6" i="4"/>
  <c r="E6" i="4"/>
  <c r="D6" i="4"/>
  <c r="I447" i="4" l="1"/>
  <c r="I467" i="4" s="1"/>
  <c r="I454" i="3" l="1"/>
  <c r="C454" i="3"/>
  <c r="H450" i="3"/>
  <c r="G450" i="3"/>
  <c r="F450" i="3"/>
  <c r="E450" i="3"/>
  <c r="D450" i="3"/>
  <c r="H449" i="3"/>
  <c r="G449" i="3"/>
  <c r="F449" i="3"/>
  <c r="E449" i="3"/>
  <c r="D449" i="3"/>
  <c r="H448" i="3"/>
  <c r="G448" i="3"/>
  <c r="F448" i="3"/>
  <c r="E448" i="3"/>
  <c r="D448" i="3"/>
  <c r="C447" i="3"/>
  <c r="I222" i="3"/>
  <c r="H222" i="3"/>
  <c r="G222" i="3"/>
  <c r="F222" i="3"/>
  <c r="E222" i="3"/>
  <c r="D222" i="3"/>
  <c r="I221" i="3"/>
  <c r="H221" i="3"/>
  <c r="G221" i="3"/>
  <c r="F221" i="3"/>
  <c r="E221" i="3"/>
  <c r="D221" i="3"/>
  <c r="I220" i="3"/>
  <c r="H220" i="3"/>
  <c r="G220" i="3"/>
  <c r="F220" i="3"/>
  <c r="E220" i="3"/>
  <c r="D220" i="3"/>
  <c r="I219" i="3"/>
  <c r="H219" i="3"/>
  <c r="G219" i="3"/>
  <c r="F219" i="3"/>
  <c r="E219" i="3"/>
  <c r="D219" i="3"/>
  <c r="I218" i="3"/>
  <c r="H218" i="3"/>
  <c r="G218" i="3"/>
  <c r="F218" i="3"/>
  <c r="E218" i="3"/>
  <c r="D218" i="3"/>
  <c r="I217" i="3"/>
  <c r="H217" i="3"/>
  <c r="G217" i="3"/>
  <c r="F217" i="3"/>
  <c r="E217" i="3"/>
  <c r="D217" i="3"/>
  <c r="I216" i="3"/>
  <c r="H216" i="3"/>
  <c r="G216" i="3"/>
  <c r="F216" i="3"/>
  <c r="E216" i="3"/>
  <c r="D216" i="3"/>
  <c r="I215" i="3"/>
  <c r="H215" i="3"/>
  <c r="G215" i="3"/>
  <c r="F215" i="3"/>
  <c r="E215" i="3"/>
  <c r="D215" i="3"/>
  <c r="I214" i="3"/>
  <c r="H214" i="3"/>
  <c r="G214" i="3"/>
  <c r="F214" i="3"/>
  <c r="E214" i="3"/>
  <c r="D214" i="3"/>
  <c r="I213" i="3"/>
  <c r="H213" i="3"/>
  <c r="G213" i="3"/>
  <c r="F213" i="3"/>
  <c r="E213" i="3"/>
  <c r="D213" i="3"/>
  <c r="I212" i="3"/>
  <c r="H212" i="3"/>
  <c r="G212" i="3"/>
  <c r="F212" i="3"/>
  <c r="E212" i="3"/>
  <c r="D212" i="3"/>
  <c r="I211" i="3"/>
  <c r="H211" i="3"/>
  <c r="G211" i="3"/>
  <c r="F211" i="3"/>
  <c r="E211" i="3"/>
  <c r="D211" i="3"/>
  <c r="I210" i="3"/>
  <c r="H210" i="3"/>
  <c r="G210" i="3"/>
  <c r="F210" i="3"/>
  <c r="E210" i="3"/>
  <c r="D210" i="3"/>
  <c r="I209" i="3"/>
  <c r="H209" i="3"/>
  <c r="G209" i="3"/>
  <c r="F209" i="3"/>
  <c r="E209" i="3"/>
  <c r="D209" i="3"/>
  <c r="I208" i="3"/>
  <c r="H208" i="3"/>
  <c r="G208" i="3"/>
  <c r="F208" i="3"/>
  <c r="E208" i="3"/>
  <c r="D208" i="3"/>
  <c r="I207" i="3"/>
  <c r="H207" i="3"/>
  <c r="G207" i="3"/>
  <c r="F207" i="3"/>
  <c r="E207" i="3"/>
  <c r="D207" i="3"/>
  <c r="I206" i="3"/>
  <c r="H206" i="3"/>
  <c r="G206" i="3"/>
  <c r="F206" i="3"/>
  <c r="E206" i="3"/>
  <c r="D206" i="3"/>
  <c r="I205" i="3"/>
  <c r="H205" i="3"/>
  <c r="G205" i="3"/>
  <c r="F205" i="3"/>
  <c r="E205" i="3"/>
  <c r="D205" i="3"/>
  <c r="I204" i="3"/>
  <c r="H204" i="3"/>
  <c r="G204" i="3"/>
  <c r="F204" i="3"/>
  <c r="E204" i="3"/>
  <c r="D204" i="3"/>
  <c r="I203" i="3"/>
  <c r="H203" i="3"/>
  <c r="G203" i="3"/>
  <c r="F203" i="3"/>
  <c r="E203" i="3"/>
  <c r="D203" i="3"/>
  <c r="I202" i="3"/>
  <c r="H202" i="3"/>
  <c r="G202" i="3"/>
  <c r="F202" i="3"/>
  <c r="E202" i="3"/>
  <c r="D202" i="3"/>
  <c r="I201" i="3"/>
  <c r="H201" i="3"/>
  <c r="G201" i="3"/>
  <c r="F201" i="3"/>
  <c r="E201" i="3"/>
  <c r="D201" i="3"/>
  <c r="I200" i="3"/>
  <c r="H200" i="3"/>
  <c r="G200" i="3"/>
  <c r="F200" i="3"/>
  <c r="E200" i="3"/>
  <c r="D200" i="3"/>
  <c r="I199" i="3"/>
  <c r="H199" i="3"/>
  <c r="G199" i="3"/>
  <c r="F199" i="3"/>
  <c r="E199" i="3"/>
  <c r="D199" i="3"/>
  <c r="I198" i="3"/>
  <c r="H198" i="3"/>
  <c r="G198" i="3"/>
  <c r="F198" i="3"/>
  <c r="E198" i="3"/>
  <c r="D198" i="3"/>
  <c r="I197" i="3"/>
  <c r="H197" i="3"/>
  <c r="G197" i="3"/>
  <c r="F197" i="3"/>
  <c r="E197" i="3"/>
  <c r="D197" i="3"/>
  <c r="I196" i="3"/>
  <c r="H196" i="3"/>
  <c r="G196" i="3"/>
  <c r="F196" i="3"/>
  <c r="E196" i="3"/>
  <c r="D196" i="3"/>
  <c r="I195" i="3"/>
  <c r="H195" i="3"/>
  <c r="G195" i="3"/>
  <c r="F195" i="3"/>
  <c r="E195" i="3"/>
  <c r="D195" i="3"/>
  <c r="I194" i="3"/>
  <c r="H194" i="3"/>
  <c r="G194" i="3"/>
  <c r="F194" i="3"/>
  <c r="E194" i="3"/>
  <c r="D194" i="3"/>
  <c r="I193" i="3"/>
  <c r="H193" i="3"/>
  <c r="G193" i="3"/>
  <c r="F193" i="3"/>
  <c r="E193" i="3"/>
  <c r="D193" i="3"/>
  <c r="I191" i="3"/>
  <c r="H191" i="3"/>
  <c r="G191" i="3"/>
  <c r="F191" i="3"/>
  <c r="E191" i="3"/>
  <c r="D191" i="3"/>
  <c r="I190" i="3"/>
  <c r="H190" i="3"/>
  <c r="G190" i="3"/>
  <c r="F190" i="3"/>
  <c r="E190" i="3"/>
  <c r="D190" i="3"/>
  <c r="I189" i="3"/>
  <c r="H189" i="3"/>
  <c r="G189" i="3"/>
  <c r="F189" i="3"/>
  <c r="E189" i="3"/>
  <c r="D189" i="3"/>
  <c r="I188" i="3"/>
  <c r="H188" i="3"/>
  <c r="G188" i="3"/>
  <c r="F188" i="3"/>
  <c r="E188" i="3"/>
  <c r="D188" i="3"/>
  <c r="I187" i="3"/>
  <c r="H187" i="3"/>
  <c r="G187" i="3"/>
  <c r="F187" i="3"/>
  <c r="E187" i="3"/>
  <c r="D187" i="3"/>
  <c r="I186" i="3"/>
  <c r="H186" i="3"/>
  <c r="G186" i="3"/>
  <c r="F186" i="3"/>
  <c r="E186" i="3"/>
  <c r="D186" i="3"/>
  <c r="I185" i="3"/>
  <c r="H185" i="3"/>
  <c r="G185" i="3"/>
  <c r="F185" i="3"/>
  <c r="E185" i="3"/>
  <c r="D185" i="3"/>
  <c r="I184" i="3"/>
  <c r="H184" i="3"/>
  <c r="G184" i="3"/>
  <c r="F184" i="3"/>
  <c r="E184" i="3"/>
  <c r="D184" i="3"/>
  <c r="I183" i="3"/>
  <c r="H183" i="3"/>
  <c r="G183" i="3"/>
  <c r="F183" i="3"/>
  <c r="E183" i="3"/>
  <c r="D183" i="3"/>
  <c r="I182" i="3"/>
  <c r="H182" i="3"/>
  <c r="G182" i="3"/>
  <c r="F182" i="3"/>
  <c r="E182" i="3"/>
  <c r="D182" i="3"/>
  <c r="I181" i="3"/>
  <c r="H181" i="3"/>
  <c r="G181" i="3"/>
  <c r="F181" i="3"/>
  <c r="E181" i="3"/>
  <c r="D181" i="3"/>
  <c r="I180" i="3"/>
  <c r="H180" i="3"/>
  <c r="G180" i="3"/>
  <c r="F180" i="3"/>
  <c r="E180" i="3"/>
  <c r="D180" i="3"/>
  <c r="I179" i="3"/>
  <c r="H179" i="3"/>
  <c r="G179" i="3"/>
  <c r="F179" i="3"/>
  <c r="E179" i="3"/>
  <c r="D179" i="3"/>
  <c r="I178" i="3"/>
  <c r="H178" i="3"/>
  <c r="G178" i="3"/>
  <c r="F178" i="3"/>
  <c r="E178" i="3"/>
  <c r="D178" i="3"/>
  <c r="I177" i="3"/>
  <c r="H177" i="3"/>
  <c r="G177" i="3"/>
  <c r="F177" i="3"/>
  <c r="E177" i="3"/>
  <c r="D177" i="3"/>
  <c r="I176" i="3"/>
  <c r="H176" i="3"/>
  <c r="G176" i="3"/>
  <c r="F176" i="3"/>
  <c r="E176" i="3"/>
  <c r="D176" i="3"/>
  <c r="I175" i="3"/>
  <c r="H175" i="3"/>
  <c r="G175" i="3"/>
  <c r="F175" i="3"/>
  <c r="E175" i="3"/>
  <c r="D175" i="3"/>
  <c r="I174" i="3"/>
  <c r="H174" i="3"/>
  <c r="G174" i="3"/>
  <c r="F174" i="3"/>
  <c r="E174" i="3"/>
  <c r="D174" i="3"/>
  <c r="I173" i="3"/>
  <c r="H173" i="3"/>
  <c r="G173" i="3"/>
  <c r="F173" i="3"/>
  <c r="E173" i="3"/>
  <c r="D173" i="3"/>
  <c r="I172" i="3"/>
  <c r="H172" i="3"/>
  <c r="G172" i="3"/>
  <c r="F172" i="3"/>
  <c r="E172" i="3"/>
  <c r="D172" i="3"/>
  <c r="I171" i="3"/>
  <c r="H171" i="3"/>
  <c r="G171" i="3"/>
  <c r="F171" i="3"/>
  <c r="E171" i="3"/>
  <c r="D171" i="3"/>
  <c r="I170" i="3"/>
  <c r="H170" i="3"/>
  <c r="G170" i="3"/>
  <c r="F170" i="3"/>
  <c r="E170" i="3"/>
  <c r="D170" i="3"/>
  <c r="I169" i="3"/>
  <c r="H169" i="3"/>
  <c r="G169" i="3"/>
  <c r="F169" i="3"/>
  <c r="E169" i="3"/>
  <c r="D169" i="3"/>
  <c r="I168" i="3"/>
  <c r="H168" i="3"/>
  <c r="G168" i="3"/>
  <c r="F168" i="3"/>
  <c r="E168" i="3"/>
  <c r="D168" i="3"/>
  <c r="I167" i="3"/>
  <c r="H167" i="3"/>
  <c r="G167" i="3"/>
  <c r="F167" i="3"/>
  <c r="E167" i="3"/>
  <c r="D167" i="3"/>
  <c r="I166" i="3"/>
  <c r="H166" i="3"/>
  <c r="G166" i="3"/>
  <c r="F166" i="3"/>
  <c r="E166" i="3"/>
  <c r="D166" i="3"/>
  <c r="I165" i="3"/>
  <c r="H165" i="3"/>
  <c r="G165" i="3"/>
  <c r="F165" i="3"/>
  <c r="E165" i="3"/>
  <c r="D165" i="3"/>
  <c r="I164" i="3"/>
  <c r="H164" i="3"/>
  <c r="G164" i="3"/>
  <c r="F164" i="3"/>
  <c r="E164" i="3"/>
  <c r="D164" i="3"/>
  <c r="I163" i="3"/>
  <c r="H163" i="3"/>
  <c r="G163" i="3"/>
  <c r="F163" i="3"/>
  <c r="E163" i="3"/>
  <c r="D163" i="3"/>
  <c r="I162" i="3"/>
  <c r="H162" i="3"/>
  <c r="G162" i="3"/>
  <c r="F162" i="3"/>
  <c r="E162" i="3"/>
  <c r="D162" i="3"/>
  <c r="I161" i="3"/>
  <c r="H161" i="3"/>
  <c r="G161" i="3"/>
  <c r="F161" i="3"/>
  <c r="E161" i="3"/>
  <c r="D161" i="3"/>
  <c r="I160" i="3"/>
  <c r="H160" i="3"/>
  <c r="G160" i="3"/>
  <c r="F160" i="3"/>
  <c r="E160" i="3"/>
  <c r="D160" i="3"/>
  <c r="I159" i="3"/>
  <c r="H159" i="3"/>
  <c r="G159" i="3"/>
  <c r="F159" i="3"/>
  <c r="E159" i="3"/>
  <c r="D159" i="3"/>
  <c r="I158" i="3"/>
  <c r="H158" i="3"/>
  <c r="G158" i="3"/>
  <c r="F158" i="3"/>
  <c r="E158" i="3"/>
  <c r="D158" i="3"/>
  <c r="I157" i="3"/>
  <c r="H157" i="3"/>
  <c r="G157" i="3"/>
  <c r="F157" i="3"/>
  <c r="E157" i="3"/>
  <c r="D157" i="3"/>
  <c r="I156" i="3"/>
  <c r="H156" i="3"/>
  <c r="G156" i="3"/>
  <c r="F156" i="3"/>
  <c r="E156" i="3"/>
  <c r="D156" i="3"/>
  <c r="I155" i="3"/>
  <c r="H155" i="3"/>
  <c r="G155" i="3"/>
  <c r="F155" i="3"/>
  <c r="E155" i="3"/>
  <c r="D155" i="3"/>
  <c r="I154" i="3"/>
  <c r="H154" i="3"/>
  <c r="G154" i="3"/>
  <c r="F154" i="3"/>
  <c r="E154" i="3"/>
  <c r="D154" i="3"/>
  <c r="I153" i="3"/>
  <c r="H153" i="3"/>
  <c r="G153" i="3"/>
  <c r="F153" i="3"/>
  <c r="E153" i="3"/>
  <c r="D153" i="3"/>
  <c r="I152" i="3"/>
  <c r="H152" i="3"/>
  <c r="G152" i="3"/>
  <c r="F152" i="3"/>
  <c r="E152" i="3"/>
  <c r="D152" i="3"/>
  <c r="I151" i="3"/>
  <c r="H151" i="3"/>
  <c r="G151" i="3"/>
  <c r="F151" i="3"/>
  <c r="E151" i="3"/>
  <c r="D151" i="3"/>
  <c r="I150" i="3"/>
  <c r="H150" i="3"/>
  <c r="G150" i="3"/>
  <c r="F150" i="3"/>
  <c r="E150" i="3"/>
  <c r="D150" i="3"/>
  <c r="I149" i="3"/>
  <c r="H149" i="3"/>
  <c r="G149" i="3"/>
  <c r="F149" i="3"/>
  <c r="E149" i="3"/>
  <c r="D149" i="3"/>
  <c r="I148" i="3"/>
  <c r="H148" i="3"/>
  <c r="G148" i="3"/>
  <c r="F148" i="3"/>
  <c r="E148" i="3"/>
  <c r="D148" i="3"/>
  <c r="I147" i="3"/>
  <c r="H147" i="3"/>
  <c r="G147" i="3"/>
  <c r="F147" i="3"/>
  <c r="E147" i="3"/>
  <c r="D147" i="3"/>
  <c r="I146" i="3"/>
  <c r="H146" i="3"/>
  <c r="G146" i="3"/>
  <c r="F146" i="3"/>
  <c r="E146" i="3"/>
  <c r="D146" i="3"/>
  <c r="I145" i="3"/>
  <c r="H145" i="3"/>
  <c r="G145" i="3"/>
  <c r="F145" i="3"/>
  <c r="E145" i="3"/>
  <c r="D145" i="3"/>
  <c r="I144" i="3"/>
  <c r="H144" i="3"/>
  <c r="G144" i="3"/>
  <c r="F144" i="3"/>
  <c r="E144" i="3"/>
  <c r="D144" i="3"/>
  <c r="I143" i="3"/>
  <c r="H143" i="3"/>
  <c r="G143" i="3"/>
  <c r="F143" i="3"/>
  <c r="E143" i="3"/>
  <c r="D143" i="3"/>
  <c r="I142" i="3"/>
  <c r="H142" i="3"/>
  <c r="G142" i="3"/>
  <c r="F142" i="3"/>
  <c r="E142" i="3"/>
  <c r="D142" i="3"/>
  <c r="I141" i="3"/>
  <c r="H141" i="3"/>
  <c r="G141" i="3"/>
  <c r="F141" i="3"/>
  <c r="E141" i="3"/>
  <c r="D141" i="3"/>
  <c r="I140" i="3"/>
  <c r="H140" i="3"/>
  <c r="G140" i="3"/>
  <c r="F140" i="3"/>
  <c r="E140" i="3"/>
  <c r="D140" i="3"/>
  <c r="I139" i="3"/>
  <c r="H139" i="3"/>
  <c r="G139" i="3"/>
  <c r="F139" i="3"/>
  <c r="E139" i="3"/>
  <c r="D139" i="3"/>
  <c r="I138" i="3"/>
  <c r="H138" i="3"/>
  <c r="G138" i="3"/>
  <c r="F138" i="3"/>
  <c r="E138" i="3"/>
  <c r="D138" i="3"/>
  <c r="I137" i="3"/>
  <c r="H137" i="3"/>
  <c r="G137" i="3"/>
  <c r="F137" i="3"/>
  <c r="E137" i="3"/>
  <c r="D137" i="3"/>
  <c r="I136" i="3"/>
  <c r="H136" i="3"/>
  <c r="G136" i="3"/>
  <c r="F136" i="3"/>
  <c r="E136" i="3"/>
  <c r="D136" i="3"/>
  <c r="I135" i="3"/>
  <c r="H135" i="3"/>
  <c r="G135" i="3"/>
  <c r="F135" i="3"/>
  <c r="E135" i="3"/>
  <c r="D135" i="3"/>
  <c r="I134" i="3"/>
  <c r="H134" i="3"/>
  <c r="G134" i="3"/>
  <c r="F134" i="3"/>
  <c r="E134" i="3"/>
  <c r="D134" i="3"/>
  <c r="I133" i="3"/>
  <c r="H133" i="3"/>
  <c r="G133" i="3"/>
  <c r="F133" i="3"/>
  <c r="E133" i="3"/>
  <c r="D133" i="3"/>
  <c r="I132" i="3"/>
  <c r="H132" i="3"/>
  <c r="G132" i="3"/>
  <c r="F132" i="3"/>
  <c r="E132" i="3"/>
  <c r="D132" i="3"/>
  <c r="I131" i="3"/>
  <c r="H131" i="3"/>
  <c r="G131" i="3"/>
  <c r="F131" i="3"/>
  <c r="E131" i="3"/>
  <c r="D131" i="3"/>
  <c r="I130" i="3"/>
  <c r="H130" i="3"/>
  <c r="G130" i="3"/>
  <c r="F130" i="3"/>
  <c r="E130" i="3"/>
  <c r="D130" i="3"/>
  <c r="I129" i="3"/>
  <c r="H129" i="3"/>
  <c r="G129" i="3"/>
  <c r="F129" i="3"/>
  <c r="E129" i="3"/>
  <c r="D129" i="3"/>
  <c r="I128" i="3"/>
  <c r="H128" i="3"/>
  <c r="G128" i="3"/>
  <c r="F128" i="3"/>
  <c r="E128" i="3"/>
  <c r="D128" i="3"/>
  <c r="I127" i="3"/>
  <c r="H127" i="3"/>
  <c r="G127" i="3"/>
  <c r="F127" i="3"/>
  <c r="E127" i="3"/>
  <c r="D127" i="3"/>
  <c r="I126" i="3"/>
  <c r="H126" i="3"/>
  <c r="G126" i="3"/>
  <c r="F126" i="3"/>
  <c r="E126" i="3"/>
  <c r="D126" i="3"/>
  <c r="I125" i="3"/>
  <c r="H125" i="3"/>
  <c r="G125" i="3"/>
  <c r="F125" i="3"/>
  <c r="E125" i="3"/>
  <c r="D125" i="3"/>
  <c r="I124" i="3"/>
  <c r="H124" i="3"/>
  <c r="G124" i="3"/>
  <c r="F124" i="3"/>
  <c r="E124" i="3"/>
  <c r="D124" i="3"/>
  <c r="I123" i="3"/>
  <c r="H123" i="3"/>
  <c r="G123" i="3"/>
  <c r="F123" i="3"/>
  <c r="E123" i="3"/>
  <c r="D123" i="3"/>
  <c r="I122" i="3"/>
  <c r="H122" i="3"/>
  <c r="G122" i="3"/>
  <c r="F122" i="3"/>
  <c r="E122" i="3"/>
  <c r="D122" i="3"/>
  <c r="I121" i="3"/>
  <c r="H121" i="3"/>
  <c r="G121" i="3"/>
  <c r="F121" i="3"/>
  <c r="E121" i="3"/>
  <c r="D121" i="3"/>
  <c r="I120" i="3"/>
  <c r="H120" i="3"/>
  <c r="G120" i="3"/>
  <c r="F120" i="3"/>
  <c r="E120" i="3"/>
  <c r="D120" i="3"/>
  <c r="I119" i="3"/>
  <c r="H119" i="3"/>
  <c r="G119" i="3"/>
  <c r="F119" i="3"/>
  <c r="E119" i="3"/>
  <c r="D119" i="3"/>
  <c r="I118" i="3"/>
  <c r="H118" i="3"/>
  <c r="G118" i="3"/>
  <c r="F118" i="3"/>
  <c r="E118" i="3"/>
  <c r="D118" i="3"/>
  <c r="I117" i="3"/>
  <c r="H117" i="3"/>
  <c r="G117" i="3"/>
  <c r="F117" i="3"/>
  <c r="E117" i="3"/>
  <c r="D117" i="3"/>
  <c r="I116" i="3"/>
  <c r="H116" i="3"/>
  <c r="G116" i="3"/>
  <c r="F116" i="3"/>
  <c r="E116" i="3"/>
  <c r="D116" i="3"/>
  <c r="I115" i="3"/>
  <c r="H115" i="3"/>
  <c r="G115" i="3"/>
  <c r="F115" i="3"/>
  <c r="E115" i="3"/>
  <c r="D115" i="3"/>
  <c r="I114" i="3"/>
  <c r="H114" i="3"/>
  <c r="G114" i="3"/>
  <c r="F114" i="3"/>
  <c r="E114" i="3"/>
  <c r="D114" i="3"/>
  <c r="I113" i="3"/>
  <c r="H113" i="3"/>
  <c r="G113" i="3"/>
  <c r="F113" i="3"/>
  <c r="E113" i="3"/>
  <c r="D113" i="3"/>
  <c r="I112" i="3"/>
  <c r="H112" i="3"/>
  <c r="G112" i="3"/>
  <c r="F112" i="3"/>
  <c r="E112" i="3"/>
  <c r="D112" i="3"/>
  <c r="I111" i="3"/>
  <c r="H111" i="3"/>
  <c r="G111" i="3"/>
  <c r="F111" i="3"/>
  <c r="E111" i="3"/>
  <c r="D111" i="3"/>
  <c r="I110" i="3"/>
  <c r="H110" i="3"/>
  <c r="G110" i="3"/>
  <c r="F110" i="3"/>
  <c r="E110" i="3"/>
  <c r="D110" i="3"/>
  <c r="I109" i="3"/>
  <c r="H109" i="3"/>
  <c r="G109" i="3"/>
  <c r="F109" i="3"/>
  <c r="E109" i="3"/>
  <c r="D109" i="3"/>
  <c r="I108" i="3"/>
  <c r="H108" i="3"/>
  <c r="G108" i="3"/>
  <c r="F108" i="3"/>
  <c r="E108" i="3"/>
  <c r="D108" i="3"/>
  <c r="I107" i="3"/>
  <c r="H107" i="3"/>
  <c r="G107" i="3"/>
  <c r="F107" i="3"/>
  <c r="E107" i="3"/>
  <c r="D107" i="3"/>
  <c r="I106" i="3"/>
  <c r="H106" i="3"/>
  <c r="G106" i="3"/>
  <c r="F106" i="3"/>
  <c r="E106" i="3"/>
  <c r="D106" i="3"/>
  <c r="I105" i="3"/>
  <c r="H105" i="3"/>
  <c r="G105" i="3"/>
  <c r="F105" i="3"/>
  <c r="E105" i="3"/>
  <c r="D105" i="3"/>
  <c r="I104" i="3"/>
  <c r="H104" i="3"/>
  <c r="G104" i="3"/>
  <c r="F104" i="3"/>
  <c r="E104" i="3"/>
  <c r="D104" i="3"/>
  <c r="I103" i="3"/>
  <c r="H103" i="3"/>
  <c r="G103" i="3"/>
  <c r="F103" i="3"/>
  <c r="E103" i="3"/>
  <c r="D103" i="3"/>
  <c r="I102" i="3"/>
  <c r="H102" i="3"/>
  <c r="G102" i="3"/>
  <c r="F102" i="3"/>
  <c r="E102" i="3"/>
  <c r="D102" i="3"/>
  <c r="I101" i="3"/>
  <c r="H101" i="3"/>
  <c r="G101" i="3"/>
  <c r="F101" i="3"/>
  <c r="E101" i="3"/>
  <c r="D101" i="3"/>
  <c r="I100" i="3"/>
  <c r="H100" i="3"/>
  <c r="G100" i="3"/>
  <c r="F100" i="3"/>
  <c r="E100" i="3"/>
  <c r="D100" i="3"/>
  <c r="I99" i="3"/>
  <c r="H99" i="3"/>
  <c r="G99" i="3"/>
  <c r="F99" i="3"/>
  <c r="E99" i="3"/>
  <c r="D99" i="3"/>
  <c r="I98" i="3"/>
  <c r="H98" i="3"/>
  <c r="G98" i="3"/>
  <c r="F98" i="3"/>
  <c r="E98" i="3"/>
  <c r="D98" i="3"/>
  <c r="I97" i="3"/>
  <c r="H97" i="3"/>
  <c r="G97" i="3"/>
  <c r="F97" i="3"/>
  <c r="E97" i="3"/>
  <c r="D97" i="3"/>
  <c r="I96" i="3"/>
  <c r="H96" i="3"/>
  <c r="G96" i="3"/>
  <c r="F96" i="3"/>
  <c r="E96" i="3"/>
  <c r="D96" i="3"/>
  <c r="I95" i="3"/>
  <c r="H95" i="3"/>
  <c r="G95" i="3"/>
  <c r="F95" i="3"/>
  <c r="E95" i="3"/>
  <c r="D95" i="3"/>
  <c r="I94" i="3"/>
  <c r="H94" i="3"/>
  <c r="G94" i="3"/>
  <c r="F94" i="3"/>
  <c r="E94" i="3"/>
  <c r="D94" i="3"/>
  <c r="I93" i="3"/>
  <c r="H93" i="3"/>
  <c r="G93" i="3"/>
  <c r="F93" i="3"/>
  <c r="E93" i="3"/>
  <c r="D93" i="3"/>
  <c r="I92" i="3"/>
  <c r="H92" i="3"/>
  <c r="G92" i="3"/>
  <c r="F92" i="3"/>
  <c r="E92" i="3"/>
  <c r="D92" i="3"/>
  <c r="I91" i="3"/>
  <c r="H91" i="3"/>
  <c r="G91" i="3"/>
  <c r="F91" i="3"/>
  <c r="E91" i="3"/>
  <c r="D91" i="3"/>
  <c r="I90" i="3"/>
  <c r="H90" i="3"/>
  <c r="G90" i="3"/>
  <c r="F90" i="3"/>
  <c r="E90" i="3"/>
  <c r="D90" i="3"/>
  <c r="I89" i="3"/>
  <c r="H89" i="3"/>
  <c r="G89" i="3"/>
  <c r="F89" i="3"/>
  <c r="E89" i="3"/>
  <c r="D89" i="3"/>
  <c r="I88" i="3"/>
  <c r="H88" i="3"/>
  <c r="G88" i="3"/>
  <c r="F88" i="3"/>
  <c r="E88" i="3"/>
  <c r="D88" i="3"/>
  <c r="I87" i="3"/>
  <c r="H87" i="3"/>
  <c r="G87" i="3"/>
  <c r="F87" i="3"/>
  <c r="E87" i="3"/>
  <c r="D87" i="3"/>
  <c r="I86" i="3"/>
  <c r="H86" i="3"/>
  <c r="G86" i="3"/>
  <c r="F86" i="3"/>
  <c r="E86" i="3"/>
  <c r="D86" i="3"/>
  <c r="I85" i="3"/>
  <c r="H85" i="3"/>
  <c r="G85" i="3"/>
  <c r="F85" i="3"/>
  <c r="E85" i="3"/>
  <c r="D85" i="3"/>
  <c r="I84" i="3"/>
  <c r="H84" i="3"/>
  <c r="G84" i="3"/>
  <c r="F84" i="3"/>
  <c r="E84" i="3"/>
  <c r="D84" i="3"/>
  <c r="I83" i="3"/>
  <c r="H83" i="3"/>
  <c r="G83" i="3"/>
  <c r="F83" i="3"/>
  <c r="E83" i="3"/>
  <c r="D83" i="3"/>
  <c r="I82" i="3"/>
  <c r="H82" i="3"/>
  <c r="G82" i="3"/>
  <c r="F82" i="3"/>
  <c r="E82" i="3"/>
  <c r="D82" i="3"/>
  <c r="I81" i="3"/>
  <c r="H81" i="3"/>
  <c r="G81" i="3"/>
  <c r="F81" i="3"/>
  <c r="E81" i="3"/>
  <c r="D81" i="3"/>
  <c r="I80" i="3"/>
  <c r="H80" i="3"/>
  <c r="G80" i="3"/>
  <c r="F80" i="3"/>
  <c r="E80" i="3"/>
  <c r="D80" i="3"/>
  <c r="I79" i="3"/>
  <c r="H79" i="3"/>
  <c r="G79" i="3"/>
  <c r="F79" i="3"/>
  <c r="E79" i="3"/>
  <c r="D79" i="3"/>
  <c r="I78" i="3"/>
  <c r="H78" i="3"/>
  <c r="G78" i="3"/>
  <c r="F78" i="3"/>
  <c r="E78" i="3"/>
  <c r="D78" i="3"/>
  <c r="I77" i="3"/>
  <c r="H77" i="3"/>
  <c r="G77" i="3"/>
  <c r="F77" i="3"/>
  <c r="E77" i="3"/>
  <c r="D77" i="3"/>
  <c r="I76" i="3"/>
  <c r="H76" i="3"/>
  <c r="G76" i="3"/>
  <c r="F76" i="3"/>
  <c r="E76" i="3"/>
  <c r="D76" i="3"/>
  <c r="I75" i="3"/>
  <c r="H75" i="3"/>
  <c r="G75" i="3"/>
  <c r="F75" i="3"/>
  <c r="E75" i="3"/>
  <c r="D75" i="3"/>
  <c r="I74" i="3"/>
  <c r="H74" i="3"/>
  <c r="G74" i="3"/>
  <c r="F74" i="3"/>
  <c r="E74" i="3"/>
  <c r="D74" i="3"/>
  <c r="I73" i="3"/>
  <c r="H73" i="3"/>
  <c r="G73" i="3"/>
  <c r="F73" i="3"/>
  <c r="E73" i="3"/>
  <c r="D73" i="3"/>
  <c r="I72" i="3"/>
  <c r="H72" i="3"/>
  <c r="G72" i="3"/>
  <c r="F72" i="3"/>
  <c r="E72" i="3"/>
  <c r="D72" i="3"/>
  <c r="I71" i="3"/>
  <c r="H71" i="3"/>
  <c r="G71" i="3"/>
  <c r="F71" i="3"/>
  <c r="E71" i="3"/>
  <c r="D71" i="3"/>
  <c r="I70" i="3"/>
  <c r="H70" i="3"/>
  <c r="G70" i="3"/>
  <c r="F70" i="3"/>
  <c r="E70" i="3"/>
  <c r="D70" i="3"/>
  <c r="I69" i="3"/>
  <c r="H69" i="3"/>
  <c r="G69" i="3"/>
  <c r="F69" i="3"/>
  <c r="E69" i="3"/>
  <c r="D69" i="3"/>
  <c r="I68" i="3"/>
  <c r="H68" i="3"/>
  <c r="G68" i="3"/>
  <c r="F68" i="3"/>
  <c r="E68" i="3"/>
  <c r="D68" i="3"/>
  <c r="I67" i="3"/>
  <c r="H67" i="3"/>
  <c r="G67" i="3"/>
  <c r="F67" i="3"/>
  <c r="E67" i="3"/>
  <c r="D67" i="3"/>
  <c r="I66" i="3"/>
  <c r="H66" i="3"/>
  <c r="G66" i="3"/>
  <c r="F66" i="3"/>
  <c r="E66" i="3"/>
  <c r="D66" i="3"/>
  <c r="I65" i="3"/>
  <c r="H65" i="3"/>
  <c r="G65" i="3"/>
  <c r="F65" i="3"/>
  <c r="E65" i="3"/>
  <c r="D65" i="3"/>
  <c r="I64" i="3"/>
  <c r="H64" i="3"/>
  <c r="G64" i="3"/>
  <c r="F64" i="3"/>
  <c r="E64" i="3"/>
  <c r="D64" i="3"/>
  <c r="I63" i="3"/>
  <c r="H63" i="3"/>
  <c r="G63" i="3"/>
  <c r="F63" i="3"/>
  <c r="E63" i="3"/>
  <c r="D63" i="3"/>
  <c r="I62" i="3"/>
  <c r="H62" i="3"/>
  <c r="G62" i="3"/>
  <c r="F62" i="3"/>
  <c r="E62" i="3"/>
  <c r="D62" i="3"/>
  <c r="I61" i="3"/>
  <c r="H61" i="3"/>
  <c r="G61" i="3"/>
  <c r="F61" i="3"/>
  <c r="E61" i="3"/>
  <c r="D61" i="3"/>
  <c r="I60" i="3"/>
  <c r="H60" i="3"/>
  <c r="G60" i="3"/>
  <c r="F60" i="3"/>
  <c r="E60" i="3"/>
  <c r="D60" i="3"/>
  <c r="I59" i="3"/>
  <c r="H59" i="3"/>
  <c r="G59" i="3"/>
  <c r="F59" i="3"/>
  <c r="E59" i="3"/>
  <c r="D59" i="3"/>
  <c r="I58" i="3"/>
  <c r="H58" i="3"/>
  <c r="G58" i="3"/>
  <c r="F58" i="3"/>
  <c r="E58" i="3"/>
  <c r="D58" i="3"/>
  <c r="I57" i="3"/>
  <c r="H57" i="3"/>
  <c r="G57" i="3"/>
  <c r="F57" i="3"/>
  <c r="E57" i="3"/>
  <c r="D57" i="3"/>
  <c r="I56" i="3"/>
  <c r="H56" i="3"/>
  <c r="G56" i="3"/>
  <c r="F56" i="3"/>
  <c r="E56" i="3"/>
  <c r="D56" i="3"/>
  <c r="I55" i="3"/>
  <c r="H55" i="3"/>
  <c r="G55" i="3"/>
  <c r="F55" i="3"/>
  <c r="E55" i="3"/>
  <c r="D55" i="3"/>
  <c r="I54" i="3"/>
  <c r="H54" i="3"/>
  <c r="G54" i="3"/>
  <c r="F54" i="3"/>
  <c r="E54" i="3"/>
  <c r="D54" i="3"/>
  <c r="I53" i="3"/>
  <c r="H53" i="3"/>
  <c r="G53" i="3"/>
  <c r="F53" i="3"/>
  <c r="E53" i="3"/>
  <c r="D53" i="3"/>
  <c r="I52" i="3"/>
  <c r="H52" i="3"/>
  <c r="G52" i="3"/>
  <c r="F52" i="3"/>
  <c r="E52" i="3"/>
  <c r="D52" i="3"/>
  <c r="I51" i="3"/>
  <c r="H51" i="3"/>
  <c r="G51" i="3"/>
  <c r="F51" i="3"/>
  <c r="E51" i="3"/>
  <c r="D51" i="3"/>
  <c r="I50" i="3"/>
  <c r="H50" i="3"/>
  <c r="G50" i="3"/>
  <c r="F50" i="3"/>
  <c r="E50" i="3"/>
  <c r="D50" i="3"/>
  <c r="I49" i="3"/>
  <c r="H49" i="3"/>
  <c r="G49" i="3"/>
  <c r="F49" i="3"/>
  <c r="E49" i="3"/>
  <c r="D49" i="3"/>
  <c r="I48" i="3"/>
  <c r="H48" i="3"/>
  <c r="G48" i="3"/>
  <c r="F48" i="3"/>
  <c r="E48" i="3"/>
  <c r="D48" i="3"/>
  <c r="I47" i="3"/>
  <c r="H47" i="3"/>
  <c r="G47" i="3"/>
  <c r="F47" i="3"/>
  <c r="E47" i="3"/>
  <c r="D47" i="3"/>
  <c r="I46" i="3"/>
  <c r="H46" i="3"/>
  <c r="G46" i="3"/>
  <c r="F46" i="3"/>
  <c r="E46" i="3"/>
  <c r="D46" i="3"/>
  <c r="I45" i="3"/>
  <c r="H45" i="3"/>
  <c r="G45" i="3"/>
  <c r="F45" i="3"/>
  <c r="E45" i="3"/>
  <c r="D45" i="3"/>
  <c r="I44" i="3"/>
  <c r="H44" i="3"/>
  <c r="G44" i="3"/>
  <c r="F44" i="3"/>
  <c r="E44" i="3"/>
  <c r="D44" i="3"/>
  <c r="I43" i="3"/>
  <c r="H43" i="3"/>
  <c r="G43" i="3"/>
  <c r="F43" i="3"/>
  <c r="E43" i="3"/>
  <c r="D43" i="3"/>
  <c r="I42" i="3"/>
  <c r="H42" i="3"/>
  <c r="G42" i="3"/>
  <c r="F42" i="3"/>
  <c r="E42" i="3"/>
  <c r="D42" i="3"/>
  <c r="I41" i="3"/>
  <c r="H41" i="3"/>
  <c r="G41" i="3"/>
  <c r="F41" i="3"/>
  <c r="E41" i="3"/>
  <c r="D41" i="3"/>
  <c r="I40" i="3"/>
  <c r="H40" i="3"/>
  <c r="G40" i="3"/>
  <c r="F40" i="3"/>
  <c r="E40" i="3"/>
  <c r="D40" i="3"/>
  <c r="I39" i="3"/>
  <c r="H39" i="3"/>
  <c r="G39" i="3"/>
  <c r="F39" i="3"/>
  <c r="E39" i="3"/>
  <c r="D39" i="3"/>
  <c r="I38" i="3"/>
  <c r="H38" i="3"/>
  <c r="G38" i="3"/>
  <c r="F38" i="3"/>
  <c r="E38" i="3"/>
  <c r="D38" i="3"/>
  <c r="I37" i="3"/>
  <c r="H37" i="3"/>
  <c r="G37" i="3"/>
  <c r="F37" i="3"/>
  <c r="E37" i="3"/>
  <c r="D37" i="3"/>
  <c r="I36" i="3"/>
  <c r="H36" i="3"/>
  <c r="G36" i="3"/>
  <c r="F36" i="3"/>
  <c r="E36" i="3"/>
  <c r="D36" i="3"/>
  <c r="I35" i="3"/>
  <c r="H35" i="3"/>
  <c r="G35" i="3"/>
  <c r="F35" i="3"/>
  <c r="E35" i="3"/>
  <c r="D35" i="3"/>
  <c r="I34" i="3"/>
  <c r="H34" i="3"/>
  <c r="G34" i="3"/>
  <c r="F34" i="3"/>
  <c r="E34" i="3"/>
  <c r="D34" i="3"/>
  <c r="I33" i="3"/>
  <c r="H33" i="3"/>
  <c r="G33" i="3"/>
  <c r="F33" i="3"/>
  <c r="E33" i="3"/>
  <c r="D33" i="3"/>
  <c r="I32" i="3"/>
  <c r="H32" i="3"/>
  <c r="G32" i="3"/>
  <c r="F32" i="3"/>
  <c r="E32" i="3"/>
  <c r="D32" i="3"/>
  <c r="I31" i="3"/>
  <c r="H31" i="3"/>
  <c r="G31" i="3"/>
  <c r="F31" i="3"/>
  <c r="E31" i="3"/>
  <c r="D31" i="3"/>
  <c r="I30" i="3"/>
  <c r="H30" i="3"/>
  <c r="G30" i="3"/>
  <c r="F30" i="3"/>
  <c r="E30" i="3"/>
  <c r="D30" i="3"/>
  <c r="I29" i="3"/>
  <c r="H29" i="3"/>
  <c r="G29" i="3"/>
  <c r="F29" i="3"/>
  <c r="E29" i="3"/>
  <c r="D29" i="3"/>
  <c r="I28" i="3"/>
  <c r="H28" i="3"/>
  <c r="G28" i="3"/>
  <c r="F28" i="3"/>
  <c r="E28" i="3"/>
  <c r="D28" i="3"/>
  <c r="I27" i="3"/>
  <c r="H27" i="3"/>
  <c r="G27" i="3"/>
  <c r="F27" i="3"/>
  <c r="E27" i="3"/>
  <c r="D27" i="3"/>
  <c r="I26" i="3"/>
  <c r="H26" i="3"/>
  <c r="G26" i="3"/>
  <c r="F26" i="3"/>
  <c r="E26" i="3"/>
  <c r="D26" i="3"/>
  <c r="I25" i="3"/>
  <c r="H25" i="3"/>
  <c r="G25" i="3"/>
  <c r="F25" i="3"/>
  <c r="E25" i="3"/>
  <c r="D25" i="3"/>
  <c r="I24" i="3"/>
  <c r="H24" i="3"/>
  <c r="G24" i="3"/>
  <c r="F24" i="3"/>
  <c r="E24" i="3"/>
  <c r="D24" i="3"/>
  <c r="I23" i="3"/>
  <c r="H23" i="3"/>
  <c r="G23" i="3"/>
  <c r="F23" i="3"/>
  <c r="E23" i="3"/>
  <c r="D23" i="3"/>
  <c r="I22" i="3"/>
  <c r="H22" i="3"/>
  <c r="G22" i="3"/>
  <c r="F22" i="3"/>
  <c r="E22" i="3"/>
  <c r="D22" i="3"/>
  <c r="I21" i="3"/>
  <c r="H21" i="3"/>
  <c r="G21" i="3"/>
  <c r="F21" i="3"/>
  <c r="E21" i="3"/>
  <c r="D21" i="3"/>
  <c r="I20" i="3"/>
  <c r="H20" i="3"/>
  <c r="G20" i="3"/>
  <c r="F20" i="3"/>
  <c r="E20" i="3"/>
  <c r="D20" i="3"/>
  <c r="I19" i="3"/>
  <c r="H19" i="3"/>
  <c r="G19" i="3"/>
  <c r="F19" i="3"/>
  <c r="E19" i="3"/>
  <c r="D19" i="3"/>
  <c r="I18" i="3"/>
  <c r="H18" i="3"/>
  <c r="G18" i="3"/>
  <c r="F18" i="3"/>
  <c r="E18" i="3"/>
  <c r="D18" i="3"/>
  <c r="I17" i="3"/>
  <c r="H17" i="3"/>
  <c r="G17" i="3"/>
  <c r="F17" i="3"/>
  <c r="E17" i="3"/>
  <c r="D17" i="3"/>
  <c r="I16" i="3"/>
  <c r="H16" i="3"/>
  <c r="G16" i="3"/>
  <c r="F16" i="3"/>
  <c r="E16" i="3"/>
  <c r="D16" i="3"/>
  <c r="I15" i="3"/>
  <c r="H15" i="3"/>
  <c r="G15" i="3"/>
  <c r="F15" i="3"/>
  <c r="E15" i="3"/>
  <c r="D15" i="3"/>
  <c r="I14" i="3"/>
  <c r="H14" i="3"/>
  <c r="G14" i="3"/>
  <c r="F14" i="3"/>
  <c r="E14" i="3"/>
  <c r="D14" i="3"/>
  <c r="I13" i="3"/>
  <c r="H13" i="3"/>
  <c r="G13" i="3"/>
  <c r="F13" i="3"/>
  <c r="E13" i="3"/>
  <c r="D13" i="3"/>
  <c r="I12" i="3"/>
  <c r="H12" i="3"/>
  <c r="G12" i="3"/>
  <c r="F12" i="3"/>
  <c r="E12" i="3"/>
  <c r="D12" i="3"/>
  <c r="I11" i="3"/>
  <c r="H11" i="3"/>
  <c r="G11" i="3"/>
  <c r="F11" i="3"/>
  <c r="E11" i="3"/>
  <c r="D11" i="3"/>
  <c r="I10" i="3"/>
  <c r="H10" i="3"/>
  <c r="G10" i="3"/>
  <c r="F10" i="3"/>
  <c r="E10" i="3"/>
  <c r="D10" i="3"/>
  <c r="I9" i="3"/>
  <c r="H9" i="3"/>
  <c r="G9" i="3"/>
  <c r="F9" i="3"/>
  <c r="E9" i="3"/>
  <c r="D9" i="3"/>
  <c r="I8" i="3"/>
  <c r="H8" i="3"/>
  <c r="G8" i="3"/>
  <c r="F8" i="3"/>
  <c r="E8" i="3"/>
  <c r="D8" i="3"/>
  <c r="I7" i="3"/>
  <c r="H7" i="3"/>
  <c r="G7" i="3"/>
  <c r="F7" i="3"/>
  <c r="E7" i="3"/>
  <c r="D7" i="3"/>
  <c r="I6" i="3"/>
  <c r="H6" i="3"/>
  <c r="G6" i="3"/>
  <c r="F6" i="3"/>
  <c r="E6" i="3"/>
  <c r="D6" i="3"/>
  <c r="I447" i="3" l="1"/>
  <c r="I458" i="3" l="1"/>
</calcChain>
</file>

<file path=xl/sharedStrings.xml><?xml version="1.0" encoding="utf-8"?>
<sst xmlns="http://schemas.openxmlformats.org/spreadsheetml/2006/main" count="115" uniqueCount="56">
  <si>
    <t>REKAPITULASI TAGIHAN KARTU KREDIT KORPORAT BANK BNI UNTUK SPPD PERIODE JATUH TEMPO TANGGAL 11 OKTOBER 2025</t>
  </si>
  <si>
    <t>NOMOR KARTU 4365 - 8300 - 0014 - 9386</t>
  </si>
  <si>
    <t>No.</t>
  </si>
  <si>
    <t>Booking ID</t>
  </si>
  <si>
    <t>Name</t>
  </si>
  <si>
    <t>Personel Number</t>
  </si>
  <si>
    <t>Trip Number</t>
  </si>
  <si>
    <t>Trip Destination</t>
  </si>
  <si>
    <t>Trip Date</t>
  </si>
  <si>
    <t>Payment</t>
  </si>
  <si>
    <t>ANDI MUHAMMAD FAISAL TAMRIN</t>
  </si>
  <si>
    <t>Kab.Bone-KotaMakassar</t>
  </si>
  <si>
    <t>18/09/2025 - 19/09/2025</t>
  </si>
  <si>
    <t>A</t>
  </si>
  <si>
    <t>B</t>
  </si>
  <si>
    <t>C</t>
  </si>
  <si>
    <t>BIAYA PAYMENT VIA TRANSFER</t>
  </si>
  <si>
    <t>D</t>
  </si>
  <si>
    <t>IURAN TAHUNAN</t>
  </si>
  <si>
    <t>E</t>
  </si>
  <si>
    <t>BIAYA ADM &amp; BUNGA</t>
  </si>
  <si>
    <t>TOTAL (A-B+C+D)</t>
  </si>
  <si>
    <t>NOMOR KARTU 4365 - 8300 - 0014-5657</t>
  </si>
  <si>
    <t xml:space="preserve">ARJINOFALTIN </t>
  </si>
  <si>
    <t>Kota Makassar - Kab. Kolaka Utara</t>
  </si>
  <si>
    <t>25/08/2025 - 28/08/2025</t>
  </si>
  <si>
    <t>ASDARIA</t>
  </si>
  <si>
    <t>Kota Makassar - Kota Baubau</t>
  </si>
  <si>
    <t>27/08/2025 - 30/08/2025</t>
  </si>
  <si>
    <t>TOTAL (A-B+C+D+E)</t>
  </si>
  <si>
    <t>REKAPITULASI TAGIHAN KARTU KREDIT KORPORAT BANK BNI UNTUK SPPD PERIODE JATUH TEMPO TANGGAL 9 SEPTEMBER 2025</t>
  </si>
  <si>
    <t>RACHMAT NUR</t>
  </si>
  <si>
    <t>Kota Makassar - Jakarta Selatan</t>
  </si>
  <si>
    <t>19/08/2025 - 20/08/2025</t>
  </si>
  <si>
    <t>JULYANZAH PERDANA PUTRA</t>
  </si>
  <si>
    <t>Kota Makassar - Kota Bogor</t>
  </si>
  <si>
    <t>18/08/2025 - 22/08/2025</t>
  </si>
  <si>
    <t>ANDI BASO MAKKARAKA</t>
  </si>
  <si>
    <t>Kab. Luwu Timur - Kab. Luwu Timur</t>
  </si>
  <si>
    <t>19/08/2025 - 23/08/2025</t>
  </si>
  <si>
    <t>AGUS PUTRA ABBAS</t>
  </si>
  <si>
    <t>Kota Makassar - Kab. Luwu Timur</t>
  </si>
  <si>
    <t>AGUS HARI WIBOWO</t>
  </si>
  <si>
    <t>Kota Makassar - Kota Palopo</t>
  </si>
  <si>
    <t>AHMAD AMIRUL SYARIF</t>
  </si>
  <si>
    <t>Kota Makassar - Jakarta Pusat</t>
  </si>
  <si>
    <t>19/08/2025 - 21/08/2025</t>
  </si>
  <si>
    <t>M LUKMAN HAKIM</t>
  </si>
  <si>
    <t>Kota Makassar - Kota Semarang</t>
  </si>
  <si>
    <t>20/08/2025 - 23/08/2025</t>
  </si>
  <si>
    <t>MUHAMMAD SUSGANDINATA</t>
  </si>
  <si>
    <t>ANDHIKA PRANANDA</t>
  </si>
  <si>
    <t>INRIANI WARDANI</t>
  </si>
  <si>
    <t>18/08/2025 - 20/08/2025</t>
  </si>
  <si>
    <t>TOTAL (A-B+C)</t>
  </si>
  <si>
    <t>REKAPITULASI TAGIHAN KARTU KREDIT KORPORAT BANK BNI UNTUK SPPD PERIODE JATUH TEMPO TANGGAL 9 Agustus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</si>
</sst>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,000_);[Red]\(#,000\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6"/>
      <name val="Calibri"/>
      <family val="2"/>
    </font>
    <font>
      <sz val="11"/>
      <color rgb="FF000000"/>
      <name val="Calibri"/>
      <family val="2"/>
      <charset val="204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2" fillId="0" borderId="0"/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/>
    <xf numFmtId="0" fontId="6" fillId="0" borderId="0"/>
    <xf numFmtId="0" fontId="5" fillId="0" borderId="0"/>
    <xf numFmtId="43" fontId="6" fillId="0" borderId="0" applyFont="0" applyFill="0" applyBorder="0" applyAlignment="0" applyProtection="0"/>
    <xf numFmtId="0" fontId="1" fillId="0" borderId="0"/>
    <xf numFmtId="43" fontId="2" fillId="0" borderId="0" applyFont="0" applyFill="0" applyBorder="0" applyAlignment="0" applyProtection="0"/>
  </cellStyleXfs>
  <cellXfs count="57">
    <xf numFmtId="0" fontId="0" fillId="0" borderId="0" xfId="0"/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164" fontId="3" fillId="0" borderId="0" xfId="2" applyNumberFormat="1" applyFont="1" applyBorder="1" applyAlignment="1">
      <alignment horizontal="center" vertical="center"/>
    </xf>
    <xf numFmtId="0" fontId="3" fillId="0" borderId="0" xfId="1" applyFont="1"/>
    <xf numFmtId="0" fontId="3" fillId="0" borderId="0" xfId="1" applyFont="1" applyAlignment="1">
      <alignment horizontal="center"/>
    </xf>
    <xf numFmtId="164" fontId="3" fillId="0" borderId="0" xfId="2" applyNumberFormat="1" applyFont="1" applyBorder="1" applyAlignment="1"/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164" fontId="3" fillId="0" borderId="1" xfId="3" applyNumberFormat="1" applyFont="1" applyFill="1" applyBorder="1" applyAlignment="1">
      <alignment horizontal="center" vertical="center"/>
    </xf>
    <xf numFmtId="1" fontId="6" fillId="0" borderId="1" xfId="4" applyNumberFormat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164" fontId="3" fillId="0" borderId="1" xfId="3" applyNumberFormat="1" applyFont="1" applyBorder="1" applyAlignment="1">
      <alignment horizontal="left" vertical="center"/>
    </xf>
    <xf numFmtId="3" fontId="7" fillId="0" borderId="0" xfId="4" applyNumberFormat="1" applyFont="1" applyAlignment="1">
      <alignment horizontal="right" vertical="top"/>
    </xf>
    <xf numFmtId="165" fontId="7" fillId="0" borderId="0" xfId="4" applyNumberFormat="1" applyFont="1" applyAlignment="1">
      <alignment horizontal="right" vertical="top"/>
    </xf>
    <xf numFmtId="1" fontId="6" fillId="0" borderId="1" xfId="4" applyNumberFormat="1" applyBorder="1" applyAlignment="1">
      <alignment horizontal="center" vertical="center" wrapText="1"/>
    </xf>
    <xf numFmtId="165" fontId="7" fillId="0" borderId="0" xfId="4" applyNumberFormat="1" applyFont="1" applyAlignment="1">
      <alignment horizontal="right" vertical="top" wrapText="1"/>
    </xf>
    <xf numFmtId="1" fontId="7" fillId="0" borderId="1" xfId="4" applyNumberFormat="1" applyFont="1" applyBorder="1" applyAlignment="1">
      <alignment horizontal="center" vertical="center" wrapText="1"/>
    </xf>
    <xf numFmtId="165" fontId="7" fillId="0" borderId="0" xfId="4" applyNumberFormat="1" applyFont="1" applyAlignment="1">
      <alignment horizontal="left" vertical="top"/>
    </xf>
    <xf numFmtId="165" fontId="7" fillId="0" borderId="0" xfId="4" applyNumberFormat="1" applyFont="1" applyAlignment="1">
      <alignment horizontal="left" vertical="top" wrapText="1"/>
    </xf>
    <xf numFmtId="165" fontId="7" fillId="0" borderId="0" xfId="4" applyNumberFormat="1" applyFont="1" applyAlignment="1">
      <alignment vertical="top" wrapText="1"/>
    </xf>
    <xf numFmtId="165" fontId="7" fillId="0" borderId="0" xfId="4" applyNumberFormat="1" applyFont="1" applyAlignment="1">
      <alignment vertical="top"/>
    </xf>
    <xf numFmtId="1" fontId="2" fillId="0" borderId="1" xfId="4" applyNumberFormat="1" applyFont="1" applyBorder="1" applyAlignment="1">
      <alignment horizontal="center" vertical="center" wrapText="1"/>
    </xf>
    <xf numFmtId="0" fontId="2" fillId="0" borderId="1" xfId="1" applyBorder="1" applyAlignment="1">
      <alignment horizontal="left" vertical="center"/>
    </xf>
    <xf numFmtId="0" fontId="2" fillId="0" borderId="1" xfId="5" applyFont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2" fillId="0" borderId="1" xfId="5" applyFont="1" applyBorder="1"/>
    <xf numFmtId="164" fontId="2" fillId="0" borderId="1" xfId="3" applyNumberFormat="1" applyFont="1" applyBorder="1" applyAlignment="1">
      <alignment horizontal="left" vertical="center"/>
    </xf>
    <xf numFmtId="14" fontId="2" fillId="0" borderId="1" xfId="5" applyNumberFormat="1" applyFont="1" applyBorder="1" applyAlignment="1">
      <alignment horizontal="left"/>
    </xf>
    <xf numFmtId="14" fontId="2" fillId="0" borderId="1" xfId="1" applyNumberFormat="1" applyBorder="1" applyAlignment="1">
      <alignment horizontal="left" vertical="center"/>
    </xf>
    <xf numFmtId="14" fontId="2" fillId="0" borderId="1" xfId="5" applyNumberFormat="1" applyFont="1" applyBorder="1"/>
    <xf numFmtId="164" fontId="3" fillId="0" borderId="1" xfId="3" applyNumberFormat="1" applyFont="1" applyFill="1" applyBorder="1" applyAlignment="1" applyProtection="1">
      <alignment horizontal="left" vertical="center"/>
    </xf>
    <xf numFmtId="0" fontId="8" fillId="0" borderId="1" xfId="1" applyFont="1" applyBorder="1" applyAlignment="1">
      <alignment horizontal="right" vertical="top"/>
    </xf>
    <xf numFmtId="0" fontId="3" fillId="0" borderId="1" xfId="1" applyFont="1" applyBorder="1" applyAlignment="1">
      <alignment horizontal="right" vertical="center"/>
    </xf>
    <xf numFmtId="0" fontId="8" fillId="0" borderId="1" xfId="1" applyFont="1" applyBorder="1" applyAlignment="1">
      <alignment horizontal="right" vertical="center"/>
    </xf>
    <xf numFmtId="164" fontId="8" fillId="2" borderId="1" xfId="3" applyNumberFormat="1" applyFont="1" applyFill="1" applyBorder="1" applyAlignment="1">
      <alignment horizontal="right" vertical="center"/>
    </xf>
    <xf numFmtId="164" fontId="3" fillId="0" borderId="0" xfId="6" applyNumberFormat="1" applyFont="1" applyBorder="1" applyAlignment="1">
      <alignment horizontal="right"/>
    </xf>
    <xf numFmtId="3" fontId="7" fillId="0" borderId="0" xfId="4" applyNumberFormat="1" applyFont="1" applyAlignment="1">
      <alignment horizontal="left" vertical="top"/>
    </xf>
    <xf numFmtId="0" fontId="8" fillId="0" borderId="1" xfId="1" applyFont="1" applyBorder="1" applyAlignment="1">
      <alignment horizontal="right" vertical="center"/>
    </xf>
    <xf numFmtId="164" fontId="8" fillId="3" borderId="1" xfId="3" applyNumberFormat="1" applyFont="1" applyFill="1" applyBorder="1" applyAlignment="1">
      <alignment horizontal="right" vertical="center"/>
    </xf>
    <xf numFmtId="164" fontId="3" fillId="0" borderId="0" xfId="1" applyNumberFormat="1" applyFont="1"/>
    <xf numFmtId="0" fontId="8" fillId="0" borderId="2" xfId="1" applyFont="1" applyBorder="1" applyAlignment="1">
      <alignment horizontal="right" vertical="center"/>
    </xf>
    <xf numFmtId="0" fontId="8" fillId="0" borderId="3" xfId="1" applyFont="1" applyBorder="1" applyAlignment="1">
      <alignment horizontal="right" vertical="center"/>
    </xf>
    <xf numFmtId="0" fontId="8" fillId="0" borderId="4" xfId="1" applyFont="1" applyBorder="1" applyAlignment="1">
      <alignment horizontal="right" vertical="center"/>
    </xf>
    <xf numFmtId="164" fontId="8" fillId="4" borderId="1" xfId="3" applyNumberFormat="1" applyFont="1" applyFill="1" applyBorder="1" applyAlignment="1">
      <alignment horizontal="right" vertical="center"/>
    </xf>
    <xf numFmtId="164" fontId="3" fillId="0" borderId="0" xfId="8" applyNumberFormat="1" applyFont="1"/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 wrapText="1"/>
    </xf>
    <xf numFmtId="164" fontId="3" fillId="0" borderId="0" xfId="3" applyNumberFormat="1" applyFont="1" applyBorder="1" applyAlignment="1">
      <alignment vertical="center"/>
    </xf>
    <xf numFmtId="1" fontId="9" fillId="0" borderId="1" xfId="4" applyNumberFormat="1" applyFont="1" applyBorder="1" applyAlignment="1">
      <alignment horizontal="center" vertical="center"/>
    </xf>
    <xf numFmtId="0" fontId="10" fillId="0" borderId="1" xfId="5" applyFont="1" applyBorder="1" applyAlignment="1">
      <alignment horizontal="center" vertical="center"/>
    </xf>
    <xf numFmtId="0" fontId="10" fillId="0" borderId="1" xfId="5" applyFont="1" applyBorder="1" applyAlignment="1">
      <alignment horizontal="center" vertical="center" wrapText="1"/>
    </xf>
    <xf numFmtId="1" fontId="6" fillId="0" borderId="1" xfId="4" applyNumberFormat="1" applyBorder="1" applyAlignment="1">
      <alignment horizontal="center" vertical="top"/>
    </xf>
    <xf numFmtId="0" fontId="3" fillId="5" borderId="1" xfId="1" applyFont="1" applyFill="1" applyBorder="1" applyAlignment="1">
      <alignment horizontal="center" vertical="center"/>
    </xf>
    <xf numFmtId="1" fontId="6" fillId="0" borderId="1" xfId="4" applyNumberFormat="1" applyBorder="1" applyAlignment="1">
      <alignment horizontal="center" vertical="top" wrapText="1"/>
    </xf>
  </cellXfs>
  <cellStyles count="9">
    <cellStyle name="Comma 2" xfId="2" xr:uid="{ECA4FB2D-5BAB-4B4A-9B42-5A399509E78A}"/>
    <cellStyle name="Comma 2 2" xfId="6" xr:uid="{DD646E15-792C-43EB-9390-BD31D971FB00}"/>
    <cellStyle name="Comma 2 2 2" xfId="8" xr:uid="{E0D9F142-829D-4F19-BF12-9ECED8EE9F14}"/>
    <cellStyle name="Comma 3" xfId="3" xr:uid="{F9E55701-9606-44DC-B547-976BEE5506BA}"/>
    <cellStyle name="Normal" xfId="0" builtinId="0"/>
    <cellStyle name="Normal 2" xfId="5" xr:uid="{FA82C60B-6DB2-4EDB-87C4-0B94EC8EB219}"/>
    <cellStyle name="Normal 2 2" xfId="1" xr:uid="{31BC11D8-EF5C-46A7-93BB-6378F6E04086}"/>
    <cellStyle name="Normal 2 3" xfId="4" xr:uid="{10FA07AD-F8EB-4264-872B-5ECE55736901}"/>
    <cellStyle name="Normal 3" xfId="7" xr:uid="{8F2755F8-D52F-4CDE-8706-36B80144BE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1268747</xdr:colOff>
      <xdr:row>458</xdr:row>
      <xdr:rowOff>182672</xdr:rowOff>
    </xdr:from>
    <xdr:to>
      <xdr:col>8</xdr:col>
      <xdr:colOff>639857</xdr:colOff>
      <xdr:row>459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A40C861-C8ED-4BC2-948D-B4575B1D1345}"/>
            </a:ext>
          </a:extLst>
        </xdr:cNvPr>
        <xdr:cNvSpPr/>
      </xdr:nvSpPr>
      <xdr:spPr>
        <a:xfrm>
          <a:off x="8583947" y="80735597"/>
          <a:ext cx="5686185" cy="176290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Menyetujui</a:t>
          </a:r>
          <a:endParaRPr lang="en-US" sz="1200" baseline="0">
            <a:solidFill>
              <a:schemeClr val="tx1"/>
            </a:solidFill>
          </a:endParaRPr>
        </a:p>
        <a:p>
          <a:pPr algn="ctr"/>
          <a:r>
            <a:rPr lang="en-US" sz="1200" baseline="0">
              <a:solidFill>
                <a:schemeClr val="tx1"/>
              </a:solidFill>
            </a:rPr>
            <a:t>Penanggung Jawab SPPD</a:t>
          </a:r>
        </a:p>
        <a:p>
          <a:pPr algn="ctr"/>
          <a:r>
            <a:rPr lang="en-US" sz="1200" baseline="0">
              <a:solidFill>
                <a:schemeClr val="tx1"/>
              </a:solidFill>
            </a:rPr>
            <a:t>MSB ASET PROPERTI DAN UMUM</a:t>
          </a:r>
        </a:p>
        <a:p>
          <a:pPr algn="ctr"/>
          <a:endParaRPr lang="en-US" sz="1200" baseline="0">
            <a:solidFill>
              <a:schemeClr val="tx1"/>
            </a:solidFill>
          </a:endParaRPr>
        </a:p>
        <a:p>
          <a:pPr algn="ctr"/>
          <a:endParaRPr lang="en-US" sz="1200" baseline="0">
            <a:solidFill>
              <a:schemeClr val="tx1"/>
            </a:solidFill>
          </a:endParaRPr>
        </a:p>
        <a:p>
          <a:pPr algn="ctr"/>
          <a:endParaRPr lang="en-US" sz="1200" baseline="0">
            <a:solidFill>
              <a:schemeClr val="tx1"/>
            </a:solidFill>
          </a:endParaRPr>
        </a:p>
        <a:p>
          <a:pPr algn="ctr"/>
          <a:endParaRPr lang="en-US" sz="1200" baseline="0">
            <a:solidFill>
              <a:schemeClr val="tx1"/>
            </a:solidFill>
          </a:endParaRPr>
        </a:p>
        <a:p>
          <a:pPr algn="ctr"/>
          <a:r>
            <a:rPr lang="en-US" sz="1200">
              <a:solidFill>
                <a:schemeClr val="tx1"/>
              </a:solidFill>
            </a:rPr>
            <a:t>EKA MAYASARI RACHMAN</a:t>
          </a:r>
        </a:p>
      </xdr:txBody>
    </xdr:sp>
    <xdr:clientData/>
  </xdr:twoCellAnchor>
  <xdr:twoCellAnchor>
    <xdr:from>
      <xdr:col>2</xdr:col>
      <xdr:colOff>871220</xdr:colOff>
      <xdr:row>458</xdr:row>
      <xdr:rowOff>181610</xdr:rowOff>
    </xdr:from>
    <xdr:to>
      <xdr:col>4</xdr:col>
      <xdr:colOff>95250</xdr:colOff>
      <xdr:row>459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46D0398-A720-4E1F-B06D-3A5FEE72971C}"/>
            </a:ext>
          </a:extLst>
        </xdr:cNvPr>
        <xdr:cNvSpPr/>
      </xdr:nvSpPr>
      <xdr:spPr>
        <a:xfrm>
          <a:off x="1995170" y="80734535"/>
          <a:ext cx="3215005" cy="183959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Mengetahui</a:t>
          </a:r>
          <a:endParaRPr lang="en-US" sz="1200" baseline="0">
            <a:solidFill>
              <a:schemeClr val="tx1"/>
            </a:solidFill>
          </a:endParaRPr>
        </a:p>
        <a:p>
          <a:pPr algn="ctr"/>
          <a:r>
            <a:rPr lang="en-US" sz="1200" baseline="0">
              <a:solidFill>
                <a:schemeClr val="tx1"/>
              </a:solidFill>
            </a:rPr>
            <a:t>SENIOR MANAGER KEUANGAN, KOMUNIKASI </a:t>
          </a:r>
        </a:p>
        <a:p>
          <a:pPr algn="ctr"/>
          <a:r>
            <a:rPr lang="en-US" sz="1200" baseline="0">
              <a:solidFill>
                <a:schemeClr val="tx1"/>
              </a:solidFill>
            </a:rPr>
            <a:t>DAN UMUM</a:t>
          </a:r>
        </a:p>
        <a:p>
          <a:pPr algn="ctr"/>
          <a:endParaRPr lang="en-US" sz="1200" baseline="0">
            <a:solidFill>
              <a:schemeClr val="tx1"/>
            </a:solidFill>
          </a:endParaRPr>
        </a:p>
        <a:p>
          <a:pPr algn="ctr"/>
          <a:endParaRPr lang="en-US" sz="1200" baseline="0">
            <a:solidFill>
              <a:schemeClr val="tx1"/>
            </a:solidFill>
          </a:endParaRPr>
        </a:p>
        <a:p>
          <a:pPr algn="ctr"/>
          <a:endParaRPr lang="en-US" sz="1200" baseline="0">
            <a:solidFill>
              <a:schemeClr val="tx1"/>
            </a:solidFill>
          </a:endParaRPr>
        </a:p>
        <a:p>
          <a:pPr algn="ctr"/>
          <a:endParaRPr lang="en-US" sz="1200" baseline="0">
            <a:solidFill>
              <a:schemeClr val="tx1"/>
            </a:solidFill>
          </a:endParaRPr>
        </a:p>
        <a:p>
          <a:pPr algn="ctr"/>
          <a:r>
            <a:rPr lang="en-US" sz="1200">
              <a:solidFill>
                <a:schemeClr val="tx1"/>
              </a:solidFill>
            </a:rPr>
            <a:t>AMBO</a:t>
          </a:r>
          <a:r>
            <a:rPr lang="en-US" sz="1200" baseline="0">
              <a:solidFill>
                <a:schemeClr val="tx1"/>
              </a:solidFill>
            </a:rPr>
            <a:t> TUWO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1268747</xdr:colOff>
      <xdr:row>467</xdr:row>
      <xdr:rowOff>182672</xdr:rowOff>
    </xdr:from>
    <xdr:to>
      <xdr:col>8</xdr:col>
      <xdr:colOff>639857</xdr:colOff>
      <xdr:row>468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CC32FD9-42C4-445B-9BB0-37CE81079F49}"/>
            </a:ext>
          </a:extLst>
        </xdr:cNvPr>
        <xdr:cNvSpPr/>
      </xdr:nvSpPr>
      <xdr:spPr>
        <a:xfrm>
          <a:off x="8583947" y="55351472"/>
          <a:ext cx="3876435" cy="176290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Menyetujui</a:t>
          </a:r>
          <a:endParaRPr lang="en-US" sz="1200" baseline="0">
            <a:solidFill>
              <a:schemeClr val="tx1"/>
            </a:solidFill>
          </a:endParaRPr>
        </a:p>
        <a:p>
          <a:pPr algn="ctr"/>
          <a:r>
            <a:rPr lang="en-US" sz="1200" baseline="0">
              <a:solidFill>
                <a:schemeClr val="tx1"/>
              </a:solidFill>
            </a:rPr>
            <a:t>Penanggung Jawab SPPD</a:t>
          </a:r>
        </a:p>
        <a:p>
          <a:pPr algn="ctr"/>
          <a:r>
            <a:rPr lang="en-US" sz="1200" baseline="0">
              <a:solidFill>
                <a:schemeClr val="tx1"/>
              </a:solidFill>
            </a:rPr>
            <a:t>MSB ASET PROPERTI DAN UMUM</a:t>
          </a:r>
        </a:p>
        <a:p>
          <a:pPr algn="ctr"/>
          <a:endParaRPr lang="en-US" sz="1200" baseline="0">
            <a:solidFill>
              <a:schemeClr val="tx1"/>
            </a:solidFill>
          </a:endParaRPr>
        </a:p>
        <a:p>
          <a:pPr algn="ctr"/>
          <a:endParaRPr lang="en-US" sz="1200" baseline="0">
            <a:solidFill>
              <a:schemeClr val="tx1"/>
            </a:solidFill>
          </a:endParaRPr>
        </a:p>
        <a:p>
          <a:pPr algn="ctr"/>
          <a:endParaRPr lang="en-US" sz="1200" baseline="0">
            <a:solidFill>
              <a:schemeClr val="tx1"/>
            </a:solidFill>
          </a:endParaRPr>
        </a:p>
        <a:p>
          <a:pPr algn="ctr"/>
          <a:endParaRPr lang="en-US" sz="1200" baseline="0">
            <a:solidFill>
              <a:schemeClr val="tx1"/>
            </a:solidFill>
          </a:endParaRPr>
        </a:p>
        <a:p>
          <a:pPr algn="ctr"/>
          <a:r>
            <a:rPr lang="en-US" sz="1200">
              <a:solidFill>
                <a:schemeClr val="tx1"/>
              </a:solidFill>
            </a:rPr>
            <a:t>EKA MAYASARI RACHMAN</a:t>
          </a:r>
        </a:p>
      </xdr:txBody>
    </xdr:sp>
    <xdr:clientData/>
  </xdr:twoCellAnchor>
  <xdr:twoCellAnchor>
    <xdr:from>
      <xdr:col>2</xdr:col>
      <xdr:colOff>871220</xdr:colOff>
      <xdr:row>467</xdr:row>
      <xdr:rowOff>181610</xdr:rowOff>
    </xdr:from>
    <xdr:to>
      <xdr:col>4</xdr:col>
      <xdr:colOff>95250</xdr:colOff>
      <xdr:row>468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C1A15BE-18A5-42DC-AC9B-979B34385F94}"/>
            </a:ext>
          </a:extLst>
        </xdr:cNvPr>
        <xdr:cNvSpPr/>
      </xdr:nvSpPr>
      <xdr:spPr>
        <a:xfrm>
          <a:off x="1995170" y="55350410"/>
          <a:ext cx="3215005" cy="183959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Mengetahui</a:t>
          </a:r>
          <a:endParaRPr lang="en-US" sz="1200" baseline="0">
            <a:solidFill>
              <a:schemeClr val="tx1"/>
            </a:solidFill>
          </a:endParaRPr>
        </a:p>
        <a:p>
          <a:pPr algn="ctr"/>
          <a:r>
            <a:rPr lang="en-US" sz="1200" baseline="0">
              <a:solidFill>
                <a:schemeClr val="tx1"/>
              </a:solidFill>
            </a:rPr>
            <a:t>SENIOR MANAGER KEUANGAN, KOMUNIKASI </a:t>
          </a:r>
        </a:p>
        <a:p>
          <a:pPr algn="ctr"/>
          <a:r>
            <a:rPr lang="en-US" sz="1200" baseline="0">
              <a:solidFill>
                <a:schemeClr val="tx1"/>
              </a:solidFill>
            </a:rPr>
            <a:t>DAN UMUM</a:t>
          </a:r>
        </a:p>
        <a:p>
          <a:pPr algn="ctr"/>
          <a:endParaRPr lang="en-US" sz="1200" baseline="0">
            <a:solidFill>
              <a:schemeClr val="tx1"/>
            </a:solidFill>
          </a:endParaRPr>
        </a:p>
        <a:p>
          <a:pPr algn="ctr"/>
          <a:endParaRPr lang="en-US" sz="1200" baseline="0">
            <a:solidFill>
              <a:schemeClr val="tx1"/>
            </a:solidFill>
          </a:endParaRPr>
        </a:p>
        <a:p>
          <a:pPr algn="ctr"/>
          <a:endParaRPr lang="en-US" sz="1200" baseline="0">
            <a:solidFill>
              <a:schemeClr val="tx1"/>
            </a:solidFill>
          </a:endParaRPr>
        </a:p>
        <a:p>
          <a:pPr algn="ctr"/>
          <a:endParaRPr lang="en-US" sz="1200" baseline="0">
            <a:solidFill>
              <a:schemeClr val="tx1"/>
            </a:solidFill>
          </a:endParaRPr>
        </a:p>
        <a:p>
          <a:pPr algn="ctr"/>
          <a:r>
            <a:rPr lang="en-US" sz="1200">
              <a:solidFill>
                <a:schemeClr val="tx1"/>
              </a:solidFill>
            </a:rPr>
            <a:t>AMBO</a:t>
          </a:r>
          <a:r>
            <a:rPr lang="en-US" sz="1200" baseline="0">
              <a:solidFill>
                <a:schemeClr val="tx1"/>
              </a:solidFill>
            </a:rPr>
            <a:t> TUWO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PPD\invoice%20cc%20bni\September%202025\ebillingcp092025-9386.xlsx" TargetMode="External"/><Relationship Id="rId1" Type="http://schemas.openxmlformats.org/officeDocument/2006/relationships/externalLinkPath" Target="September%202025/ebillingcp092025-938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PPD\invoice%20cc%20bni\September%202025\ebillingcp092025-5657.xlsx" TargetMode="External"/><Relationship Id="rId1" Type="http://schemas.openxmlformats.org/officeDocument/2006/relationships/externalLinkPath" Target="September%202025/ebillingcp092025-565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PPD\invoice%20cc%20bni\Agustus%202025\Rekapitulasi%20Tagihan%20CC%20Agustus%202025.xlsx" TargetMode="External"/><Relationship Id="rId1" Type="http://schemas.openxmlformats.org/officeDocument/2006/relationships/externalLinkPath" Target="Agustus%202025/Rekapitulasi%20Tagihan%20CC%20Agustus%202025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%20s%20e%20r\Downloads\ebillingcp072025.xlsx" TargetMode="External"/><Relationship Id="rId1" Type="http://schemas.openxmlformats.org/officeDocument/2006/relationships/externalLinkPath" Target="file:///C:\Users\U%20s%20e%20r\Downloads\ebillingcp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ge 2"/>
      <sheetName val="page 3"/>
      <sheetName val="page 4"/>
      <sheetName val="page 5"/>
      <sheetName val="page 6"/>
      <sheetName val="page 7"/>
      <sheetName val="page 8"/>
      <sheetName val="page 9"/>
      <sheetName val="Invoice"/>
      <sheetName val="report"/>
      <sheetName val="Rekapitula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>
            <v>1285721968</v>
          </cell>
          <cell r="B2" t="str">
            <v>8108240Z</v>
          </cell>
          <cell r="C2" t="str">
            <v>ANDI FITHRI ZAKIAH MULYADI</v>
          </cell>
          <cell r="D2">
            <v>81087404</v>
          </cell>
          <cell r="E2">
            <v>4120177893</v>
          </cell>
          <cell r="F2">
            <v>54</v>
          </cell>
          <cell r="G2" t="str">
            <v>Perjalanan Dinas Non-Diklat</v>
          </cell>
          <cell r="H2" t="str">
            <v>Kota Makassar - Kab. Mamuju</v>
          </cell>
          <cell r="I2" t="str">
            <v>21/09/2025 - 24/09/2025</v>
          </cell>
          <cell r="J2">
            <v>4</v>
          </cell>
          <cell r="K2" t="str">
            <v>Flight One Way</v>
          </cell>
          <cell r="L2" t="str">
            <v>19-09-2025 16:44:58</v>
          </cell>
          <cell r="M2" t="str">
            <v>Batik Air Domestic UPG Hasanuddin ID-6788 - Batik Air  MJU Tampa Padang ID-6788</v>
          </cell>
          <cell r="N2" t="str">
            <v>SOF YAN GAN</v>
          </cell>
          <cell r="O2">
            <v>7411140</v>
          </cell>
          <cell r="P2" t="str">
            <v>21/09/2025 10:00:00 - 21/09/2025 10:55:00</v>
          </cell>
          <cell r="Q2">
            <v>873400</v>
          </cell>
        </row>
        <row r="3">
          <cell r="A3">
            <v>1285696078</v>
          </cell>
          <cell r="B3" t="str">
            <v>9717071FBY</v>
          </cell>
          <cell r="C3" t="str">
            <v>MUHAMMAD ANDRI LAODE</v>
          </cell>
          <cell r="D3">
            <v>97177618</v>
          </cell>
          <cell r="E3">
            <v>4120177878</v>
          </cell>
          <cell r="F3">
            <v>54</v>
          </cell>
          <cell r="G3" t="str">
            <v>Perjalanan Dinas Non-Diklat</v>
          </cell>
          <cell r="H3" t="str">
            <v>Kab. Bone - Kota Makassar - Kota Semarang</v>
          </cell>
          <cell r="I3" t="str">
            <v>19/09/2025 - 24/09/2025</v>
          </cell>
          <cell r="J3">
            <v>6</v>
          </cell>
          <cell r="K3" t="str">
            <v>Hotel</v>
          </cell>
          <cell r="L3" t="str">
            <v>19-09-2025 15:05:55</v>
          </cell>
          <cell r="M3" t="str">
            <v xml:space="preserve">Dalton Makassar - 3.0 Stars  - </v>
          </cell>
          <cell r="N3" t="str">
            <v>JTC PDKB</v>
          </cell>
          <cell r="O3">
            <v>7409231</v>
          </cell>
          <cell r="P3" t="str">
            <v>19/09/2025 14:00:00 - 20/09/2025 12:00:00</v>
          </cell>
          <cell r="Q3">
            <v>618644</v>
          </cell>
        </row>
        <row r="4">
          <cell r="A4">
            <v>1285587769</v>
          </cell>
          <cell r="B4" t="str">
            <v>9717071FBY</v>
          </cell>
          <cell r="C4" t="str">
            <v>MUHAMMAD ANDRI LAODE</v>
          </cell>
          <cell r="D4">
            <v>97177618</v>
          </cell>
          <cell r="E4">
            <v>4120177878</v>
          </cell>
          <cell r="F4">
            <v>54</v>
          </cell>
          <cell r="G4" t="str">
            <v>Perjalanan Dinas Non-Diklat</v>
          </cell>
          <cell r="H4" t="str">
            <v>Kab. Bone - Kota Makassar - Kota Semarang</v>
          </cell>
          <cell r="I4" t="str">
            <v>19/09/2025 - 24/09/2025</v>
          </cell>
          <cell r="J4">
            <v>6</v>
          </cell>
          <cell r="K4" t="str">
            <v>Flight One Way</v>
          </cell>
          <cell r="L4" t="str">
            <v>19-09-2025 07:31:19</v>
          </cell>
          <cell r="M4" t="str">
            <v>Garuda Indonesia Domestic UPG Hasanuddin GA-605 - Garuda Indonesia Domestic SRG Achmad Yani GA-605</v>
          </cell>
          <cell r="N4" t="str">
            <v>JTC PDKB</v>
          </cell>
          <cell r="O4">
            <v>7409231</v>
          </cell>
          <cell r="P4" t="str">
            <v>20/09/2025 10:55:00 - 20/09/2025 14:40:00</v>
          </cell>
          <cell r="Q4">
            <v>3485800</v>
          </cell>
        </row>
        <row r="5">
          <cell r="A5">
            <v>1285587001</v>
          </cell>
          <cell r="B5" t="str">
            <v>9817009FBY</v>
          </cell>
          <cell r="C5" t="str">
            <v>AKMAL FADIL</v>
          </cell>
          <cell r="D5">
            <v>98177603</v>
          </cell>
          <cell r="E5">
            <v>4120177858</v>
          </cell>
          <cell r="F5">
            <v>54</v>
          </cell>
          <cell r="G5" t="str">
            <v>Perjalanan Dinas Non-Diklat</v>
          </cell>
          <cell r="H5" t="str">
            <v>Kab. Bone - Kota Makassar - Kota Semarang</v>
          </cell>
          <cell r="I5" t="str">
            <v>19/09/2025 - 24/09/2025</v>
          </cell>
          <cell r="J5">
            <v>6</v>
          </cell>
          <cell r="K5" t="str">
            <v>Flight One Way</v>
          </cell>
          <cell r="L5" t="str">
            <v>19-09-2025 07:25:13</v>
          </cell>
          <cell r="M5" t="str">
            <v>Garuda Indonesia Domestic UPG Hasanuddin GA-605 - Garuda Indonesia Domestic SRG Achmad Yani GA-605</v>
          </cell>
          <cell r="N5" t="str">
            <v>JTC PDKB</v>
          </cell>
          <cell r="O5">
            <v>7409231</v>
          </cell>
          <cell r="P5" t="str">
            <v>20/09/2025 10:55:00 - 20/09/2025 14:40:00</v>
          </cell>
          <cell r="Q5">
            <v>3487800</v>
          </cell>
        </row>
        <row r="6">
          <cell r="A6">
            <v>1285702748</v>
          </cell>
          <cell r="B6" t="str">
            <v>9618015FBY</v>
          </cell>
          <cell r="C6" t="str">
            <v>ANDI FADLI</v>
          </cell>
          <cell r="D6">
            <v>96187616</v>
          </cell>
          <cell r="E6">
            <v>4120177862</v>
          </cell>
          <cell r="F6">
            <v>54</v>
          </cell>
          <cell r="G6" t="str">
            <v>Perjalanan Dinas Non-Diklat</v>
          </cell>
          <cell r="H6" t="str">
            <v>Kab. Bone - Kota Makassar - Kota Semarang</v>
          </cell>
          <cell r="I6" t="str">
            <v>19/09/2025 - 24/09/2025</v>
          </cell>
          <cell r="J6">
            <v>6</v>
          </cell>
          <cell r="K6" t="str">
            <v>Hotel</v>
          </cell>
          <cell r="L6" t="str">
            <v>19-09-2025 15:30:52</v>
          </cell>
          <cell r="M6" t="str">
            <v xml:space="preserve">Dalton Makassar - 3.0 Stars  - </v>
          </cell>
          <cell r="N6" t="str">
            <v>JTC PDKB</v>
          </cell>
          <cell r="O6">
            <v>7409231</v>
          </cell>
          <cell r="P6" t="str">
            <v>19/09/2025 14:00:00 - 20/09/2025 12:00:00</v>
          </cell>
          <cell r="Q6">
            <v>595000</v>
          </cell>
        </row>
        <row r="7">
          <cell r="A7">
            <v>1285587149</v>
          </cell>
          <cell r="B7" t="str">
            <v>9618015FBY</v>
          </cell>
          <cell r="C7" t="str">
            <v>ANDI FADLI</v>
          </cell>
          <cell r="D7">
            <v>96187616</v>
          </cell>
          <cell r="E7">
            <v>4120177862</v>
          </cell>
          <cell r="F7">
            <v>54</v>
          </cell>
          <cell r="G7" t="str">
            <v>Perjalanan Dinas Non-Diklat</v>
          </cell>
          <cell r="H7" t="str">
            <v>Kab. Bone - Kota Makassar - Kota Semarang</v>
          </cell>
          <cell r="I7" t="str">
            <v>19/09/2025 - 24/09/2025</v>
          </cell>
          <cell r="J7">
            <v>6</v>
          </cell>
          <cell r="K7" t="str">
            <v>Flight One Way</v>
          </cell>
          <cell r="L7" t="str">
            <v>19-09-2025 07:26:06</v>
          </cell>
          <cell r="M7" t="str">
            <v>Garuda Indonesia Domestic UPG Hasanuddin GA-605 - Garuda Indonesia Domestic SRG Achmad Yani GA-605</v>
          </cell>
          <cell r="N7" t="str">
            <v>JTC PDKB</v>
          </cell>
          <cell r="O7">
            <v>7409231</v>
          </cell>
          <cell r="P7" t="str">
            <v>20/09/2025 10:55:00 - 20/09/2025 14:40:00</v>
          </cell>
          <cell r="Q7">
            <v>3487800</v>
          </cell>
        </row>
        <row r="8">
          <cell r="A8">
            <v>1285586633</v>
          </cell>
          <cell r="B8" t="str">
            <v>9817016FBY</v>
          </cell>
          <cell r="C8" t="str">
            <v>ANDI ARLANGGA BUSPADI</v>
          </cell>
          <cell r="D8">
            <v>98177607</v>
          </cell>
          <cell r="E8">
            <v>4120177860</v>
          </cell>
          <cell r="F8">
            <v>54</v>
          </cell>
          <cell r="G8" t="str">
            <v>Perjalanan Dinas Non-Diklat</v>
          </cell>
          <cell r="H8" t="str">
            <v>Kab. Bone - Kota Makassar - Kota Semarang</v>
          </cell>
          <cell r="I8" t="str">
            <v>19/09/2025 - 24/09/2025</v>
          </cell>
          <cell r="J8">
            <v>6</v>
          </cell>
          <cell r="K8" t="str">
            <v>Flight One Way</v>
          </cell>
          <cell r="L8" t="str">
            <v>19-09-2025 07:22:11</v>
          </cell>
          <cell r="M8" t="str">
            <v>Garuda Indonesia Domestic UPG Hasanuddin GA-605 - Garuda Indonesia Domestic SRG Achmad Yani GA-605</v>
          </cell>
          <cell r="N8" t="str">
            <v>JTC PDKB</v>
          </cell>
          <cell r="O8">
            <v>7409231</v>
          </cell>
          <cell r="P8" t="str">
            <v>20/09/2025 10:55:00 - 20/09/2025 16:55:00</v>
          </cell>
          <cell r="Q8">
            <v>3487800</v>
          </cell>
        </row>
        <row r="9">
          <cell r="A9">
            <v>1285722038</v>
          </cell>
          <cell r="B9" t="str">
            <v>9817016FBY</v>
          </cell>
          <cell r="C9" t="str">
            <v>ANDI ARLANGGA BUSPADI</v>
          </cell>
          <cell r="D9">
            <v>98177607</v>
          </cell>
          <cell r="E9">
            <v>4120177860</v>
          </cell>
          <cell r="F9">
            <v>54</v>
          </cell>
          <cell r="G9" t="str">
            <v>Perjalanan Dinas Non-Diklat</v>
          </cell>
          <cell r="H9" t="str">
            <v>Kab. Bone - Kota Makassar - Kota Semarang</v>
          </cell>
          <cell r="I9" t="str">
            <v>19/09/2025 - 24/09/2025</v>
          </cell>
          <cell r="J9">
            <v>6</v>
          </cell>
          <cell r="K9" t="str">
            <v>Hotel</v>
          </cell>
          <cell r="L9" t="str">
            <v>19-09-2025 16:45:18</v>
          </cell>
          <cell r="M9" t="str">
            <v xml:space="preserve">Dalton Makassar - 3.0 Stars  - </v>
          </cell>
          <cell r="N9" t="str">
            <v>JTC PDKB</v>
          </cell>
          <cell r="O9">
            <v>7409231</v>
          </cell>
          <cell r="P9" t="str">
            <v>19/09/2025 14:00:00 - 20/09/2025 12:00:00</v>
          </cell>
          <cell r="Q9">
            <v>618644</v>
          </cell>
        </row>
        <row r="10">
          <cell r="A10">
            <v>1285706086</v>
          </cell>
          <cell r="B10" t="str">
            <v>9212073FY</v>
          </cell>
          <cell r="C10" t="str">
            <v>ALIM BAMULY</v>
          </cell>
          <cell r="D10">
            <v>92127630</v>
          </cell>
          <cell r="E10">
            <v>4120177857</v>
          </cell>
          <cell r="F10">
            <v>54</v>
          </cell>
          <cell r="G10" t="str">
            <v>Perjalanan Dinas Non-Diklat</v>
          </cell>
          <cell r="H10" t="str">
            <v>Kab. Bone - Kota Makassar - Kota Semarang</v>
          </cell>
          <cell r="I10" t="str">
            <v>19/09/2025 - 24/09/2025</v>
          </cell>
          <cell r="J10">
            <v>6</v>
          </cell>
          <cell r="K10" t="str">
            <v>Hotel</v>
          </cell>
          <cell r="L10" t="str">
            <v>19-09-2025 15:43:30</v>
          </cell>
          <cell r="M10" t="str">
            <v xml:space="preserve">Dalton Makassar - 3.0 Stars  - </v>
          </cell>
          <cell r="N10" t="str">
            <v>TC PDKB</v>
          </cell>
          <cell r="O10">
            <v>7409231</v>
          </cell>
          <cell r="P10" t="str">
            <v>19/09/2025 14:00:00 - 20/09/2025 12:00:00</v>
          </cell>
          <cell r="Q10">
            <v>618644</v>
          </cell>
        </row>
        <row r="11">
          <cell r="A11">
            <v>1285587495</v>
          </cell>
          <cell r="B11" t="str">
            <v>9212073FY</v>
          </cell>
          <cell r="C11" t="str">
            <v>ALIM BAMULY</v>
          </cell>
          <cell r="D11">
            <v>92127630</v>
          </cell>
          <cell r="E11">
            <v>4120177857</v>
          </cell>
          <cell r="F11">
            <v>54</v>
          </cell>
          <cell r="G11" t="str">
            <v>Perjalanan Dinas Non-Diklat</v>
          </cell>
          <cell r="H11" t="str">
            <v>Kab. Bone - Kota Makassar - Kota Semarang</v>
          </cell>
          <cell r="I11" t="str">
            <v>19/09/2025 - 24/09/2025</v>
          </cell>
          <cell r="J11">
            <v>6</v>
          </cell>
          <cell r="K11" t="str">
            <v>Flight One Way</v>
          </cell>
          <cell r="L11" t="str">
            <v>19-09-2025 07:28:42</v>
          </cell>
          <cell r="M11" t="str">
            <v>Garuda Indonesia Domestic UPG Hasanuddin GA-605 - Garuda Indonesia Domestic SRG Achmad Yani GA-605</v>
          </cell>
          <cell r="N11" t="str">
            <v>TC PDKB</v>
          </cell>
          <cell r="O11">
            <v>7409231</v>
          </cell>
          <cell r="P11" t="str">
            <v>20/09/2025 10:55:00 - 20/09/2025 14:40:00</v>
          </cell>
          <cell r="Q11">
            <v>3485800</v>
          </cell>
        </row>
        <row r="12">
          <cell r="A12">
            <v>1285590724</v>
          </cell>
          <cell r="B12" t="str">
            <v>9718076FBY</v>
          </cell>
          <cell r="C12" t="str">
            <v>ANDI ASNAM IRFAN</v>
          </cell>
          <cell r="D12">
            <v>97187628</v>
          </cell>
          <cell r="E12">
            <v>4120177859</v>
          </cell>
          <cell r="F12">
            <v>54</v>
          </cell>
          <cell r="G12" t="str">
            <v>Perjalanan Dinas Non-Diklat</v>
          </cell>
          <cell r="H12" t="str">
            <v>Kab. Bone - Kota Makassar - Kota Semarang</v>
          </cell>
          <cell r="I12" t="str">
            <v>19/09/2025 - 24/09/2025</v>
          </cell>
          <cell r="J12">
            <v>6</v>
          </cell>
          <cell r="K12" t="str">
            <v>Flight One Way</v>
          </cell>
          <cell r="L12" t="str">
            <v>19-09-2025 07:51:54</v>
          </cell>
          <cell r="M12" t="str">
            <v>Garuda Indonesia Domestic UPG Hasanuddin GA-605 - Garuda Indonesia Domestic SRG Achmad Yani GA-605</v>
          </cell>
          <cell r="N12" t="str">
            <v>JTC PDKB</v>
          </cell>
          <cell r="O12">
            <v>7409231</v>
          </cell>
          <cell r="P12" t="str">
            <v>20/09/2025 10:55:00 - 20/09/2025 14:40:00</v>
          </cell>
          <cell r="Q12">
            <v>3485800</v>
          </cell>
        </row>
        <row r="13">
          <cell r="A13">
            <v>1285703959</v>
          </cell>
          <cell r="B13" t="str">
            <v>9718076FBY</v>
          </cell>
          <cell r="C13" t="str">
            <v>ANDI ASNAM IRFAN</v>
          </cell>
          <cell r="D13">
            <v>97187628</v>
          </cell>
          <cell r="E13">
            <v>4120177859</v>
          </cell>
          <cell r="F13">
            <v>54</v>
          </cell>
          <cell r="G13" t="str">
            <v>Perjalanan Dinas Non-Diklat</v>
          </cell>
          <cell r="H13" t="str">
            <v>Kab. Bone - Kota Makassar - Kota Semarang</v>
          </cell>
          <cell r="I13" t="str">
            <v>19/09/2025 - 24/09/2025</v>
          </cell>
          <cell r="J13">
            <v>6</v>
          </cell>
          <cell r="K13" t="str">
            <v>Hotel</v>
          </cell>
          <cell r="L13" t="str">
            <v>19-09-2025 15:35:20</v>
          </cell>
          <cell r="M13" t="str">
            <v xml:space="preserve">Dalton Makassar - 3.0 Stars  - </v>
          </cell>
          <cell r="N13" t="str">
            <v>JTC PDKB</v>
          </cell>
          <cell r="O13">
            <v>7409231</v>
          </cell>
          <cell r="P13" t="str">
            <v>19/09/2025 14:00:00 - 20/09/2025 12:00:00</v>
          </cell>
          <cell r="Q13">
            <v>618644</v>
          </cell>
        </row>
        <row r="14">
          <cell r="A14">
            <v>1285587115</v>
          </cell>
          <cell r="B14" t="str">
            <v>9818133FBY</v>
          </cell>
          <cell r="C14" t="str">
            <v>BOBY ALFIYANTO</v>
          </cell>
          <cell r="D14">
            <v>98187623</v>
          </cell>
          <cell r="E14">
            <v>4120177851</v>
          </cell>
          <cell r="F14">
            <v>54</v>
          </cell>
          <cell r="G14" t="str">
            <v>Perjalanan Dinas Non-Diklat</v>
          </cell>
          <cell r="H14" t="str">
            <v>Kab. Bone - Kota Makassar - Kota Semarang</v>
          </cell>
          <cell r="I14" t="str">
            <v>19/09/2025 - 24/09/2025</v>
          </cell>
          <cell r="J14">
            <v>6</v>
          </cell>
          <cell r="K14" t="str">
            <v>Flight One Way</v>
          </cell>
          <cell r="L14" t="str">
            <v>19-09-2025 07:26:09</v>
          </cell>
          <cell r="M14" t="str">
            <v>Garuda Indonesia Domestic UPG Hasanuddin GA-605 - Garuda Indonesia Domestic SRG Achmad Yani GA-605</v>
          </cell>
          <cell r="N14" t="str">
            <v>JTC PDKB</v>
          </cell>
          <cell r="O14">
            <v>7409231</v>
          </cell>
          <cell r="P14" t="str">
            <v>20/09/2025 10:55:00 - 20/09/2025 14:40:00</v>
          </cell>
          <cell r="Q14">
            <v>3487800</v>
          </cell>
        </row>
        <row r="15">
          <cell r="A15">
            <v>1285589374</v>
          </cell>
          <cell r="B15" t="str">
            <v>9716067FY</v>
          </cell>
          <cell r="C15" t="str">
            <v>FARHAN ALBAR MIFTAHULHUDA</v>
          </cell>
          <cell r="D15">
            <v>97167849</v>
          </cell>
          <cell r="E15">
            <v>4120177853</v>
          </cell>
          <cell r="F15">
            <v>54</v>
          </cell>
          <cell r="G15" t="str">
            <v>Perjalanan Dinas Non-Diklat</v>
          </cell>
          <cell r="H15" t="str">
            <v>Kab. Bone - Kota Makassar - Kota Semarang</v>
          </cell>
          <cell r="I15" t="str">
            <v>19/09/2025 - 24/09/2025</v>
          </cell>
          <cell r="J15">
            <v>6</v>
          </cell>
          <cell r="K15" t="str">
            <v>Flight One Way</v>
          </cell>
          <cell r="L15" t="str">
            <v>19-09-2025 07:43:07</v>
          </cell>
          <cell r="M15" t="str">
            <v>Garuda Indonesia Domestic UPG Hasanuddin GA-605 - Garuda Indonesia Domestic SRG Achmad Yani GA-605</v>
          </cell>
          <cell r="N15" t="str">
            <v>JTC PDKB</v>
          </cell>
          <cell r="O15">
            <v>7409231</v>
          </cell>
          <cell r="P15" t="str">
            <v>20/09/2025 10:55:00 - 20/09/2025 14:40:00</v>
          </cell>
          <cell r="Q15">
            <v>3485800</v>
          </cell>
        </row>
        <row r="16">
          <cell r="A16">
            <v>1285705069</v>
          </cell>
          <cell r="B16" t="str">
            <v>9716067FY</v>
          </cell>
          <cell r="C16" t="str">
            <v>FARHAN ALBAR MIFTAHULHUDA</v>
          </cell>
          <cell r="D16">
            <v>97167849</v>
          </cell>
          <cell r="E16">
            <v>4120177853</v>
          </cell>
          <cell r="F16">
            <v>54</v>
          </cell>
          <cell r="G16" t="str">
            <v>Perjalanan Dinas Non-Diklat</v>
          </cell>
          <cell r="H16" t="str">
            <v>Kab. Bone - Kota Makassar - Kota Semarang</v>
          </cell>
          <cell r="I16" t="str">
            <v>19/09/2025 - 24/09/2025</v>
          </cell>
          <cell r="J16">
            <v>6</v>
          </cell>
          <cell r="K16" t="str">
            <v>Hotel</v>
          </cell>
          <cell r="L16" t="str">
            <v>19-09-2025 15:39:33</v>
          </cell>
          <cell r="M16" t="str">
            <v xml:space="preserve">Dalton Makassar - 3.0 Stars  - </v>
          </cell>
          <cell r="N16" t="str">
            <v>JTC PDKB</v>
          </cell>
          <cell r="O16">
            <v>7409231</v>
          </cell>
          <cell r="P16" t="str">
            <v>19/09/2025 14:00:00 - 24/09/2025 12:00:00</v>
          </cell>
          <cell r="Q16">
            <v>2975000</v>
          </cell>
        </row>
        <row r="17">
          <cell r="A17">
            <v>1285587774</v>
          </cell>
          <cell r="B17" t="str">
            <v>8308017F</v>
          </cell>
          <cell r="C17" t="str">
            <v xml:space="preserve">YUSDI </v>
          </cell>
          <cell r="D17">
            <v>83087609</v>
          </cell>
          <cell r="E17">
            <v>4120177854</v>
          </cell>
          <cell r="F17">
            <v>54</v>
          </cell>
          <cell r="G17" t="str">
            <v>Perjalanan Dinas Non-Diklat</v>
          </cell>
          <cell r="H17" t="str">
            <v>Kab. Bone - Kota Makassar - Kota Semarang</v>
          </cell>
          <cell r="I17" t="str">
            <v>19/09/2025 - 24/09/2025</v>
          </cell>
          <cell r="J17">
            <v>6</v>
          </cell>
          <cell r="K17" t="str">
            <v>Flight One Way</v>
          </cell>
          <cell r="L17" t="str">
            <v>19-09-2025 07:30:54</v>
          </cell>
          <cell r="M17" t="str">
            <v>Garuda Indonesia Domestic UPG Hasanuddin GA-605 - Garuda Indonesia Domestic SRG Achmad Yani GA-605</v>
          </cell>
          <cell r="N17" t="str">
            <v>TL PDKB</v>
          </cell>
          <cell r="O17">
            <v>7409231</v>
          </cell>
          <cell r="P17" t="str">
            <v>20/09/2025 10:55:00 - 20/09/2025 14:40:00</v>
          </cell>
          <cell r="Q17">
            <v>3485800</v>
          </cell>
        </row>
        <row r="18">
          <cell r="A18">
            <v>1285773577</v>
          </cell>
          <cell r="B18" t="str">
            <v>8308017F</v>
          </cell>
          <cell r="C18" t="str">
            <v xml:space="preserve">YUSDI </v>
          </cell>
          <cell r="D18">
            <v>83087609</v>
          </cell>
          <cell r="E18">
            <v>4120177854</v>
          </cell>
          <cell r="F18">
            <v>54</v>
          </cell>
          <cell r="G18" t="str">
            <v>Perjalanan Dinas Non-Diklat</v>
          </cell>
          <cell r="H18" t="str">
            <v>Kab. Bone - Kota Makassar - Kota Semarang</v>
          </cell>
          <cell r="I18" t="str">
            <v>19/09/2025 - 24/09/2025</v>
          </cell>
          <cell r="J18">
            <v>6</v>
          </cell>
          <cell r="K18" t="str">
            <v>Hotel</v>
          </cell>
          <cell r="L18" t="str">
            <v>19-09-2025 20:17:27</v>
          </cell>
          <cell r="M18" t="str">
            <v xml:space="preserve">Dalton Makassar - 3.0 Stars  - </v>
          </cell>
          <cell r="N18" t="str">
            <v>TL PDKB</v>
          </cell>
          <cell r="O18">
            <v>7409231</v>
          </cell>
          <cell r="P18" t="str">
            <v>19/09/2025 14:00:00 - 20/09/2025 12:00:00</v>
          </cell>
          <cell r="Q18">
            <v>595000</v>
          </cell>
        </row>
        <row r="19">
          <cell r="A19">
            <v>1285587565</v>
          </cell>
          <cell r="B19" t="str">
            <v>9213020FY</v>
          </cell>
          <cell r="C19" t="str">
            <v>ANDI NURDIN</v>
          </cell>
          <cell r="D19">
            <v>92137649</v>
          </cell>
          <cell r="E19">
            <v>4120177849</v>
          </cell>
          <cell r="F19">
            <v>54</v>
          </cell>
          <cell r="G19" t="str">
            <v>Perjalanan Dinas Non-Diklat</v>
          </cell>
          <cell r="H19" t="str">
            <v>Kab. Bone - Kota Makassar - Kota Semarang</v>
          </cell>
          <cell r="I19" t="str">
            <v>19/09/2025 - 24/09/2025</v>
          </cell>
          <cell r="J19">
            <v>6</v>
          </cell>
          <cell r="K19" t="str">
            <v>Flight One Way</v>
          </cell>
          <cell r="L19" t="str">
            <v>19-09-2025 07:29:14</v>
          </cell>
          <cell r="M19" t="str">
            <v>Garuda Indonesia Domestic UPG Hasanuddin GA-605 - Garuda Indonesia Domestic SRG Achmad Yani GA-605</v>
          </cell>
          <cell r="N19" t="str">
            <v>TC PDKB</v>
          </cell>
          <cell r="O19">
            <v>7409231</v>
          </cell>
          <cell r="P19" t="str">
            <v>20/09/2025 10:55:00 - 20/09/2025 14:40:00</v>
          </cell>
          <cell r="Q19">
            <v>3485800</v>
          </cell>
        </row>
        <row r="20">
          <cell r="A20">
            <v>1285706224</v>
          </cell>
          <cell r="B20" t="str">
            <v>9213020FY</v>
          </cell>
          <cell r="C20" t="str">
            <v>ANDI NURDIN</v>
          </cell>
          <cell r="D20">
            <v>92137649</v>
          </cell>
          <cell r="E20">
            <v>4120177849</v>
          </cell>
          <cell r="F20">
            <v>54</v>
          </cell>
          <cell r="G20" t="str">
            <v>Perjalanan Dinas Non-Diklat</v>
          </cell>
          <cell r="H20" t="str">
            <v>Kab. Bone - Kota Makassar - Kota Semarang</v>
          </cell>
          <cell r="I20" t="str">
            <v>19/09/2025 - 24/09/2025</v>
          </cell>
          <cell r="J20">
            <v>6</v>
          </cell>
          <cell r="K20" t="str">
            <v>Hotel</v>
          </cell>
          <cell r="L20" t="str">
            <v>19-09-2025 15:43:57</v>
          </cell>
          <cell r="M20" t="str">
            <v xml:space="preserve">Dalton Makassar - 3.0 Stars  - </v>
          </cell>
          <cell r="N20" t="str">
            <v>TC PDKB</v>
          </cell>
          <cell r="O20">
            <v>7409231</v>
          </cell>
          <cell r="P20" t="str">
            <v>19/09/2025 14:00:00 - 20/09/2025 12:00:00</v>
          </cell>
          <cell r="Q20">
            <v>618644</v>
          </cell>
        </row>
        <row r="21">
          <cell r="A21">
            <v>1285584825</v>
          </cell>
          <cell r="B21" t="str">
            <v>8408025F</v>
          </cell>
          <cell r="C21" t="str">
            <v>HARYADI KASIM</v>
          </cell>
          <cell r="D21">
            <v>84087606</v>
          </cell>
          <cell r="E21">
            <v>4120177875</v>
          </cell>
          <cell r="F21">
            <v>54</v>
          </cell>
          <cell r="G21" t="str">
            <v>Perjalanan Dinas Non-Diklat</v>
          </cell>
          <cell r="H21" t="str">
            <v>Kota Makassar - Kota Semarang</v>
          </cell>
          <cell r="I21" t="str">
            <v>20/09/2025 - 27/09/2025</v>
          </cell>
          <cell r="J21">
            <v>8</v>
          </cell>
          <cell r="K21" t="str">
            <v>Flight One Way</v>
          </cell>
          <cell r="L21" t="str">
            <v>19-09-2025 07:06:36</v>
          </cell>
          <cell r="M21" t="str">
            <v>Batik Air Domestic UPG Hasanuddin ID-6265 - Batik Air Domestic SRG Achmad Yani ID-6265</v>
          </cell>
          <cell r="N21" t="str">
            <v>ASMAN PDKB</v>
          </cell>
          <cell r="O21">
            <v>7412000</v>
          </cell>
          <cell r="P21" t="str">
            <v>20/09/2025 06:25:00 - 20/09/2025 10:55:00</v>
          </cell>
          <cell r="Q21">
            <v>2320600</v>
          </cell>
        </row>
        <row r="22">
          <cell r="A22">
            <v>1285787380</v>
          </cell>
          <cell r="B22" t="str">
            <v>8408025F</v>
          </cell>
          <cell r="C22" t="str">
            <v>HARYADI KASIM</v>
          </cell>
          <cell r="D22">
            <v>84087606</v>
          </cell>
          <cell r="E22">
            <v>4120177875</v>
          </cell>
          <cell r="F22">
            <v>54</v>
          </cell>
          <cell r="G22" t="str">
            <v>Perjalanan Dinas Non-Diklat</v>
          </cell>
          <cell r="H22" t="str">
            <v>Kota Makassar - Kota Semarang</v>
          </cell>
          <cell r="I22" t="str">
            <v>20/09/2025 - 27/09/2025</v>
          </cell>
          <cell r="J22">
            <v>8</v>
          </cell>
          <cell r="K22" t="str">
            <v>Hotel</v>
          </cell>
          <cell r="L22" t="str">
            <v>19-09-2025 21:15:37</v>
          </cell>
          <cell r="M22" t="str">
            <v xml:space="preserve">Holiday Inn Express SEMARANG SIMPANG LIMA by IHG, an IHG Hotel - 3.0 Stars  - </v>
          </cell>
          <cell r="N22" t="str">
            <v>ASMAN PDKB</v>
          </cell>
          <cell r="O22">
            <v>7412000</v>
          </cell>
          <cell r="P22" t="str">
            <v>20/09/2025 14:00:00 - 24/09/2025 12:00:00</v>
          </cell>
          <cell r="Q22">
            <v>3235993</v>
          </cell>
        </row>
        <row r="23">
          <cell r="A23">
            <v>1285500782</v>
          </cell>
          <cell r="B23" t="str">
            <v>9924438ZY</v>
          </cell>
          <cell r="C23" t="str">
            <v>ANDHY PRASETIYO</v>
          </cell>
          <cell r="D23">
            <v>99241438</v>
          </cell>
          <cell r="E23">
            <v>4120177761</v>
          </cell>
          <cell r="F23">
            <v>54</v>
          </cell>
          <cell r="G23" t="str">
            <v>Perjalanan Dinas Diklat</v>
          </cell>
          <cell r="H23" t="str">
            <v>Kab. Mamasa - Kab. Pasuruan</v>
          </cell>
          <cell r="I23" t="str">
            <v>28/09/2025 - 04/10/2025</v>
          </cell>
          <cell r="J23">
            <v>7</v>
          </cell>
          <cell r="K23" t="str">
            <v>Flight One Way</v>
          </cell>
          <cell r="L23" t="str">
            <v>18-09-2025 18:55:14</v>
          </cell>
          <cell r="M23" t="str">
            <v>Citilink Domestic UPG Hasanuddin QG-351 - Citilink 1A SUB Juanda QG-351</v>
          </cell>
          <cell r="N23" t="str">
            <v>JTC OP DAN HAR DIST</v>
          </cell>
          <cell r="O23">
            <v>7409658</v>
          </cell>
          <cell r="P23" t="str">
            <v>28/09/2025 09:05:00 - 28/09/2025 09:40:00</v>
          </cell>
          <cell r="Q23">
            <v>1065100</v>
          </cell>
        </row>
        <row r="24">
          <cell r="A24">
            <v>1285684705</v>
          </cell>
          <cell r="B24" t="str">
            <v>8209147Z</v>
          </cell>
          <cell r="C24" t="str">
            <v>WENNY DIANA</v>
          </cell>
          <cell r="D24">
            <v>82097400</v>
          </cell>
          <cell r="E24">
            <v>4120177866</v>
          </cell>
          <cell r="F24">
            <v>54</v>
          </cell>
          <cell r="G24" t="str">
            <v>Perjalanan Dinas Non-Diklat</v>
          </cell>
          <cell r="H24" t="str">
            <v>Kota Makassar - Jakarta Selatan</v>
          </cell>
          <cell r="I24" t="str">
            <v>18/09/2025 - 19/09/2025</v>
          </cell>
          <cell r="J24">
            <v>2</v>
          </cell>
          <cell r="K24" t="str">
            <v>Flight One Way</v>
          </cell>
          <cell r="L24" t="str">
            <v>19-09-2025 14:23:05</v>
          </cell>
          <cell r="M24" t="str">
            <v>Garuda Indonesia  CGK Soekarno Hatta International Airport GA-616 - Garuda Indonesia Domestic UPG Hasanuddin GA-616</v>
          </cell>
          <cell r="N24" t="str">
            <v>SOF IPP DAN EXCESS POWER</v>
          </cell>
          <cell r="O24">
            <v>7412110</v>
          </cell>
          <cell r="P24" t="str">
            <v>19/09/2025 18:30:00 - 19/09/2025 22:05:00</v>
          </cell>
          <cell r="Q24">
            <v>2232900</v>
          </cell>
        </row>
        <row r="25">
          <cell r="A25">
            <v>1285494464</v>
          </cell>
          <cell r="B25" t="str">
            <v>8209147Z</v>
          </cell>
          <cell r="C25" t="str">
            <v>WENNY DIANA</v>
          </cell>
          <cell r="D25">
            <v>82097400</v>
          </cell>
          <cell r="E25">
            <v>4120177866</v>
          </cell>
          <cell r="F25">
            <v>54</v>
          </cell>
          <cell r="G25" t="str">
            <v>Perjalanan Dinas Non-Diklat</v>
          </cell>
          <cell r="H25" t="str">
            <v>Kota Makassar - Jakarta Selatan</v>
          </cell>
          <cell r="I25" t="str">
            <v>18/09/2025 - 19/09/2025</v>
          </cell>
          <cell r="J25">
            <v>2</v>
          </cell>
          <cell r="K25" t="str">
            <v>Hotel</v>
          </cell>
          <cell r="L25" t="str">
            <v>18-09-2025 18:28:08</v>
          </cell>
          <cell r="M25" t="str">
            <v xml:space="preserve">Ambhara Hotel - 4.0 Stars  - </v>
          </cell>
          <cell r="N25" t="str">
            <v>SOF IPP DAN EXCESS POWER</v>
          </cell>
          <cell r="O25">
            <v>7412110</v>
          </cell>
          <cell r="P25" t="str">
            <v>18/09/2025 14:00:00 - 19/09/2025 12:00:00</v>
          </cell>
          <cell r="Q25">
            <v>894882</v>
          </cell>
        </row>
        <row r="26">
          <cell r="A26">
            <v>1285426407</v>
          </cell>
          <cell r="B26" t="str">
            <v>8209147Z</v>
          </cell>
          <cell r="C26" t="str">
            <v>WENNY DIANA</v>
          </cell>
          <cell r="D26">
            <v>82097400</v>
          </cell>
          <cell r="E26">
            <v>4120177866</v>
          </cell>
          <cell r="F26">
            <v>54</v>
          </cell>
          <cell r="G26" t="str">
            <v>Perjalanan Dinas Non-Diklat</v>
          </cell>
          <cell r="H26" t="str">
            <v>Kota Makassar - Jakarta Selatan</v>
          </cell>
          <cell r="I26" t="str">
            <v>18/09/2025 - 19/09/2025</v>
          </cell>
          <cell r="J26">
            <v>2</v>
          </cell>
          <cell r="K26" t="str">
            <v>Flight One Way</v>
          </cell>
          <cell r="L26" t="str">
            <v>18-09-2025 13:46:32</v>
          </cell>
          <cell r="M26" t="str">
            <v>Garuda Indonesia Domestic UPG Hasanuddin GA-615 - Garuda Indonesia  CGK Soekarno Hatta International Airport GA-615</v>
          </cell>
          <cell r="N26" t="str">
            <v>SOF IPP DAN EXCESS POWER</v>
          </cell>
          <cell r="O26">
            <v>7412110</v>
          </cell>
          <cell r="P26" t="str">
            <v>18/09/2025 19:30:00 - 18/09/2025 21:00:00</v>
          </cell>
          <cell r="Q26">
            <v>2334400</v>
          </cell>
        </row>
        <row r="27">
          <cell r="A27">
            <v>1285684670</v>
          </cell>
          <cell r="B27" t="str">
            <v>7802014F</v>
          </cell>
          <cell r="C27" t="str">
            <v>MUHAMMAD ISMAIL</v>
          </cell>
          <cell r="D27">
            <v>78027603</v>
          </cell>
          <cell r="E27">
            <v>4120177865</v>
          </cell>
          <cell r="F27">
            <v>54</v>
          </cell>
          <cell r="G27" t="str">
            <v>Perjalanan Dinas Non-Diklat</v>
          </cell>
          <cell r="H27" t="str">
            <v>Kota Makassar - Jakarta Selatan</v>
          </cell>
          <cell r="I27" t="str">
            <v>18/09/2025 - 19/09/2025</v>
          </cell>
          <cell r="J27">
            <v>2</v>
          </cell>
          <cell r="K27" t="str">
            <v>Flight One Way</v>
          </cell>
          <cell r="L27" t="str">
            <v>19-09-2025 14:22:57</v>
          </cell>
          <cell r="M27" t="str">
            <v>Garuda Indonesia  CGK Soekarno Hatta International Airport GA-616 - Garuda Indonesia Domestic UPG Hasanuddin GA-616</v>
          </cell>
          <cell r="N27" t="str">
            <v>MAN IPP DAN EXCESS POWER</v>
          </cell>
          <cell r="O27">
            <v>7412110</v>
          </cell>
          <cell r="P27" t="str">
            <v>19/09/2025 18:30:00 - 19/09/2025 22:05:00</v>
          </cell>
          <cell r="Q27">
            <v>2232900</v>
          </cell>
        </row>
        <row r="28">
          <cell r="A28">
            <v>1285459789</v>
          </cell>
          <cell r="B28" t="str">
            <v>7802014F</v>
          </cell>
          <cell r="C28" t="str">
            <v>MUHAMMAD ISMAIL</v>
          </cell>
          <cell r="D28">
            <v>78027603</v>
          </cell>
          <cell r="E28">
            <v>4120177865</v>
          </cell>
          <cell r="F28">
            <v>54</v>
          </cell>
          <cell r="G28" t="str">
            <v>Perjalanan Dinas Non-Diklat</v>
          </cell>
          <cell r="H28" t="str">
            <v>Kota Makassar - Jakarta Selatan</v>
          </cell>
          <cell r="I28" t="str">
            <v>18/09/2025 - 19/09/2025</v>
          </cell>
          <cell r="J28">
            <v>2</v>
          </cell>
          <cell r="K28" t="str">
            <v>Flight One Way</v>
          </cell>
          <cell r="L28" t="str">
            <v>18-09-2025 15:59:12</v>
          </cell>
          <cell r="M28" t="str">
            <v>Garuda Indonesia Domestic UPG Hasanuddin GA-615 - Garuda Indonesia  CGK Soekarno Hatta International Airport GA-615</v>
          </cell>
          <cell r="N28" t="str">
            <v>MAN IPP DAN EXCESS POWER</v>
          </cell>
          <cell r="O28">
            <v>7412110</v>
          </cell>
          <cell r="P28" t="str">
            <v>18/09/2025 19:30:00 - 18/09/2025 21:00:00</v>
          </cell>
          <cell r="Q28">
            <v>2345200</v>
          </cell>
        </row>
        <row r="29">
          <cell r="A29">
            <v>1285492688</v>
          </cell>
          <cell r="B29" t="str">
            <v>7802014F</v>
          </cell>
          <cell r="C29" t="str">
            <v>MUHAMMAD ISMAIL</v>
          </cell>
          <cell r="D29">
            <v>78027603</v>
          </cell>
          <cell r="E29">
            <v>4120177865</v>
          </cell>
          <cell r="F29">
            <v>54</v>
          </cell>
          <cell r="G29" t="str">
            <v>Perjalanan Dinas Non-Diklat</v>
          </cell>
          <cell r="H29" t="str">
            <v>Kota Makassar - Jakarta Selatan</v>
          </cell>
          <cell r="I29" t="str">
            <v>18/09/2025 - 19/09/2025</v>
          </cell>
          <cell r="J29">
            <v>2</v>
          </cell>
          <cell r="K29" t="str">
            <v>Hotel</v>
          </cell>
          <cell r="L29" t="str">
            <v>18-09-2025 18:20:06</v>
          </cell>
          <cell r="M29" t="str">
            <v xml:space="preserve">Ambhara Hotel - 4.0 Stars  - </v>
          </cell>
          <cell r="N29" t="str">
            <v>MAN IPP DAN EXCESS POWER</v>
          </cell>
          <cell r="O29">
            <v>7412110</v>
          </cell>
          <cell r="P29" t="str">
            <v>18/09/2025 14:00:00 - 19/09/2025 12:00:00</v>
          </cell>
          <cell r="Q29">
            <v>1098264</v>
          </cell>
        </row>
        <row r="30">
          <cell r="A30">
            <v>1285480229</v>
          </cell>
          <cell r="B30" t="str">
            <v>9413115FY</v>
          </cell>
          <cell r="C30" t="str">
            <v>FUADUL FAKHIR</v>
          </cell>
          <cell r="D30">
            <v>96137689</v>
          </cell>
          <cell r="E30">
            <v>4120177822</v>
          </cell>
          <cell r="F30">
            <v>54</v>
          </cell>
          <cell r="G30" t="str">
            <v>Perjalanan Dinas Non-Diklat</v>
          </cell>
          <cell r="H30" t="str">
            <v>Kota Makassar - Kota Semarang</v>
          </cell>
          <cell r="I30" t="str">
            <v>20/09/2025 - 24/09/2025</v>
          </cell>
          <cell r="J30">
            <v>5</v>
          </cell>
          <cell r="K30" t="str">
            <v>Hotel</v>
          </cell>
          <cell r="L30" t="str">
            <v>18-09-2025 17:24:41</v>
          </cell>
          <cell r="M30" t="str">
            <v xml:space="preserve">Quest Hotel Simpang Lima - Semarang by ASTON - 4.0 Stars  - </v>
          </cell>
          <cell r="N30" t="str">
            <v>JTC PDKB</v>
          </cell>
          <cell r="O30">
            <v>74092705</v>
          </cell>
          <cell r="P30" t="str">
            <v>20/09/2025 14:00:00 - 24/09/2025 12:00:00</v>
          </cell>
          <cell r="Q30">
            <v>2928617</v>
          </cell>
        </row>
        <row r="31">
          <cell r="A31">
            <v>1285475227</v>
          </cell>
          <cell r="B31" t="str">
            <v>9413115FY</v>
          </cell>
          <cell r="C31" t="str">
            <v>FUADUL FAKHIR</v>
          </cell>
          <cell r="D31">
            <v>96137689</v>
          </cell>
          <cell r="E31">
            <v>4120177822</v>
          </cell>
          <cell r="F31">
            <v>54</v>
          </cell>
          <cell r="G31" t="str">
            <v>Perjalanan Dinas Non-Diklat</v>
          </cell>
          <cell r="H31" t="str">
            <v>Kota Makassar - Kota Semarang</v>
          </cell>
          <cell r="I31" t="str">
            <v>20/09/2025 - 24/09/2025</v>
          </cell>
          <cell r="J31">
            <v>5</v>
          </cell>
          <cell r="K31" t="str">
            <v>Flight One Way</v>
          </cell>
          <cell r="L31" t="str">
            <v>18-09-2025 17:02:34</v>
          </cell>
          <cell r="M31" t="str">
            <v>Lion Air Domestic UPG Hasanuddin JT-871 - Lion Air Domestic SRG Achmad Yani JT-871</v>
          </cell>
          <cell r="N31" t="str">
            <v>JTC PDKB</v>
          </cell>
          <cell r="O31">
            <v>74092705</v>
          </cell>
          <cell r="P31" t="str">
            <v>20/09/2025 09:00:00 - 20/09/2025 14:00:00</v>
          </cell>
          <cell r="Q31">
            <v>2138100</v>
          </cell>
        </row>
        <row r="32">
          <cell r="A32">
            <v>1285472907</v>
          </cell>
          <cell r="B32" t="str">
            <v>9313099FY</v>
          </cell>
          <cell r="C32" t="str">
            <v>REZA ANUGRAH</v>
          </cell>
          <cell r="D32">
            <v>96137687</v>
          </cell>
          <cell r="E32">
            <v>4120177834</v>
          </cell>
          <cell r="F32">
            <v>54</v>
          </cell>
          <cell r="G32" t="str">
            <v>Perjalanan Dinas Non-Diklat</v>
          </cell>
          <cell r="H32" t="str">
            <v>Kota Makassar - Kota Semarang</v>
          </cell>
          <cell r="I32" t="str">
            <v>20/09/2025 - 24/09/2025</v>
          </cell>
          <cell r="J32">
            <v>5</v>
          </cell>
          <cell r="K32" t="str">
            <v>Flight One Way</v>
          </cell>
          <cell r="L32" t="str">
            <v>18-09-2025 16:52:23</v>
          </cell>
          <cell r="M32" t="str">
            <v>Lion Air Domestic UPG Hasanuddin JT-871 - Lion Air Domestic SRG Achmad Yani JT-871</v>
          </cell>
          <cell r="N32" t="str">
            <v>JTC PDKB</v>
          </cell>
          <cell r="O32">
            <v>74092705</v>
          </cell>
          <cell r="P32" t="str">
            <v>20/09/2025 09:00:00 - 20/09/2025 14:00:00</v>
          </cell>
          <cell r="Q32">
            <v>2138100</v>
          </cell>
        </row>
        <row r="33">
          <cell r="A33">
            <v>1285480897</v>
          </cell>
          <cell r="B33" t="str">
            <v>9313099FY</v>
          </cell>
          <cell r="C33" t="str">
            <v>REZA ANUGRAH</v>
          </cell>
          <cell r="D33">
            <v>96137687</v>
          </cell>
          <cell r="E33">
            <v>4120177834</v>
          </cell>
          <cell r="F33">
            <v>54</v>
          </cell>
          <cell r="G33" t="str">
            <v>Perjalanan Dinas Non-Diklat</v>
          </cell>
          <cell r="H33" t="str">
            <v>Kota Makassar - Kota Semarang</v>
          </cell>
          <cell r="I33" t="str">
            <v>20/09/2025 - 24/09/2025</v>
          </cell>
          <cell r="J33">
            <v>5</v>
          </cell>
          <cell r="K33" t="str">
            <v>Hotel</v>
          </cell>
          <cell r="L33" t="str">
            <v>18-09-2025 17:27:51</v>
          </cell>
          <cell r="M33" t="str">
            <v xml:space="preserve">Quest Hotel Simpang Lima - Semarang by ASTON - 4.0 Stars  - </v>
          </cell>
          <cell r="N33" t="str">
            <v>JTC PDKB</v>
          </cell>
          <cell r="O33">
            <v>74092705</v>
          </cell>
          <cell r="P33" t="str">
            <v>20/09/2025 14:00:00 - 24/09/2025 12:00:00</v>
          </cell>
          <cell r="Q33">
            <v>2928617</v>
          </cell>
        </row>
        <row r="34">
          <cell r="A34">
            <v>1285473007</v>
          </cell>
          <cell r="B34" t="str">
            <v>9718071FBY</v>
          </cell>
          <cell r="C34" t="str">
            <v>SIGIT TRI HARTANTO</v>
          </cell>
          <cell r="D34">
            <v>97187621</v>
          </cell>
          <cell r="E34">
            <v>4120177824</v>
          </cell>
          <cell r="F34">
            <v>54</v>
          </cell>
          <cell r="G34" t="str">
            <v>Perjalanan Dinas Non-Diklat</v>
          </cell>
          <cell r="H34" t="str">
            <v>Kota Makassar - Kota Semarang</v>
          </cell>
          <cell r="I34" t="str">
            <v>20/09/2025 - 24/09/2025</v>
          </cell>
          <cell r="J34">
            <v>5</v>
          </cell>
          <cell r="K34" t="str">
            <v>Flight One Way</v>
          </cell>
          <cell r="L34" t="str">
            <v>18-09-2025 16:52:46</v>
          </cell>
          <cell r="M34" t="str">
            <v>Lion Air Domestic UPG Hasanuddin JT-871 - Lion Air Domestic SRG Achmad Yani JT-871</v>
          </cell>
          <cell r="N34" t="str">
            <v>JTC PDKB</v>
          </cell>
          <cell r="O34">
            <v>74092705</v>
          </cell>
          <cell r="P34" t="str">
            <v>20/09/2025 09:00:00 - 20/09/2025 14:00:00</v>
          </cell>
          <cell r="Q34">
            <v>2138100</v>
          </cell>
        </row>
        <row r="35">
          <cell r="A35">
            <v>1285480119</v>
          </cell>
          <cell r="B35" t="str">
            <v>9718071FBY</v>
          </cell>
          <cell r="C35" t="str">
            <v>SIGIT TRI HARTANTO</v>
          </cell>
          <cell r="D35">
            <v>97187621</v>
          </cell>
          <cell r="E35">
            <v>4120177824</v>
          </cell>
          <cell r="F35">
            <v>54</v>
          </cell>
          <cell r="G35" t="str">
            <v>Perjalanan Dinas Non-Diklat</v>
          </cell>
          <cell r="H35" t="str">
            <v>Kota Makassar - Kota Semarang</v>
          </cell>
          <cell r="I35" t="str">
            <v>20/09/2025 - 24/09/2025</v>
          </cell>
          <cell r="J35">
            <v>5</v>
          </cell>
          <cell r="K35" t="str">
            <v>Hotel</v>
          </cell>
          <cell r="L35" t="str">
            <v>18-09-2025 17:24:15</v>
          </cell>
          <cell r="M35" t="str">
            <v xml:space="preserve">Quest Hotel Simpang Lima - Semarang by ASTON - 4.0 Stars  - </v>
          </cell>
          <cell r="N35" t="str">
            <v>JTC PDKB</v>
          </cell>
          <cell r="O35">
            <v>74092705</v>
          </cell>
          <cell r="P35" t="str">
            <v>20/09/2025 14:00:00 - 24/09/2025 12:00:00</v>
          </cell>
          <cell r="Q35">
            <v>2928617</v>
          </cell>
        </row>
        <row r="36">
          <cell r="A36">
            <v>1285472663</v>
          </cell>
          <cell r="B36" t="str">
            <v>9617079FBY</v>
          </cell>
          <cell r="C36" t="str">
            <v>MUHAMMAD RAMADHAN</v>
          </cell>
          <cell r="D36">
            <v>96177625</v>
          </cell>
          <cell r="E36">
            <v>4120177839</v>
          </cell>
          <cell r="F36">
            <v>54</v>
          </cell>
          <cell r="G36" t="str">
            <v>Perjalanan Dinas Non-Diklat</v>
          </cell>
          <cell r="H36" t="str">
            <v>Kota Makassar - Kota Semarang</v>
          </cell>
          <cell r="I36" t="str">
            <v>20/09/2025 - 24/09/2025</v>
          </cell>
          <cell r="J36">
            <v>5</v>
          </cell>
          <cell r="K36" t="str">
            <v>Flight One Way</v>
          </cell>
          <cell r="L36" t="str">
            <v>18-09-2025 16:51:29</v>
          </cell>
          <cell r="M36" t="str">
            <v>Lion Air Domestic UPG Hasanuddin JT-871 - Lion Air Domestic SRG Achmad Yani JT-871</v>
          </cell>
          <cell r="N36" t="str">
            <v>JTC PDKB</v>
          </cell>
          <cell r="O36">
            <v>74092705</v>
          </cell>
          <cell r="P36" t="str">
            <v>20/09/2025 09:00:00 - 20/09/2025 14:00:00</v>
          </cell>
          <cell r="Q36">
            <v>2138100</v>
          </cell>
        </row>
        <row r="37">
          <cell r="A37">
            <v>1285472622</v>
          </cell>
          <cell r="B37" t="str">
            <v>9718078FBY</v>
          </cell>
          <cell r="C37" t="str">
            <v>MUHAMMAD NUR HADI</v>
          </cell>
          <cell r="D37">
            <v>97187630</v>
          </cell>
          <cell r="E37">
            <v>4120177821</v>
          </cell>
          <cell r="F37">
            <v>54</v>
          </cell>
          <cell r="G37" t="str">
            <v>Perjalanan Dinas Non-Diklat</v>
          </cell>
          <cell r="H37" t="str">
            <v>Kota Makassar - Kota Semarang</v>
          </cell>
          <cell r="I37" t="str">
            <v>20/09/2025 - 24/09/2025</v>
          </cell>
          <cell r="J37">
            <v>5</v>
          </cell>
          <cell r="K37" t="str">
            <v>Flight One Way</v>
          </cell>
          <cell r="L37" t="str">
            <v>18-09-2025 16:51:20</v>
          </cell>
          <cell r="M37" t="str">
            <v>Lion Air Domestic UPG Hasanuddin JT-871 - Lion Air Domestic SRG Achmad Yani JT-871</v>
          </cell>
          <cell r="N37" t="str">
            <v>JTC PDKB</v>
          </cell>
          <cell r="O37">
            <v>74092705</v>
          </cell>
          <cell r="P37" t="str">
            <v>20/09/2025 09:00:00 - 20/09/2025 14:00:00</v>
          </cell>
          <cell r="Q37">
            <v>2138100</v>
          </cell>
        </row>
        <row r="38">
          <cell r="A38">
            <v>1285480189</v>
          </cell>
          <cell r="B38" t="str">
            <v>9618028FBY</v>
          </cell>
          <cell r="C38" t="str">
            <v>NURUL SOFIANSYAH</v>
          </cell>
          <cell r="D38">
            <v>96187630</v>
          </cell>
          <cell r="E38">
            <v>4120177831</v>
          </cell>
          <cell r="F38">
            <v>54</v>
          </cell>
          <cell r="G38" t="str">
            <v>Perjalanan Dinas Non-Diklat</v>
          </cell>
          <cell r="H38" t="str">
            <v>Kota Makassar - Kota Semarang</v>
          </cell>
          <cell r="I38" t="str">
            <v>20/09/2025 - 24/09/2025</v>
          </cell>
          <cell r="J38">
            <v>5</v>
          </cell>
          <cell r="K38" t="str">
            <v>Hotel</v>
          </cell>
          <cell r="L38" t="str">
            <v>18-09-2025 17:24:32</v>
          </cell>
          <cell r="M38" t="str">
            <v xml:space="preserve">Quest Hotel Simpang Lima - Semarang by ASTON - 4.0 Stars  - </v>
          </cell>
          <cell r="N38" t="str">
            <v>JTC PDKB</v>
          </cell>
          <cell r="O38">
            <v>74092705</v>
          </cell>
          <cell r="P38" t="str">
            <v>20/09/2025 14:00:00 - 24/09/2025 12:00:00</v>
          </cell>
          <cell r="Q38">
            <v>2928617</v>
          </cell>
        </row>
        <row r="39">
          <cell r="A39">
            <v>1285472366</v>
          </cell>
          <cell r="B39" t="str">
            <v>9618028FBY</v>
          </cell>
          <cell r="C39" t="str">
            <v>NURUL SOFIANSYAH</v>
          </cell>
          <cell r="D39">
            <v>96187630</v>
          </cell>
          <cell r="E39">
            <v>4120177831</v>
          </cell>
          <cell r="F39">
            <v>54</v>
          </cell>
          <cell r="G39" t="str">
            <v>Perjalanan Dinas Non-Diklat</v>
          </cell>
          <cell r="H39" t="str">
            <v>Kota Makassar - Kota Semarang</v>
          </cell>
          <cell r="I39" t="str">
            <v>20/09/2025 - 24/09/2025</v>
          </cell>
          <cell r="J39">
            <v>5</v>
          </cell>
          <cell r="K39" t="str">
            <v>Flight One Way</v>
          </cell>
          <cell r="L39" t="str">
            <v>18-09-2025 16:50:15</v>
          </cell>
          <cell r="M39" t="str">
            <v>Lion Air Domestic UPG Hasanuddin JT-871 - Lion Air Domestic SRG Achmad Yani JT-871</v>
          </cell>
          <cell r="N39" t="str">
            <v>JTC PDKB</v>
          </cell>
          <cell r="O39">
            <v>74092705</v>
          </cell>
          <cell r="P39" t="str">
            <v>20/09/2025 09:00:00 - 20/09/2025 14:00:00</v>
          </cell>
          <cell r="Q39">
            <v>2138100</v>
          </cell>
        </row>
        <row r="40">
          <cell r="A40">
            <v>1285472884</v>
          </cell>
          <cell r="B40" t="str">
            <v>9718056FBY</v>
          </cell>
          <cell r="C40" t="str">
            <v>SYAHRUL HARDIANSYAH</v>
          </cell>
          <cell r="D40">
            <v>97187605</v>
          </cell>
          <cell r="E40">
            <v>4120177838</v>
          </cell>
          <cell r="F40">
            <v>54</v>
          </cell>
          <cell r="G40" t="str">
            <v>Perjalanan Dinas Non-Diklat</v>
          </cell>
          <cell r="H40" t="str">
            <v>Kota Makassar - Kota Semarang</v>
          </cell>
          <cell r="I40" t="str">
            <v>20/09/2025 - 24/09/2025</v>
          </cell>
          <cell r="J40">
            <v>5</v>
          </cell>
          <cell r="K40" t="str">
            <v>Flight One Way</v>
          </cell>
          <cell r="L40" t="str">
            <v>18-09-2025 16:52:19</v>
          </cell>
          <cell r="M40" t="str">
            <v>Lion Air Domestic UPG Hasanuddin JT-871 - Lion Air Domestic SRG Achmad Yani JT-871</v>
          </cell>
          <cell r="N40" t="str">
            <v>JTC PDKB</v>
          </cell>
          <cell r="O40">
            <v>74092705</v>
          </cell>
          <cell r="P40" t="str">
            <v>20/09/2025 09:00:00 - 20/09/2025 14:00:00</v>
          </cell>
          <cell r="Q40">
            <v>2138100</v>
          </cell>
        </row>
        <row r="41">
          <cell r="A41">
            <v>1285479553</v>
          </cell>
          <cell r="B41" t="str">
            <v>9718056FBY</v>
          </cell>
          <cell r="C41" t="str">
            <v>SYAHRUL HARDIANSYAH</v>
          </cell>
          <cell r="D41">
            <v>97187605</v>
          </cell>
          <cell r="E41">
            <v>4120177838</v>
          </cell>
          <cell r="F41">
            <v>54</v>
          </cell>
          <cell r="G41" t="str">
            <v>Perjalanan Dinas Non-Diklat</v>
          </cell>
          <cell r="H41" t="str">
            <v>Kota Makassar - Kota Semarang</v>
          </cell>
          <cell r="I41" t="str">
            <v>20/09/2025 - 24/09/2025</v>
          </cell>
          <cell r="J41">
            <v>5</v>
          </cell>
          <cell r="K41" t="str">
            <v>Hotel</v>
          </cell>
          <cell r="L41" t="str">
            <v>18-09-2025 17:21:47</v>
          </cell>
          <cell r="M41" t="str">
            <v xml:space="preserve">Quest Hotel Simpang Lima - Semarang by ASTON - 4.0 Stars  - </v>
          </cell>
          <cell r="N41" t="str">
            <v>JTC PDKB</v>
          </cell>
          <cell r="O41">
            <v>74092705</v>
          </cell>
          <cell r="P41" t="str">
            <v>20/09/2025 14:00:00 - 24/09/2025 12:00:00</v>
          </cell>
          <cell r="Q41">
            <v>2928617</v>
          </cell>
        </row>
        <row r="42">
          <cell r="A42">
            <v>1285473075</v>
          </cell>
          <cell r="B42" t="str">
            <v>9717076FBY</v>
          </cell>
          <cell r="C42" t="str">
            <v>MUHAMMAD ISLAH FADHIL</v>
          </cell>
          <cell r="D42">
            <v>97177619</v>
          </cell>
          <cell r="E42">
            <v>4120177837</v>
          </cell>
          <cell r="F42">
            <v>54</v>
          </cell>
          <cell r="G42" t="str">
            <v>Perjalanan Dinas Non-Diklat</v>
          </cell>
          <cell r="H42" t="str">
            <v>Kota Makassar - Kota Semarang</v>
          </cell>
          <cell r="I42" t="str">
            <v>20/09/2025 - 24/09/2025</v>
          </cell>
          <cell r="J42">
            <v>5</v>
          </cell>
          <cell r="K42" t="str">
            <v>Flight One Way</v>
          </cell>
          <cell r="L42" t="str">
            <v>18-09-2025 16:53:05</v>
          </cell>
          <cell r="M42" t="str">
            <v>Lion Air Domestic UPG Hasanuddin JT-871 - Lion Air Domestic SRG Achmad Yani JT-871</v>
          </cell>
          <cell r="N42" t="str">
            <v>JTC PDKB</v>
          </cell>
          <cell r="O42">
            <v>74092705</v>
          </cell>
          <cell r="P42" t="str">
            <v>20/09/2025 09:00:00 - 20/09/2025 14:00:00</v>
          </cell>
          <cell r="Q42">
            <v>2138100</v>
          </cell>
        </row>
        <row r="43">
          <cell r="A43">
            <v>1285480886</v>
          </cell>
          <cell r="B43" t="str">
            <v>9717076FBY</v>
          </cell>
          <cell r="C43" t="str">
            <v>MUHAMMAD ISLAH FADHIL</v>
          </cell>
          <cell r="D43">
            <v>97177619</v>
          </cell>
          <cell r="E43">
            <v>4120177837</v>
          </cell>
          <cell r="F43">
            <v>54</v>
          </cell>
          <cell r="G43" t="str">
            <v>Perjalanan Dinas Non-Diklat</v>
          </cell>
          <cell r="H43" t="str">
            <v>Kota Makassar - Kota Semarang</v>
          </cell>
          <cell r="I43" t="str">
            <v>20/09/2025 - 24/09/2025</v>
          </cell>
          <cell r="J43">
            <v>5</v>
          </cell>
          <cell r="K43" t="str">
            <v>Hotel</v>
          </cell>
          <cell r="L43" t="str">
            <v>18-09-2025 17:27:48</v>
          </cell>
          <cell r="M43" t="str">
            <v xml:space="preserve">Quest Hotel Simpang Lima - Semarang by ASTON - 4.0 Stars  - </v>
          </cell>
          <cell r="N43" t="str">
            <v>JTC PDKB</v>
          </cell>
          <cell r="O43">
            <v>74092705</v>
          </cell>
          <cell r="P43" t="str">
            <v>20/09/2025 14:00:00 - 24/09/2025 12:00:00</v>
          </cell>
          <cell r="Q43">
            <v>2928617</v>
          </cell>
        </row>
        <row r="44">
          <cell r="A44">
            <v>1285472732</v>
          </cell>
          <cell r="B44" t="str">
            <v>9718052FBY</v>
          </cell>
          <cell r="C44" t="str">
            <v>MUHAMMAD FAJAR DWI AFANDI</v>
          </cell>
          <cell r="D44">
            <v>97187600</v>
          </cell>
          <cell r="E44">
            <v>4120177832</v>
          </cell>
          <cell r="F44">
            <v>54</v>
          </cell>
          <cell r="G44" t="str">
            <v>Perjalanan Dinas Non-Diklat</v>
          </cell>
          <cell r="H44" t="str">
            <v>Kota Makassar - Kota Semarang</v>
          </cell>
          <cell r="I44" t="str">
            <v>20/09/2025 - 24/09/2025</v>
          </cell>
          <cell r="J44">
            <v>5</v>
          </cell>
          <cell r="K44" t="str">
            <v>Flight One Way</v>
          </cell>
          <cell r="L44" t="str">
            <v>18-09-2025 16:51:45</v>
          </cell>
          <cell r="M44" t="str">
            <v>Lion Air Domestic UPG Hasanuddin JT-871 - Lion Air Domestic SRG Achmad Yani JT-871</v>
          </cell>
          <cell r="N44" t="str">
            <v>JTC PDKB</v>
          </cell>
          <cell r="O44">
            <v>74092705</v>
          </cell>
          <cell r="P44" t="str">
            <v>20/09/2025 09:00:00 - 20/09/2025 14:00:00</v>
          </cell>
          <cell r="Q44">
            <v>2138100</v>
          </cell>
        </row>
        <row r="45">
          <cell r="A45">
            <v>1285472726</v>
          </cell>
          <cell r="B45" t="str">
            <v>8308019F</v>
          </cell>
          <cell r="C45" t="str">
            <v>MUHAMMAD RUM</v>
          </cell>
          <cell r="D45">
            <v>83087611</v>
          </cell>
          <cell r="E45">
            <v>4120177828</v>
          </cell>
          <cell r="F45">
            <v>54</v>
          </cell>
          <cell r="G45" t="str">
            <v>Perjalanan Dinas Non-Diklat</v>
          </cell>
          <cell r="H45" t="str">
            <v>Kota Makassar - Kota Semarang</v>
          </cell>
          <cell r="I45" t="str">
            <v>20/09/2025 - 24/09/2025</v>
          </cell>
          <cell r="J45">
            <v>5</v>
          </cell>
          <cell r="K45" t="str">
            <v>Flight One Way</v>
          </cell>
          <cell r="L45" t="str">
            <v>18-09-2025 16:51:45</v>
          </cell>
          <cell r="M45" t="str">
            <v>Lion Air Domestic UPG Hasanuddin JT-871 - Lion Air Domestic SRG Achmad Yani JT-871</v>
          </cell>
          <cell r="N45" t="str">
            <v>TL PDKB</v>
          </cell>
          <cell r="O45">
            <v>74092705</v>
          </cell>
          <cell r="P45" t="str">
            <v>20/09/2025 09:00:00 - 20/09/2025 14:00:00</v>
          </cell>
          <cell r="Q45">
            <v>2138100</v>
          </cell>
        </row>
        <row r="46">
          <cell r="A46">
            <v>1285665821</v>
          </cell>
          <cell r="B46" t="str">
            <v>93161029ZY</v>
          </cell>
          <cell r="C46" t="str">
            <v xml:space="preserve">ASDARIA </v>
          </cell>
          <cell r="D46">
            <v>93167609</v>
          </cell>
          <cell r="E46">
            <v>4120177863</v>
          </cell>
          <cell r="F46">
            <v>54</v>
          </cell>
          <cell r="G46" t="str">
            <v>Perjalanan Dinas Non-Diklat</v>
          </cell>
          <cell r="H46" t="str">
            <v>Kota Makassar - Kab. Kolaka - Kota Kendari</v>
          </cell>
          <cell r="I46" t="str">
            <v>21/09/2025 - 24/09/2025</v>
          </cell>
          <cell r="J46">
            <v>4</v>
          </cell>
          <cell r="K46" t="str">
            <v>Hotel</v>
          </cell>
          <cell r="L46" t="str">
            <v>19-09-2025 13:12:47</v>
          </cell>
          <cell r="M46" t="str">
            <v xml:space="preserve">Sutan Raja Hotel &amp; Convention Centre Kolaka - 4.0 Stars  - </v>
          </cell>
          <cell r="N46" t="str">
            <v>OF DIG SERVICE DAN CUST EX</v>
          </cell>
          <cell r="O46">
            <v>7411140</v>
          </cell>
          <cell r="P46" t="str">
            <v>21/09/2025 14:00:00 - 22/09/2025 12:00:00</v>
          </cell>
          <cell r="Q46">
            <v>828492</v>
          </cell>
        </row>
        <row r="47">
          <cell r="A47">
            <v>1285664156</v>
          </cell>
          <cell r="B47" t="str">
            <v>93161029ZY</v>
          </cell>
          <cell r="C47" t="str">
            <v xml:space="preserve">ASDARIA </v>
          </cell>
          <cell r="D47">
            <v>93167609</v>
          </cell>
          <cell r="E47">
            <v>4120177863</v>
          </cell>
          <cell r="F47">
            <v>54</v>
          </cell>
          <cell r="G47" t="str">
            <v>Perjalanan Dinas Non-Diklat</v>
          </cell>
          <cell r="H47" t="str">
            <v>Kota Makassar - Kab. Kolaka - Kota Kendari</v>
          </cell>
          <cell r="I47" t="str">
            <v>21/09/2025 - 24/09/2025</v>
          </cell>
          <cell r="J47">
            <v>4</v>
          </cell>
          <cell r="K47" t="str">
            <v>Flight One Way</v>
          </cell>
          <cell r="L47" t="str">
            <v>19-09-2025 13:06:35</v>
          </cell>
          <cell r="M47" t="str">
            <v>Wings Air Domestic UPG Hasanuddin IW-2204 - Wings Air  KXB Sangia Nibandera IW-2204</v>
          </cell>
          <cell r="N47" t="str">
            <v>OF DIG SERVICE DAN CUST EX</v>
          </cell>
          <cell r="O47">
            <v>7411140</v>
          </cell>
          <cell r="P47" t="str">
            <v>21/09/2025 12:20:00 - 21/09/2025 13:20:00</v>
          </cell>
          <cell r="Q47">
            <v>1263600</v>
          </cell>
        </row>
        <row r="48">
          <cell r="A48">
            <v>1285665126</v>
          </cell>
          <cell r="B48" t="str">
            <v>93151397ZY</v>
          </cell>
          <cell r="C48" t="str">
            <v>KIKI RESKI ANDRIANI</v>
          </cell>
          <cell r="D48">
            <v>93153811</v>
          </cell>
          <cell r="E48">
            <v>4120177855</v>
          </cell>
          <cell r="F48">
            <v>54</v>
          </cell>
          <cell r="G48" t="str">
            <v>Perjalanan Dinas Non-Diklat</v>
          </cell>
          <cell r="H48" t="str">
            <v>Kota Makassar - Kab. Kolaka - Kota Kendari</v>
          </cell>
          <cell r="I48" t="str">
            <v>21/09/2025 - 24/09/2025</v>
          </cell>
          <cell r="J48">
            <v>4</v>
          </cell>
          <cell r="K48" t="str">
            <v>Hotel</v>
          </cell>
          <cell r="L48" t="str">
            <v>19-09-2025 13:10:09</v>
          </cell>
          <cell r="M48" t="str">
            <v xml:space="preserve">Sutan Raja Hotel &amp; Convention Centre Kolaka - 4.0 Stars  - </v>
          </cell>
          <cell r="N48" t="str">
            <v>ASMAN ADM GAN</v>
          </cell>
          <cell r="O48">
            <v>7411140</v>
          </cell>
          <cell r="P48" t="str">
            <v>21/09/2025 14:00:00 - 22/09/2025 12:00:00</v>
          </cell>
          <cell r="Q48">
            <v>979000</v>
          </cell>
        </row>
        <row r="49">
          <cell r="A49">
            <v>1285664177</v>
          </cell>
          <cell r="B49" t="str">
            <v>93151397ZY</v>
          </cell>
          <cell r="C49" t="str">
            <v>KIKI RESKI ANDRIANI</v>
          </cell>
          <cell r="D49">
            <v>93153811</v>
          </cell>
          <cell r="E49">
            <v>4120177855</v>
          </cell>
          <cell r="F49">
            <v>54</v>
          </cell>
          <cell r="G49" t="str">
            <v>Perjalanan Dinas Non-Diklat</v>
          </cell>
          <cell r="H49" t="str">
            <v>Kota Makassar - Kab. Kolaka - Kota Kendari</v>
          </cell>
          <cell r="I49" t="str">
            <v>21/09/2025 - 24/09/2025</v>
          </cell>
          <cell r="J49">
            <v>4</v>
          </cell>
          <cell r="K49" t="str">
            <v>Flight One Way</v>
          </cell>
          <cell r="L49" t="str">
            <v>19-09-2025 13:06:41</v>
          </cell>
          <cell r="M49" t="str">
            <v>Wings Air Domestic UPG Hasanuddin IW-2204 - Wings Air  KXB Sangia Nibandera IW-2204</v>
          </cell>
          <cell r="N49" t="str">
            <v>ASMAN ADM GAN</v>
          </cell>
          <cell r="O49">
            <v>7411140</v>
          </cell>
          <cell r="P49" t="str">
            <v>21/09/2025 12:20:00 - 21/09/2025 13:20:00</v>
          </cell>
          <cell r="Q49">
            <v>1263600</v>
          </cell>
        </row>
        <row r="50">
          <cell r="A50">
            <v>1285630219</v>
          </cell>
          <cell r="B50" t="str">
            <v>9008084F</v>
          </cell>
          <cell r="C50" t="str">
            <v>ZAKI ASHARI</v>
          </cell>
          <cell r="D50">
            <v>90087607</v>
          </cell>
          <cell r="E50">
            <v>4120177850</v>
          </cell>
          <cell r="F50">
            <v>54</v>
          </cell>
          <cell r="G50" t="str">
            <v>Perjalanan Dinas Non-Diklat</v>
          </cell>
          <cell r="H50" t="str">
            <v>Kota Makassar - Kota Baubau</v>
          </cell>
          <cell r="I50" t="str">
            <v>21/09/2025 - 23/09/2025</v>
          </cell>
          <cell r="J50">
            <v>3</v>
          </cell>
          <cell r="K50" t="str">
            <v>Flight One Way</v>
          </cell>
          <cell r="L50" t="str">
            <v>19-09-2025 10:49:02</v>
          </cell>
          <cell r="M50" t="str">
            <v>Super Air Jet  UPG Hasanuddin IU-572 - Super Air Jet  BUW Betoambari IU-572</v>
          </cell>
          <cell r="N50" t="str">
            <v>OF STR SAR</v>
          </cell>
          <cell r="O50">
            <v>7411143</v>
          </cell>
          <cell r="P50" t="str">
            <v>21/09/2025 09:50:00 - 21/09/2025 10:35:00</v>
          </cell>
          <cell r="Q50">
            <v>844100</v>
          </cell>
        </row>
        <row r="51">
          <cell r="A51">
            <v>1285716759</v>
          </cell>
          <cell r="B51" t="str">
            <v>9008084F</v>
          </cell>
          <cell r="C51" t="str">
            <v>ZAKI ASHARI</v>
          </cell>
          <cell r="D51">
            <v>90087607</v>
          </cell>
          <cell r="E51">
            <v>4120177850</v>
          </cell>
          <cell r="F51">
            <v>54</v>
          </cell>
          <cell r="G51" t="str">
            <v>Perjalanan Dinas Non-Diklat</v>
          </cell>
          <cell r="H51" t="str">
            <v>Kota Makassar - Kota Baubau</v>
          </cell>
          <cell r="I51" t="str">
            <v>21/09/2025 - 24/09/2025</v>
          </cell>
          <cell r="J51">
            <v>4</v>
          </cell>
          <cell r="K51" t="str">
            <v>Hotel</v>
          </cell>
          <cell r="L51" t="str">
            <v>19-09-2025 16:24:24</v>
          </cell>
          <cell r="M51" t="str">
            <v xml:space="preserve">NES_inn Hotel - 0.0 Stars  - </v>
          </cell>
          <cell r="N51" t="str">
            <v>OF STR SAR</v>
          </cell>
          <cell r="O51">
            <v>7411143</v>
          </cell>
          <cell r="P51" t="str">
            <v>21/09/2025 14:00:00 - 22/09/2025 12:00:00</v>
          </cell>
          <cell r="Q51">
            <v>590000</v>
          </cell>
        </row>
        <row r="52">
          <cell r="A52">
            <v>1285422005</v>
          </cell>
          <cell r="B52" t="str">
            <v>9114965ZY</v>
          </cell>
          <cell r="C52" t="str">
            <v>I WAYAN EDY PURNAMA ARSA</v>
          </cell>
          <cell r="D52">
            <v>91147609</v>
          </cell>
          <cell r="E52">
            <v>4120177844</v>
          </cell>
          <cell r="F52">
            <v>54</v>
          </cell>
          <cell r="G52" t="str">
            <v>Perjalanan Dinas Non-Diklat</v>
          </cell>
          <cell r="H52" t="str">
            <v>Kota Makassar - Kota Palopo</v>
          </cell>
          <cell r="I52" t="str">
            <v>22/09/2025 - 24/09/2025</v>
          </cell>
          <cell r="J52">
            <v>3</v>
          </cell>
          <cell r="K52" t="str">
            <v>Flight One Way</v>
          </cell>
          <cell r="L52" t="str">
            <v>18-09-2025 13:28:39</v>
          </cell>
          <cell r="M52" t="str">
            <v>Wings Air  LLO Lagaligo Airport IW-1351 - Wings Air Domestic UPG Hasanuddin IW-1351</v>
          </cell>
          <cell r="N52" t="str">
            <v>OF PR AE</v>
          </cell>
          <cell r="O52">
            <v>7411140</v>
          </cell>
          <cell r="P52" t="str">
            <v>24/09/2025 09:40:00 - 24/09/2025 10:35:00</v>
          </cell>
          <cell r="Q52">
            <v>1355400</v>
          </cell>
        </row>
        <row r="53">
          <cell r="A53">
            <v>1285421353</v>
          </cell>
          <cell r="B53" t="str">
            <v>9114965ZY</v>
          </cell>
          <cell r="C53" t="str">
            <v>I WAYAN EDY PURNAMA ARSA</v>
          </cell>
          <cell r="D53">
            <v>91147609</v>
          </cell>
          <cell r="E53">
            <v>4120177844</v>
          </cell>
          <cell r="F53">
            <v>54</v>
          </cell>
          <cell r="G53" t="str">
            <v>Perjalanan Dinas Non-Diklat</v>
          </cell>
          <cell r="H53" t="str">
            <v>Kota Makassar - Kota Palopo</v>
          </cell>
          <cell r="I53" t="str">
            <v>22/09/2025 - 24/09/2025</v>
          </cell>
          <cell r="J53">
            <v>3</v>
          </cell>
          <cell r="K53" t="str">
            <v>Flight One Way</v>
          </cell>
          <cell r="L53" t="str">
            <v>18-09-2025 13:26:09</v>
          </cell>
          <cell r="M53" t="str">
            <v>Wings Air Domestic UPG Hasanuddin IW-1350 - Wings Air  LLO Lagaligo Airport IW-1350</v>
          </cell>
          <cell r="N53" t="str">
            <v>OF PR AE</v>
          </cell>
          <cell r="O53">
            <v>7411140</v>
          </cell>
          <cell r="P53" t="str">
            <v>22/09/2025 08:10:00 - 22/09/2025 09:05:00</v>
          </cell>
          <cell r="Q53">
            <v>1455300</v>
          </cell>
        </row>
        <row r="54">
          <cell r="A54">
            <v>1285421342</v>
          </cell>
          <cell r="B54" t="str">
            <v>8609651Z</v>
          </cell>
          <cell r="C54" t="str">
            <v>KOMANG YEHUDA PRAWIRA</v>
          </cell>
          <cell r="D54">
            <v>86098203</v>
          </cell>
          <cell r="E54">
            <v>4120177845</v>
          </cell>
          <cell r="F54">
            <v>54</v>
          </cell>
          <cell r="G54" t="str">
            <v>Perjalanan Dinas Non-Diklat</v>
          </cell>
          <cell r="H54" t="str">
            <v>Kota Makassar - Kota Palopo</v>
          </cell>
          <cell r="I54" t="str">
            <v>22/09/2025 - 24/09/2025</v>
          </cell>
          <cell r="J54">
            <v>3</v>
          </cell>
          <cell r="K54" t="str">
            <v>Flight Round-Trip</v>
          </cell>
          <cell r="L54" t="str">
            <v>18-09-2025 13:26:07</v>
          </cell>
          <cell r="M54" t="str">
            <v>Wings Air Domestic UPG Hasanuddin IW-1350 - Wings Air  LLO Lagaligo Airport IW-1350</v>
          </cell>
          <cell r="N54" t="str">
            <v>MAN STR SAR</v>
          </cell>
          <cell r="O54">
            <v>7411143</v>
          </cell>
          <cell r="P54" t="str">
            <v>22/09/2025 08:10:00 - 22/09/2025 09:05:00</v>
          </cell>
          <cell r="Q54">
            <v>2810700</v>
          </cell>
        </row>
        <row r="55">
          <cell r="A55">
            <v>1285362783</v>
          </cell>
          <cell r="B55" t="str">
            <v>94191877ZY</v>
          </cell>
          <cell r="C55" t="str">
            <v>DHYMAS WICAKSONO</v>
          </cell>
          <cell r="D55">
            <v>94197618</v>
          </cell>
          <cell r="E55">
            <v>4120177801</v>
          </cell>
          <cell r="F55">
            <v>54</v>
          </cell>
          <cell r="G55" t="str">
            <v>Perjalanan Dinas Non-Diklat</v>
          </cell>
          <cell r="H55" t="str">
            <v>Kab. Wajo - Kota Makassar</v>
          </cell>
          <cell r="I55" t="str">
            <v>18/09/2025 - 19/09/2025</v>
          </cell>
          <cell r="J55">
            <v>2</v>
          </cell>
          <cell r="K55" t="str">
            <v>Hotel</v>
          </cell>
          <cell r="L55" t="str">
            <v>18-09-2025 09:31:30</v>
          </cell>
          <cell r="M55" t="str">
            <v xml:space="preserve">Aston Inn Pantai Losari Makassar - 3.0 Stars  - </v>
          </cell>
          <cell r="N55" t="str">
            <v>TL YAN GAN</v>
          </cell>
          <cell r="O55">
            <v>7409620</v>
          </cell>
          <cell r="P55" t="str">
            <v>18/09/2025 14:00:00 - 19/09/2025 12:00:00</v>
          </cell>
          <cell r="Q55">
            <v>625228</v>
          </cell>
        </row>
        <row r="56">
          <cell r="A56">
            <v>1285459596</v>
          </cell>
          <cell r="B56" t="str">
            <v>8509308Z</v>
          </cell>
          <cell r="C56" t="str">
            <v>LELY SRIHANDAYANI</v>
          </cell>
          <cell r="D56">
            <v>85097604</v>
          </cell>
          <cell r="E56">
            <v>4120177819</v>
          </cell>
          <cell r="F56">
            <v>54</v>
          </cell>
          <cell r="G56" t="str">
            <v>Perjalanan Dinas Non-Diklat</v>
          </cell>
          <cell r="H56" t="str">
            <v>Kota Makassar - Kota Denpasar</v>
          </cell>
          <cell r="I56" t="str">
            <v>18/09/2025 - 20/09/2025</v>
          </cell>
          <cell r="J56">
            <v>3</v>
          </cell>
          <cell r="K56" t="str">
            <v>Hotel</v>
          </cell>
          <cell r="L56" t="str">
            <v>18-09-2025 15:58:05</v>
          </cell>
          <cell r="M56" t="str">
            <v xml:space="preserve">Ramada by Wyndham Bali Sunset Road Kuta - 4.0 Stars  - </v>
          </cell>
          <cell r="N56" t="str">
            <v>SOF OP DAN HAR SIS DIST</v>
          </cell>
          <cell r="O56">
            <v>7412000</v>
          </cell>
          <cell r="P56" t="str">
            <v>18/09/2025 14:00:00 - 20/09/2025 12:00:00</v>
          </cell>
          <cell r="Q56">
            <v>1888000</v>
          </cell>
        </row>
        <row r="57">
          <cell r="A57">
            <v>1285239102</v>
          </cell>
          <cell r="B57" t="str">
            <v>8208010F</v>
          </cell>
          <cell r="C57" t="str">
            <v>ISMAIL SYAHRIR</v>
          </cell>
          <cell r="D57">
            <v>82087610</v>
          </cell>
          <cell r="E57">
            <v>4120177816</v>
          </cell>
          <cell r="F57">
            <v>54</v>
          </cell>
          <cell r="G57" t="str">
            <v>Perjalanan Dinas Non-Diklat</v>
          </cell>
          <cell r="H57" t="str">
            <v>Kab. Bulukumba - Kota Makassar</v>
          </cell>
          <cell r="I57" t="str">
            <v>18/09/2025 - 19/09/2025</v>
          </cell>
          <cell r="J57">
            <v>2</v>
          </cell>
          <cell r="K57" t="str">
            <v>Hotel</v>
          </cell>
          <cell r="L57" t="str">
            <v>17-09-2025 17:43:35</v>
          </cell>
          <cell r="M57" t="str">
            <v xml:space="preserve">Gammara Hotel Makassar - 4.0 Stars  - </v>
          </cell>
          <cell r="N57" t="str">
            <v>TL DAL SUSUT</v>
          </cell>
          <cell r="O57">
            <v>7411273</v>
          </cell>
          <cell r="P57" t="str">
            <v>18/09/2025 14:00:00 - 19/09/2025 12:00:00</v>
          </cell>
          <cell r="Q57">
            <v>700757</v>
          </cell>
        </row>
        <row r="58">
          <cell r="A58">
            <v>1285243140</v>
          </cell>
          <cell r="B58" t="str">
            <v>8512122ZY</v>
          </cell>
          <cell r="C58" t="str">
            <v>AHMAD FAUZI ALADIN SM</v>
          </cell>
          <cell r="D58">
            <v>85120401</v>
          </cell>
          <cell r="E58">
            <v>4120177749</v>
          </cell>
          <cell r="F58">
            <v>54</v>
          </cell>
          <cell r="G58" t="str">
            <v>Perjalanan Dinas Non-Diklat</v>
          </cell>
          <cell r="H58" t="str">
            <v>Kota Makassar - Kab. Toraja Utara</v>
          </cell>
          <cell r="I58" t="str">
            <v>17/09/2025 - 19/09/2025</v>
          </cell>
          <cell r="J58">
            <v>3</v>
          </cell>
          <cell r="K58" t="str">
            <v>Hotel</v>
          </cell>
          <cell r="L58" t="str">
            <v>17-09-2025 18:02:07</v>
          </cell>
          <cell r="M58" t="str">
            <v xml:space="preserve">Niel Hotel Toraja - 1.0 Stars  - </v>
          </cell>
          <cell r="N58" t="str">
            <v>SOF IPP DAN EXCESS POWER</v>
          </cell>
          <cell r="O58">
            <v>7412110</v>
          </cell>
          <cell r="P58" t="str">
            <v>17/09/2025 14:00:00 - 18/09/2025 12:00:00</v>
          </cell>
          <cell r="Q58">
            <v>925926</v>
          </cell>
        </row>
        <row r="59">
          <cell r="A59">
            <v>1285242344</v>
          </cell>
          <cell r="B59" t="str">
            <v>8714012ZY</v>
          </cell>
          <cell r="C59" t="str">
            <v>AGUS PUTRA ABBAS</v>
          </cell>
          <cell r="D59">
            <v>87147800</v>
          </cell>
          <cell r="E59">
            <v>4120177748</v>
          </cell>
          <cell r="F59">
            <v>54</v>
          </cell>
          <cell r="G59" t="str">
            <v>Perjalanan Dinas Non-Diklat</v>
          </cell>
          <cell r="H59" t="str">
            <v>Kota Makassar - Kab. Toraja Utara</v>
          </cell>
          <cell r="I59" t="str">
            <v>17/09/2025 - 19/09/2025</v>
          </cell>
          <cell r="J59">
            <v>3</v>
          </cell>
          <cell r="K59" t="str">
            <v>Hotel</v>
          </cell>
          <cell r="L59" t="str">
            <v>17-09-2025 17:58:26</v>
          </cell>
          <cell r="M59" t="str">
            <v xml:space="preserve">Niel Hotel Toraja - 1.0 Stars  - </v>
          </cell>
          <cell r="N59" t="str">
            <v>SOF IPP DAN EXCESS POWER</v>
          </cell>
          <cell r="O59">
            <v>7412110</v>
          </cell>
          <cell r="P59" t="str">
            <v>17/09/2025 14:00:00 - 18/09/2025 12:00:00</v>
          </cell>
          <cell r="Q59">
            <v>925926</v>
          </cell>
        </row>
        <row r="60">
          <cell r="A60">
            <v>1285150729</v>
          </cell>
          <cell r="B60" t="str">
            <v>94191880ZY</v>
          </cell>
          <cell r="C60" t="str">
            <v>RIKO ASHARI</v>
          </cell>
          <cell r="D60">
            <v>94197621</v>
          </cell>
          <cell r="E60">
            <v>4120177800</v>
          </cell>
          <cell r="F60">
            <v>54</v>
          </cell>
          <cell r="G60" t="str">
            <v>Perjalanan Dinas Non-Diklat</v>
          </cell>
          <cell r="H60" t="str">
            <v>Kota Palopo - Kota Makassar</v>
          </cell>
          <cell r="I60" t="str">
            <v>17/09/2025 - 19/09/2025</v>
          </cell>
          <cell r="J60">
            <v>3</v>
          </cell>
          <cell r="K60" t="str">
            <v>Hotel</v>
          </cell>
          <cell r="L60" t="str">
            <v>17-09-2025 11:39:43</v>
          </cell>
          <cell r="M60" t="str">
            <v xml:space="preserve">MaxOneHotels.com @ Resort Makassar - 4.0 Stars  - </v>
          </cell>
          <cell r="N60" t="str">
            <v>TL YAN GAN</v>
          </cell>
          <cell r="O60">
            <v>7409636</v>
          </cell>
          <cell r="P60" t="str">
            <v>17/09/2025 14:00:00 - 19/09/2025 12:00:00</v>
          </cell>
          <cell r="Q60">
            <v>1023686</v>
          </cell>
        </row>
        <row r="61">
          <cell r="A61">
            <v>1285149136</v>
          </cell>
          <cell r="B61" t="str">
            <v>9719989ZY</v>
          </cell>
          <cell r="C61" t="str">
            <v>INDAH ADELIA NUR SYAHBANI</v>
          </cell>
          <cell r="D61">
            <v>97197614</v>
          </cell>
          <cell r="E61">
            <v>4120177780</v>
          </cell>
          <cell r="F61">
            <v>54</v>
          </cell>
          <cell r="G61" t="str">
            <v>Perjalanan Dinas Non-Diklat</v>
          </cell>
          <cell r="H61" t="str">
            <v>Kab. Polewali Mandar - Kota Makassar</v>
          </cell>
          <cell r="I61" t="str">
            <v>17/09/2025 - 19/09/2025</v>
          </cell>
          <cell r="J61">
            <v>3</v>
          </cell>
          <cell r="K61" t="str">
            <v>Hotel</v>
          </cell>
          <cell r="L61" t="str">
            <v>17-09-2025 11:33:15</v>
          </cell>
          <cell r="M61" t="str">
            <v xml:space="preserve">Gammara Hotel Makassar - 4.0 Stars  - </v>
          </cell>
          <cell r="N61" t="str">
            <v>TL YAN GAN</v>
          </cell>
          <cell r="O61">
            <v>7409657</v>
          </cell>
          <cell r="P61" t="str">
            <v>17/09/2025 14:00:00 - 19/09/2025 12:00:00</v>
          </cell>
          <cell r="Q61">
            <v>1529412</v>
          </cell>
        </row>
        <row r="62">
          <cell r="A62">
            <v>1285326810</v>
          </cell>
          <cell r="B62" t="str">
            <v>9312017FY</v>
          </cell>
          <cell r="C62" t="str">
            <v>RAHMAT HIDAYAT</v>
          </cell>
          <cell r="D62">
            <v>93127602</v>
          </cell>
          <cell r="E62">
            <v>4120177791</v>
          </cell>
          <cell r="F62">
            <v>54</v>
          </cell>
          <cell r="G62" t="str">
            <v>Perjalanan Dinas Non-Diklat</v>
          </cell>
          <cell r="H62" t="str">
            <v>Kab.PolewaliMandar-KotaMakassar</v>
          </cell>
          <cell r="I62" t="str">
            <v>17/09/2025 - 19/09/2025</v>
          </cell>
          <cell r="J62">
            <v>3</v>
          </cell>
          <cell r="K62" t="str">
            <v>Hotel</v>
          </cell>
          <cell r="L62" t="str">
            <v>18-09-2025 04:27:41</v>
          </cell>
          <cell r="M62" t="str">
            <v xml:space="preserve">Swiss-Belinn Panakkukang - 4.0 Stars  - </v>
          </cell>
          <cell r="N62" t="str">
            <v>TL TE LAY GAN</v>
          </cell>
          <cell r="O62">
            <v>7409657</v>
          </cell>
          <cell r="P62" t="str">
            <v>18/09/2025 14:00:00 - 19/09/2025 12:00:00</v>
          </cell>
          <cell r="Q62">
            <v>720000</v>
          </cell>
        </row>
        <row r="63">
          <cell r="A63">
            <v>1285131374</v>
          </cell>
          <cell r="B63" t="str">
            <v>9014706ZY</v>
          </cell>
          <cell r="C63" t="str">
            <v>ROLANDI TUMPAL FERNANDES MARTUA SIREGAR</v>
          </cell>
          <cell r="D63">
            <v>90147609</v>
          </cell>
          <cell r="E63">
            <v>4120177798</v>
          </cell>
          <cell r="F63">
            <v>54</v>
          </cell>
          <cell r="G63" t="str">
            <v>Perjalanan Dinas Non-Diklat</v>
          </cell>
          <cell r="H63" t="str">
            <v>Kab. Bone - Kota Makassar</v>
          </cell>
          <cell r="I63" t="str">
            <v>17/09/2025 - 18/09/2025</v>
          </cell>
          <cell r="J63">
            <v>2</v>
          </cell>
          <cell r="K63" t="str">
            <v>Hotel</v>
          </cell>
          <cell r="L63" t="str">
            <v>17-09-2025 10:19:41</v>
          </cell>
          <cell r="M63" t="str">
            <v xml:space="preserve">Aston Makassar Hotel &amp; Convention Center - 4.0 Stars  - </v>
          </cell>
          <cell r="N63" t="str">
            <v>ASMAN TE LIST</v>
          </cell>
          <cell r="O63">
            <v>7411232</v>
          </cell>
          <cell r="P63" t="str">
            <v>17/09/2025 14:00:00 - 18/09/2025 12:00:00</v>
          </cell>
          <cell r="Q63">
            <v>954362</v>
          </cell>
        </row>
        <row r="64">
          <cell r="A64">
            <v>1285143302</v>
          </cell>
          <cell r="B64" t="str">
            <v>94191467ZY</v>
          </cell>
          <cell r="C64" t="str">
            <v>KHAERUL JIHADI</v>
          </cell>
          <cell r="D64">
            <v>94197615</v>
          </cell>
          <cell r="E64">
            <v>4120177786</v>
          </cell>
          <cell r="F64">
            <v>54</v>
          </cell>
          <cell r="G64" t="str">
            <v>Perjalanan Dinas Non-Diklat</v>
          </cell>
          <cell r="H64" t="str">
            <v>Kab. Buton Tengah - Kota Makassar</v>
          </cell>
          <cell r="I64" t="str">
            <v>17/09/2025 - 19/09/2025</v>
          </cell>
          <cell r="J64">
            <v>3</v>
          </cell>
          <cell r="K64" t="str">
            <v>Hotel</v>
          </cell>
          <cell r="L64" t="str">
            <v>17-09-2025 11:09:43</v>
          </cell>
          <cell r="M64" t="str">
            <v xml:space="preserve">Vasaka Hotel Makassar Managed By Dafam - 3.5 Stars  - </v>
          </cell>
          <cell r="N64" t="str">
            <v>TL TE LAY GAN</v>
          </cell>
          <cell r="O64">
            <v>7409654</v>
          </cell>
          <cell r="P64" t="str">
            <v>17/09/2025 14:00:00 - 19/09/2025 12:00:00</v>
          </cell>
          <cell r="Q64">
            <v>1276500</v>
          </cell>
        </row>
        <row r="65">
          <cell r="A65">
            <v>1285480123</v>
          </cell>
          <cell r="B65" t="str">
            <v>8403069F</v>
          </cell>
          <cell r="C65" t="str">
            <v>DEWI ARJUNI KUSNADI</v>
          </cell>
          <cell r="D65">
            <v>84037602</v>
          </cell>
          <cell r="E65">
            <v>4120177773</v>
          </cell>
          <cell r="F65">
            <v>54</v>
          </cell>
          <cell r="G65" t="str">
            <v>Perjalanan Dinas Non-Diklat</v>
          </cell>
          <cell r="H65" t="str">
            <v>Kota Makassar - Jakarta Selatan</v>
          </cell>
          <cell r="I65" t="str">
            <v>18/09/2025 - 19/09/2025</v>
          </cell>
          <cell r="J65">
            <v>2</v>
          </cell>
          <cell r="K65" t="str">
            <v>Hotel</v>
          </cell>
          <cell r="L65" t="str">
            <v>18-09-2025 17:24:17</v>
          </cell>
          <cell r="M65" t="str">
            <v xml:space="preserve">Harper MT Haryono, Cawang by ASTON - 3.0 Stars  - </v>
          </cell>
          <cell r="N65" t="str">
            <v>OF TJSL</v>
          </cell>
          <cell r="O65">
            <v>7412163</v>
          </cell>
          <cell r="P65" t="str">
            <v>18/09/2025 14:00:00 - 19/09/2025 12:00:00</v>
          </cell>
          <cell r="Q65">
            <v>790831</v>
          </cell>
        </row>
        <row r="66">
          <cell r="A66">
            <v>1285154028</v>
          </cell>
          <cell r="B66" t="str">
            <v>8403069F</v>
          </cell>
          <cell r="C66" t="str">
            <v>DEWI ARJUNI KUSNADI</v>
          </cell>
          <cell r="D66">
            <v>84037602</v>
          </cell>
          <cell r="E66">
            <v>4120177773</v>
          </cell>
          <cell r="F66">
            <v>54</v>
          </cell>
          <cell r="G66" t="str">
            <v>Perjalanan Dinas Non-Diklat</v>
          </cell>
          <cell r="H66" t="str">
            <v>Kota Makassar - Jakarta Selatan</v>
          </cell>
          <cell r="I66" t="str">
            <v>18/09/2025 - 19/09/2025</v>
          </cell>
          <cell r="J66">
            <v>2</v>
          </cell>
          <cell r="K66" t="str">
            <v>Flight One Way</v>
          </cell>
          <cell r="L66" t="str">
            <v>17-09-2025 11:53:10</v>
          </cell>
          <cell r="M66" t="str">
            <v>Batik Air Domestic UPG Hasanuddin ID-6265 - Batik Air 2D CGK Soekarno Hatta International Airport ID-6265</v>
          </cell>
          <cell r="N66" t="str">
            <v>OF TJSL</v>
          </cell>
          <cell r="O66">
            <v>7412163</v>
          </cell>
          <cell r="P66" t="str">
            <v>18/09/2025 06:25:00 - 18/09/2025 07:45:00</v>
          </cell>
          <cell r="Q66">
            <v>1445800</v>
          </cell>
        </row>
        <row r="67">
          <cell r="A67">
            <v>1285432488</v>
          </cell>
          <cell r="B67" t="str">
            <v>88112344Z</v>
          </cell>
          <cell r="C67" t="str">
            <v>ANGGIH PRASETYA</v>
          </cell>
          <cell r="D67">
            <v>88117613</v>
          </cell>
          <cell r="E67">
            <v>4120177784</v>
          </cell>
          <cell r="F67">
            <v>54</v>
          </cell>
          <cell r="G67" t="str">
            <v>Perjalanan Dinas Non-Diklat</v>
          </cell>
          <cell r="H67" t="str">
            <v>KotaBaubau-KotaMakassar</v>
          </cell>
          <cell r="I67" t="str">
            <v>17/09/2025 - 19/09/2025</v>
          </cell>
          <cell r="J67">
            <v>3</v>
          </cell>
          <cell r="K67" t="str">
            <v>Hotel</v>
          </cell>
          <cell r="L67" t="str">
            <v>18-09-2025 14:10:38</v>
          </cell>
          <cell r="M67" t="str">
            <v>Aston Makassar Hotel &amp; Convention Center - 4.0 Stars  - Deluxe</v>
          </cell>
          <cell r="N67" t="str">
            <v>ASMAN TE LIST</v>
          </cell>
          <cell r="O67">
            <v>7411284</v>
          </cell>
          <cell r="P67" t="str">
            <v>18/09/2025 14:00:00 - 19/09/2025 12:00:00</v>
          </cell>
          <cell r="Q67">
            <v>803950</v>
          </cell>
        </row>
        <row r="68">
          <cell r="A68">
            <v>1285096049</v>
          </cell>
          <cell r="B68" t="str">
            <v>88112344Z</v>
          </cell>
          <cell r="C68" t="str">
            <v>ANGGIH PRASETYA</v>
          </cell>
          <cell r="D68">
            <v>88117613</v>
          </cell>
          <cell r="E68">
            <v>4120177784</v>
          </cell>
          <cell r="F68">
            <v>54</v>
          </cell>
          <cell r="G68" t="str">
            <v>Perjalanan Dinas Non-Diklat</v>
          </cell>
          <cell r="H68" t="str">
            <v>Kota Baubau - Kota Makassar</v>
          </cell>
          <cell r="I68" t="str">
            <v>17/09/2025 - 19/09/2025</v>
          </cell>
          <cell r="J68">
            <v>3</v>
          </cell>
          <cell r="K68" t="str">
            <v>Flight One Way</v>
          </cell>
          <cell r="L68" t="str">
            <v>17-09-2025 07:01:11</v>
          </cell>
          <cell r="M68" t="str">
            <v>Super Air Jet  BUW Betoambari IU-573 - Super Air Jet  UPG Hasanuddin IU-573</v>
          </cell>
          <cell r="N68" t="str">
            <v>ASMAN TE LIST</v>
          </cell>
          <cell r="O68">
            <v>7411284</v>
          </cell>
          <cell r="P68" t="str">
            <v>17/09/2025 15:15:00 - 17/09/2025 16:00:00</v>
          </cell>
          <cell r="Q68">
            <v>744200</v>
          </cell>
        </row>
        <row r="69">
          <cell r="A69">
            <v>1285061599</v>
          </cell>
          <cell r="B69" t="str">
            <v>9110047F</v>
          </cell>
          <cell r="C69" t="str">
            <v>ANDY JUNIWASTIAR</v>
          </cell>
          <cell r="D69">
            <v>91107606</v>
          </cell>
          <cell r="E69">
            <v>4120177760</v>
          </cell>
          <cell r="F69">
            <v>54</v>
          </cell>
          <cell r="G69" t="str">
            <v>Perjalanan Dinas Non-Diklat</v>
          </cell>
          <cell r="H69" t="str">
            <v>Kota Makassar - Jakarta Barat</v>
          </cell>
          <cell r="I69" t="str">
            <v>17/09/2025 - 27/09/2025</v>
          </cell>
          <cell r="J69">
            <v>11</v>
          </cell>
          <cell r="K69" t="str">
            <v>Flight One Way</v>
          </cell>
          <cell r="L69" t="str">
            <v>16-09-2025 22:10:32</v>
          </cell>
          <cell r="M69" t="str">
            <v>Garuda Indonesia Domestic UPG Hasanuddin GA-641 - Garuda Indonesia  CGK Soekarno Hatta International Airport GA-641</v>
          </cell>
          <cell r="N69" t="str">
            <v>TL K3L DAN KAM</v>
          </cell>
          <cell r="O69">
            <v>74092701</v>
          </cell>
          <cell r="P69" t="str">
            <v>17/09/2025 12:15:00 - 17/09/2025 13:40:00</v>
          </cell>
          <cell r="Q69">
            <v>2345200</v>
          </cell>
        </row>
        <row r="70">
          <cell r="A70">
            <v>1285040778</v>
          </cell>
          <cell r="B70" t="str">
            <v>95201059ZY</v>
          </cell>
          <cell r="C70" t="str">
            <v>SUPRIANTO MARWING</v>
          </cell>
          <cell r="D70">
            <v>95207607</v>
          </cell>
          <cell r="E70">
            <v>4120177777</v>
          </cell>
          <cell r="F70">
            <v>54</v>
          </cell>
          <cell r="G70" t="str">
            <v>Perjalanan Dinas Non-Diklat</v>
          </cell>
          <cell r="H70" t="str">
            <v>Kab. Buton Tengah - Kota Makassar</v>
          </cell>
          <cell r="I70" t="str">
            <v>17/09/2025 - 19/09/2025</v>
          </cell>
          <cell r="J70">
            <v>3</v>
          </cell>
          <cell r="K70" t="str">
            <v>Flight One Way</v>
          </cell>
          <cell r="L70" t="str">
            <v>16-09-2025 20:33:03</v>
          </cell>
          <cell r="M70" t="str">
            <v>Wings Air  BUW Betoambari IW-1305 - Wings Air Domestic UPG Hasanuddin IW-1305</v>
          </cell>
          <cell r="N70" t="str">
            <v>TL YAN GAN</v>
          </cell>
          <cell r="O70">
            <v>7409654</v>
          </cell>
          <cell r="P70" t="str">
            <v>17/09/2025 06:30:00 - 17/09/2025 07:40:00</v>
          </cell>
          <cell r="Q70">
            <v>1139700</v>
          </cell>
        </row>
        <row r="71">
          <cell r="A71">
            <v>1285332713</v>
          </cell>
          <cell r="B71" t="str">
            <v>95201059ZY</v>
          </cell>
          <cell r="C71" t="str">
            <v>SUPRIANTO MARWING</v>
          </cell>
          <cell r="D71">
            <v>95207607</v>
          </cell>
          <cell r="E71">
            <v>4120177777</v>
          </cell>
          <cell r="F71">
            <v>54</v>
          </cell>
          <cell r="G71" t="str">
            <v>Perjalanan Dinas Non-Diklat</v>
          </cell>
          <cell r="H71" t="str">
            <v>Kab.ButonTengah-KotaMakassar</v>
          </cell>
          <cell r="I71" t="str">
            <v>17/09/2025 - 19/09/2025</v>
          </cell>
          <cell r="J71">
            <v>3</v>
          </cell>
          <cell r="K71" t="str">
            <v>Hotel</v>
          </cell>
          <cell r="L71" t="str">
            <v>18-09-2025 06:18:12</v>
          </cell>
          <cell r="M71" t="str">
            <v xml:space="preserve">Gammara Hotel Makassar - 4.0 Stars  - </v>
          </cell>
          <cell r="N71" t="str">
            <v>TL YAN GAN</v>
          </cell>
          <cell r="O71">
            <v>7412280</v>
          </cell>
          <cell r="P71" t="str">
            <v>18/09/2025 14:00:00 - 19/09/2025 12:00:00</v>
          </cell>
          <cell r="Q71">
            <v>729412</v>
          </cell>
        </row>
        <row r="72">
          <cell r="A72">
            <v>1285115802</v>
          </cell>
          <cell r="B72" t="str">
            <v>95201059ZY</v>
          </cell>
          <cell r="C72" t="str">
            <v>SUPRIANTO MARWING</v>
          </cell>
          <cell r="D72">
            <v>95207607</v>
          </cell>
          <cell r="E72">
            <v>4120177777</v>
          </cell>
          <cell r="F72">
            <v>54</v>
          </cell>
          <cell r="G72" t="str">
            <v>Perjalanan Dinas Non-Diklat</v>
          </cell>
          <cell r="H72" t="str">
            <v>Kab. Buton Tengah - Kota Makassar</v>
          </cell>
          <cell r="I72" t="str">
            <v>17/09/2025 - 19/09/2025</v>
          </cell>
          <cell r="J72">
            <v>3</v>
          </cell>
          <cell r="K72" t="str">
            <v>Flight One Way</v>
          </cell>
          <cell r="L72" t="str">
            <v>17-09-2025 09:09:55</v>
          </cell>
          <cell r="M72" t="str">
            <v>Super Air Jet  UPG Hasanuddin IU-572 - Super Air Jet  BUW Betoambari IU-572</v>
          </cell>
          <cell r="N72" t="str">
            <v>TL YAN GAN</v>
          </cell>
          <cell r="O72">
            <v>7409654</v>
          </cell>
          <cell r="P72" t="str">
            <v>19/09/2025 13:50:00 - 19/09/2025 14:35:00</v>
          </cell>
          <cell r="Q72">
            <v>844100</v>
          </cell>
        </row>
        <row r="73">
          <cell r="A73">
            <v>1285031069</v>
          </cell>
          <cell r="B73" t="str">
            <v>0124013ZY</v>
          </cell>
          <cell r="C73" t="str">
            <v>ARDAYA PRATAMA</v>
          </cell>
          <cell r="D73">
            <v>1247601</v>
          </cell>
          <cell r="E73">
            <v>4120177772</v>
          </cell>
          <cell r="F73">
            <v>54</v>
          </cell>
          <cell r="G73" t="str">
            <v>Perjalanan Dinas Non-Diklat</v>
          </cell>
          <cell r="H73" t="str">
            <v>Kota Baubau - Kota Makassar</v>
          </cell>
          <cell r="I73" t="str">
            <v>17/09/2025 - 19/09/2025</v>
          </cell>
          <cell r="J73">
            <v>3</v>
          </cell>
          <cell r="K73" t="str">
            <v>Flight One Way</v>
          </cell>
          <cell r="L73" t="str">
            <v>16-09-2025 19:50:47</v>
          </cell>
          <cell r="M73" t="str">
            <v>Wings Air  BUW Betoambari IW-1305 - Wings Air Domestic UPG Hasanuddin IW-1305</v>
          </cell>
          <cell r="N73" t="str">
            <v>TC DAL SUSUT</v>
          </cell>
          <cell r="O73">
            <v>7411284</v>
          </cell>
          <cell r="P73" t="str">
            <v>17/09/2025 06:30:00 - 17/09/2025 07:40:00</v>
          </cell>
          <cell r="Q73">
            <v>1139700</v>
          </cell>
        </row>
        <row r="74">
          <cell r="A74">
            <v>1285470867</v>
          </cell>
          <cell r="B74" t="str">
            <v>0124013ZY</v>
          </cell>
          <cell r="C74" t="str">
            <v>ARDAYA PRATAMA</v>
          </cell>
          <cell r="D74">
            <v>1247601</v>
          </cell>
          <cell r="E74">
            <v>4120177772</v>
          </cell>
          <cell r="F74">
            <v>54</v>
          </cell>
          <cell r="G74" t="str">
            <v>Perjalanan Dinas Non-Diklat</v>
          </cell>
          <cell r="H74" t="str">
            <v>KotaBaubau-KotaMakassar</v>
          </cell>
          <cell r="I74" t="str">
            <v>17/09/2025 - 19/09/2025</v>
          </cell>
          <cell r="J74">
            <v>3</v>
          </cell>
          <cell r="K74" t="str">
            <v>Flight One Way</v>
          </cell>
          <cell r="L74" t="str">
            <v>18-09-2025 16:44:20</v>
          </cell>
          <cell r="M74" t="str">
            <v>Super Air Jet  UPG Hasanuddin IU-572 - Super Air Jet  BUW Betoambari IU-572</v>
          </cell>
          <cell r="N74" t="str">
            <v>TC DAL SUSUT</v>
          </cell>
          <cell r="O74">
            <v>7411284</v>
          </cell>
          <cell r="P74" t="str">
            <v>19/09/2025 09:50:00 - 19/09/2025 10:35:00</v>
          </cell>
          <cell r="Q74">
            <v>844100</v>
          </cell>
        </row>
        <row r="75">
          <cell r="A75">
            <v>1285051591</v>
          </cell>
          <cell r="B75" t="str">
            <v>0124013ZY</v>
          </cell>
          <cell r="C75" t="str">
            <v>ARDAYA PRATAMA</v>
          </cell>
          <cell r="D75">
            <v>1247601</v>
          </cell>
          <cell r="E75">
            <v>4120177772</v>
          </cell>
          <cell r="F75">
            <v>54</v>
          </cell>
          <cell r="G75" t="str">
            <v>Perjalanan Dinas Non-Diklat</v>
          </cell>
          <cell r="H75" t="str">
            <v>Kota Baubau - Kota Makassar</v>
          </cell>
          <cell r="I75" t="str">
            <v>17/09/2025 - 19/09/2025</v>
          </cell>
          <cell r="J75">
            <v>3</v>
          </cell>
          <cell r="K75" t="str">
            <v>Hotel</v>
          </cell>
          <cell r="L75" t="str">
            <v>16-09-2025 21:21:21</v>
          </cell>
          <cell r="M75" t="str">
            <v xml:space="preserve">Aston Makassar Hotel &amp; Convention Center - 4.0 Stars  - </v>
          </cell>
          <cell r="N75" t="str">
            <v>TC DAL SUSUT</v>
          </cell>
          <cell r="O75">
            <v>7411284</v>
          </cell>
          <cell r="P75" t="str">
            <v>17/09/2025 14:00:00 - 19/09/2025 12:00:00</v>
          </cell>
          <cell r="Q75">
            <v>1447110</v>
          </cell>
        </row>
        <row r="76">
          <cell r="A76">
            <v>1285031276</v>
          </cell>
          <cell r="B76" t="str">
            <v>8909011F</v>
          </cell>
          <cell r="C76" t="str">
            <v>MUHAMMAD IQBAL NUR</v>
          </cell>
          <cell r="D76">
            <v>89097601</v>
          </cell>
          <cell r="E76">
            <v>4120177765</v>
          </cell>
          <cell r="F76">
            <v>54</v>
          </cell>
          <cell r="G76" t="str">
            <v>Perjalanan Dinas Non-Diklat</v>
          </cell>
          <cell r="H76" t="str">
            <v>Kota Baubau - Kota Makassar</v>
          </cell>
          <cell r="I76" t="str">
            <v>17/09/2025 - 19/09/2025</v>
          </cell>
          <cell r="J76">
            <v>3</v>
          </cell>
          <cell r="K76" t="str">
            <v>Flight One Way</v>
          </cell>
          <cell r="L76" t="str">
            <v>16-09-2025 19:51:44</v>
          </cell>
          <cell r="M76" t="str">
            <v>Wings Air  BUW Betoambari IW-1305 - Wings Air Domestic UPG Hasanuddin IW-1305</v>
          </cell>
          <cell r="N76" t="str">
            <v>TL DAL SUSUT</v>
          </cell>
          <cell r="O76">
            <v>7411284</v>
          </cell>
          <cell r="P76" t="str">
            <v>17/09/2025 06:30:00 - 17/09/2025 07:40:00</v>
          </cell>
          <cell r="Q76">
            <v>1139700</v>
          </cell>
        </row>
        <row r="77">
          <cell r="A77">
            <v>1285120216</v>
          </cell>
          <cell r="B77" t="str">
            <v>8909011F</v>
          </cell>
          <cell r="C77" t="str">
            <v>MUHAMMAD IQBAL NUR</v>
          </cell>
          <cell r="D77">
            <v>89097601</v>
          </cell>
          <cell r="E77">
            <v>4120177765</v>
          </cell>
          <cell r="F77">
            <v>54</v>
          </cell>
          <cell r="G77" t="str">
            <v>Perjalanan Dinas Non-Diklat</v>
          </cell>
          <cell r="H77" t="str">
            <v>Kota Baubau - Kota Makassar</v>
          </cell>
          <cell r="I77" t="str">
            <v>17/09/2025 - 19/09/2025</v>
          </cell>
          <cell r="J77">
            <v>3</v>
          </cell>
          <cell r="K77" t="str">
            <v>Hotel</v>
          </cell>
          <cell r="L77" t="str">
            <v>17-09-2025 09:30:40</v>
          </cell>
          <cell r="M77" t="str">
            <v xml:space="preserve">Four Points by Sheraton Makassar - 4.0 Stars  - </v>
          </cell>
          <cell r="N77" t="str">
            <v>TL DAL SUSUT</v>
          </cell>
          <cell r="O77">
            <v>7411284</v>
          </cell>
          <cell r="P77" t="str">
            <v>17/09/2025 14:00:00 - 19/09/2025 12:00:00</v>
          </cell>
          <cell r="Q77">
            <v>1500400</v>
          </cell>
        </row>
        <row r="78">
          <cell r="A78">
            <v>1285483435</v>
          </cell>
          <cell r="B78" t="str">
            <v>89112122Z</v>
          </cell>
          <cell r="C78" t="str">
            <v>SOBRI FADILLAH</v>
          </cell>
          <cell r="D78">
            <v>89117600</v>
          </cell>
          <cell r="E78">
            <v>4120177775</v>
          </cell>
          <cell r="F78">
            <v>54</v>
          </cell>
          <cell r="G78" t="str">
            <v>Perjalanan Dinas Non-Diklat</v>
          </cell>
          <cell r="H78" t="str">
            <v>KotaParepare-KotaMakassar</v>
          </cell>
          <cell r="I78" t="str">
            <v>18/09/2025 - 19/09/2025</v>
          </cell>
          <cell r="J78">
            <v>2</v>
          </cell>
          <cell r="K78" t="str">
            <v>Hotel</v>
          </cell>
          <cell r="L78" t="str">
            <v>18-09-2025 17:39:24</v>
          </cell>
          <cell r="M78" t="str">
            <v xml:space="preserve">Swiss-Belinn Panakkukang - 4.0 Stars  - </v>
          </cell>
          <cell r="N78" t="str">
            <v>TL DAL SUSUT</v>
          </cell>
          <cell r="O78">
            <v>7411222</v>
          </cell>
          <cell r="P78" t="str">
            <v>18/09/2025 14:00:00 - 19/09/2025 12:00:00</v>
          </cell>
          <cell r="Q78">
            <v>845868</v>
          </cell>
        </row>
        <row r="79">
          <cell r="A79">
            <v>1285156349</v>
          </cell>
          <cell r="B79" t="str">
            <v>7394038F</v>
          </cell>
          <cell r="C79" t="str">
            <v>SARLINA M.KILYKILY</v>
          </cell>
          <cell r="D79">
            <v>73947604</v>
          </cell>
          <cell r="E79">
            <v>4120177771</v>
          </cell>
          <cell r="F79">
            <v>54</v>
          </cell>
          <cell r="G79" t="str">
            <v>Perjalanan Dinas Non-Diklat</v>
          </cell>
          <cell r="H79" t="str">
            <v>Kota Kendari - Kota Makassar</v>
          </cell>
          <cell r="I79" t="str">
            <v>17/09/2025 - 19/09/2025</v>
          </cell>
          <cell r="J79">
            <v>3</v>
          </cell>
          <cell r="K79" t="str">
            <v>Hotel</v>
          </cell>
          <cell r="L79" t="str">
            <v>17-09-2025 12:02:36</v>
          </cell>
          <cell r="M79" t="str">
            <v xml:space="preserve">Vasaka Hotel Makassar Managed By Dafam - 3.5 Stars  - </v>
          </cell>
          <cell r="N79" t="str">
            <v>ASMAN AGA DAN SAR</v>
          </cell>
          <cell r="O79">
            <v>7412243</v>
          </cell>
          <cell r="P79" t="str">
            <v>17/09/2025 14:00:00 - 19/09/2025 12:00:00</v>
          </cell>
          <cell r="Q79">
            <v>1746029</v>
          </cell>
        </row>
        <row r="80">
          <cell r="A80">
            <v>1284993573</v>
          </cell>
          <cell r="B80" t="str">
            <v>7394038F</v>
          </cell>
          <cell r="C80" t="str">
            <v>SARLINA M.KILYKILY</v>
          </cell>
          <cell r="D80">
            <v>73947604</v>
          </cell>
          <cell r="E80">
            <v>4120177771</v>
          </cell>
          <cell r="F80">
            <v>54</v>
          </cell>
          <cell r="G80" t="str">
            <v>Perjalanan Dinas Non-Diklat</v>
          </cell>
          <cell r="H80" t="str">
            <v>Kota Kendari - Kota Makassar</v>
          </cell>
          <cell r="I80" t="str">
            <v>17/09/2025 - 19/09/2025</v>
          </cell>
          <cell r="J80">
            <v>3</v>
          </cell>
          <cell r="K80" t="str">
            <v>Flight Round-Trip</v>
          </cell>
          <cell r="L80" t="str">
            <v>16-09-2025 16:59:56</v>
          </cell>
          <cell r="M80" t="str">
            <v>Lion Air  KDI Haluoleo JT-993 - Lion Air Domestic UPG Hasanuddin JT-993</v>
          </cell>
          <cell r="N80" t="str">
            <v>ASMAN AGA DAN SAR</v>
          </cell>
          <cell r="O80">
            <v>7412243</v>
          </cell>
          <cell r="P80" t="str">
            <v>17/09/2025 14:30:00 - 17/09/2025 15:25:00</v>
          </cell>
          <cell r="Q80">
            <v>1504000</v>
          </cell>
        </row>
        <row r="81">
          <cell r="A81">
            <v>1285006362</v>
          </cell>
          <cell r="B81" t="str">
            <v>9012488ZY</v>
          </cell>
          <cell r="C81" t="str">
            <v>RHAMADANI WIBISONO</v>
          </cell>
          <cell r="D81">
            <v>90127601</v>
          </cell>
          <cell r="E81">
            <v>4120177752</v>
          </cell>
          <cell r="F81">
            <v>54</v>
          </cell>
          <cell r="G81" t="str">
            <v>Perjalanan Dinas Non-Diklat</v>
          </cell>
          <cell r="H81" t="str">
            <v>Kota Palopo - Kota Makassar</v>
          </cell>
          <cell r="I81" t="str">
            <v>17/09/2025 - 19/09/2025</v>
          </cell>
          <cell r="J81">
            <v>3</v>
          </cell>
          <cell r="K81" t="str">
            <v>Hotel</v>
          </cell>
          <cell r="L81" t="str">
            <v>16-09-2025 17:58:17</v>
          </cell>
          <cell r="M81" t="str">
            <v>Swiss-Belinn Panakkukang - 4.0 Stars  - Deluxe Twin</v>
          </cell>
          <cell r="N81" t="str">
            <v>ASMAN TE LIST</v>
          </cell>
          <cell r="O81">
            <v>7411262</v>
          </cell>
          <cell r="P81" t="str">
            <v>17/09/2025 14:00:00 - 18/09/2025 12:00:00</v>
          </cell>
          <cell r="Q81">
            <v>862341</v>
          </cell>
        </row>
        <row r="82">
          <cell r="A82">
            <v>1285008102</v>
          </cell>
          <cell r="B82" t="str">
            <v>9012488ZY</v>
          </cell>
          <cell r="C82" t="str">
            <v>RHAMADANI WIBISONO</v>
          </cell>
          <cell r="D82">
            <v>90127601</v>
          </cell>
          <cell r="E82">
            <v>4120177752</v>
          </cell>
          <cell r="F82">
            <v>54</v>
          </cell>
          <cell r="G82" t="str">
            <v>Perjalanan Dinas Non-Diklat</v>
          </cell>
          <cell r="H82" t="str">
            <v>Kota Palopo - Kota Makassar</v>
          </cell>
          <cell r="I82" t="str">
            <v>17/09/2025 - 19/09/2025</v>
          </cell>
          <cell r="J82">
            <v>3</v>
          </cell>
          <cell r="K82" t="str">
            <v>Hotel</v>
          </cell>
          <cell r="L82" t="str">
            <v>16-09-2025 18:06:05</v>
          </cell>
          <cell r="M82" t="str">
            <v xml:space="preserve">Harper Perintis by ASTON - 4.0 Stars  - </v>
          </cell>
          <cell r="N82" t="str">
            <v>ASMAN TE LIST</v>
          </cell>
          <cell r="O82">
            <v>7411262</v>
          </cell>
          <cell r="P82" t="str">
            <v>18/09/2025 14:00:00 - 19/09/2025 12:00:00</v>
          </cell>
          <cell r="Q82">
            <v>776900</v>
          </cell>
        </row>
        <row r="83">
          <cell r="A83">
            <v>1284975861</v>
          </cell>
          <cell r="B83" t="str">
            <v>9012488ZY</v>
          </cell>
          <cell r="C83" t="str">
            <v>RHAMADANI WIBISONO</v>
          </cell>
          <cell r="D83">
            <v>90127601</v>
          </cell>
          <cell r="E83">
            <v>4120177752</v>
          </cell>
          <cell r="F83">
            <v>54</v>
          </cell>
          <cell r="G83" t="str">
            <v>Perjalanan Dinas Non-Diklat</v>
          </cell>
          <cell r="H83" t="str">
            <v>Kota Palopo - Kota Makassar</v>
          </cell>
          <cell r="I83" t="str">
            <v>17/09/2025 - 19/09/2025</v>
          </cell>
          <cell r="J83">
            <v>3</v>
          </cell>
          <cell r="K83" t="str">
            <v>Flight Round-Trip</v>
          </cell>
          <cell r="L83" t="str">
            <v>16-09-2025 15:42:56</v>
          </cell>
          <cell r="M83" t="str">
            <v>Wings Air  LLO Lagaligo Airport IW-1351 - Wings Air Domestic UPG Hasanuddin IW-1351</v>
          </cell>
          <cell r="N83" t="str">
            <v>ASMAN TE LIST</v>
          </cell>
          <cell r="O83">
            <v>7411262</v>
          </cell>
          <cell r="P83" t="str">
            <v>17/09/2025 09:40:00 - 17/09/2025 10:35:00</v>
          </cell>
          <cell r="Q83">
            <v>2615300</v>
          </cell>
        </row>
        <row r="84">
          <cell r="A84">
            <v>1285098985</v>
          </cell>
          <cell r="B84" t="str">
            <v>9110016F</v>
          </cell>
          <cell r="C84" t="str">
            <v>AMI PRAWOTO RANDALAYUK</v>
          </cell>
          <cell r="D84">
            <v>91107604</v>
          </cell>
          <cell r="E84">
            <v>4120177751</v>
          </cell>
          <cell r="F84">
            <v>54</v>
          </cell>
          <cell r="G84" t="str">
            <v>Perjalanan Dinas Non-Diklat</v>
          </cell>
          <cell r="H84" t="str">
            <v>Kota Palopo - Kota Makassar</v>
          </cell>
          <cell r="I84" t="str">
            <v>17/09/2025 - 19/09/2025</v>
          </cell>
          <cell r="J84">
            <v>3</v>
          </cell>
          <cell r="K84" t="str">
            <v>Hotel</v>
          </cell>
          <cell r="L84" t="str">
            <v>17-09-2025 07:27:33</v>
          </cell>
          <cell r="M84" t="str">
            <v xml:space="preserve">Swiss-Belinn Panakkukang - 4.0 Stars  - </v>
          </cell>
          <cell r="N84" t="str">
            <v>TL DAL SUSUT</v>
          </cell>
          <cell r="O84">
            <v>7411262</v>
          </cell>
          <cell r="P84" t="str">
            <v>17/09/2025 14:00:00 - 19/09/2025 12:00:00</v>
          </cell>
          <cell r="Q84">
            <v>1560000</v>
          </cell>
        </row>
        <row r="85">
          <cell r="A85">
            <v>1285086433</v>
          </cell>
          <cell r="B85" t="str">
            <v>8808036F</v>
          </cell>
          <cell r="C85" t="str">
            <v xml:space="preserve">SYAHLAN </v>
          </cell>
          <cell r="D85">
            <v>88087602</v>
          </cell>
          <cell r="E85">
            <v>4120177762</v>
          </cell>
          <cell r="F85">
            <v>54</v>
          </cell>
          <cell r="G85" t="str">
            <v>Perjalanan Dinas Non-Diklat</v>
          </cell>
          <cell r="H85" t="str">
            <v>Kota Makassar - Jakarta Selatan</v>
          </cell>
          <cell r="I85" t="str">
            <v>18/09/2025 - 19/09/2025</v>
          </cell>
          <cell r="J85">
            <v>2</v>
          </cell>
          <cell r="K85" t="str">
            <v>Flight Round-Trip</v>
          </cell>
          <cell r="L85" t="str">
            <v>17-09-2025 04:01:20</v>
          </cell>
          <cell r="M85" t="str">
            <v>Citilink Domestic UPG Hasanuddin QG-345 - Citilink 1B CGK Soekarno Hatta International Airport QG-345</v>
          </cell>
          <cell r="N85" t="str">
            <v>ASMAN TJSL</v>
          </cell>
          <cell r="O85">
            <v>7412163</v>
          </cell>
          <cell r="P85" t="str">
            <v>18/09/2025 04:05:00 - 18/09/2025 05:25:00</v>
          </cell>
          <cell r="Q85">
            <v>2757900</v>
          </cell>
        </row>
        <row r="86">
          <cell r="A86">
            <v>1285475881</v>
          </cell>
          <cell r="B86" t="str">
            <v>8808036F</v>
          </cell>
          <cell r="C86" t="str">
            <v>SYAHLAN</v>
          </cell>
          <cell r="D86">
            <v>88087602</v>
          </cell>
          <cell r="E86">
            <v>4120177762</v>
          </cell>
          <cell r="F86">
            <v>54</v>
          </cell>
          <cell r="G86" t="str">
            <v>Perjalanan Dinas Non-Diklat</v>
          </cell>
          <cell r="H86" t="str">
            <v>KotaMakassar-JakartaSelatan</v>
          </cell>
          <cell r="I86" t="str">
            <v>18/09/2025 - 19/09/2025</v>
          </cell>
          <cell r="J86">
            <v>2</v>
          </cell>
          <cell r="K86" t="str">
            <v>Hotel</v>
          </cell>
          <cell r="L86" t="str">
            <v>18-09-2025 17:05:31</v>
          </cell>
          <cell r="M86" t="str">
            <v xml:space="preserve">AI HOTEL JAKARTA THAMRIN - 0.0 Stars  - </v>
          </cell>
          <cell r="N86" t="str">
            <v>ASMAN TJSL</v>
          </cell>
          <cell r="O86">
            <v>7412163</v>
          </cell>
          <cell r="P86" t="str">
            <v>18/09/2025 14:00:00 - 19/09/2025 12:00:00</v>
          </cell>
          <cell r="Q86">
            <v>815904</v>
          </cell>
        </row>
        <row r="87">
          <cell r="A87">
            <v>1285551951</v>
          </cell>
          <cell r="B87" t="str">
            <v>7904006F</v>
          </cell>
          <cell r="C87" t="str">
            <v>YULI ASHANIAIS RAMADANI</v>
          </cell>
          <cell r="D87">
            <v>79047601</v>
          </cell>
          <cell r="E87">
            <v>4120177763</v>
          </cell>
          <cell r="F87">
            <v>54</v>
          </cell>
          <cell r="G87" t="str">
            <v>Perjalanan Dinas Non-Diklat</v>
          </cell>
          <cell r="H87" t="str">
            <v>KotaMakassar-JakartaSelatan</v>
          </cell>
          <cell r="I87" t="str">
            <v>17/09/2025 - 19/09/2025</v>
          </cell>
          <cell r="J87">
            <v>3</v>
          </cell>
          <cell r="K87" t="str">
            <v>Flight One Way</v>
          </cell>
          <cell r="L87" t="str">
            <v>18-09-2025 22:42:07</v>
          </cell>
          <cell r="M87" t="str">
            <v>Garuda Indonesia  CGK Soekarno Hatta International Airport GA-618 - Garuda Indonesia Domestic UPG Hasanuddin GA-618</v>
          </cell>
          <cell r="N87" t="str">
            <v>SM AGA DAN MANJ GAN</v>
          </cell>
          <cell r="O87">
            <v>7411140</v>
          </cell>
          <cell r="P87" t="str">
            <v>19/09/2025 20:15:00 - 19/09/2025 23:50:00</v>
          </cell>
          <cell r="Q87">
            <v>2383300</v>
          </cell>
        </row>
        <row r="88">
          <cell r="A88">
            <v>1285072768</v>
          </cell>
          <cell r="B88" t="str">
            <v>7904006F</v>
          </cell>
          <cell r="C88" t="str">
            <v>YULI ASHANIAIS RAMADANI</v>
          </cell>
          <cell r="D88">
            <v>79047601</v>
          </cell>
          <cell r="E88">
            <v>4120177763</v>
          </cell>
          <cell r="F88">
            <v>54</v>
          </cell>
          <cell r="G88" t="str">
            <v>Perjalanan Dinas Non-Diklat</v>
          </cell>
          <cell r="H88" t="str">
            <v>Kota Makassar - Jakarta Selatan</v>
          </cell>
          <cell r="I88" t="str">
            <v>17/09/2025 - 19/09/2025</v>
          </cell>
          <cell r="J88">
            <v>3</v>
          </cell>
          <cell r="K88" t="str">
            <v>Flight One Way</v>
          </cell>
          <cell r="L88" t="str">
            <v>16-09-2025 23:21:11</v>
          </cell>
          <cell r="M88" t="str">
            <v>Garuda Indonesia Domestic UPG Hasanuddin GA-615 - Garuda Indonesia  CGK Soekarno Hatta International Airport GA-615</v>
          </cell>
          <cell r="N88" t="str">
            <v>SM AGA DAN MANJ GAN</v>
          </cell>
          <cell r="O88">
            <v>7411140</v>
          </cell>
          <cell r="P88" t="str">
            <v>17/09/2025 19:00:00 - 17/09/2025 20:25:00</v>
          </cell>
          <cell r="Q88">
            <v>2303500</v>
          </cell>
        </row>
        <row r="89">
          <cell r="A89">
            <v>1284975236</v>
          </cell>
          <cell r="B89" t="str">
            <v>7904006F</v>
          </cell>
          <cell r="C89" t="str">
            <v>YULI ASHANIAIS RAMADANI</v>
          </cell>
          <cell r="D89">
            <v>79047601</v>
          </cell>
          <cell r="E89">
            <v>4120177763</v>
          </cell>
          <cell r="F89">
            <v>54</v>
          </cell>
          <cell r="G89" t="str">
            <v>Perjalanan Dinas Non-Diklat</v>
          </cell>
          <cell r="H89" t="str">
            <v>Kota Makassar - Jakarta Selatan</v>
          </cell>
          <cell r="I89" t="str">
            <v>17/09/2025 - 19/09/2025</v>
          </cell>
          <cell r="J89">
            <v>3</v>
          </cell>
          <cell r="K89" t="str">
            <v>Hotel</v>
          </cell>
          <cell r="L89" t="str">
            <v>16-09-2025 15:40:27</v>
          </cell>
          <cell r="M89" t="str">
            <v>JS Luwansa Hotel And Convention Center - 4.0 Stars  - Deluxe</v>
          </cell>
          <cell r="N89" t="str">
            <v>SM AGA DAN MANJ GAN</v>
          </cell>
          <cell r="O89">
            <v>7411140</v>
          </cell>
          <cell r="P89" t="str">
            <v>17/09/2025 14:00:00 - 19/09/2025 12:00:00</v>
          </cell>
          <cell r="Q89">
            <v>3544694</v>
          </cell>
        </row>
        <row r="90">
          <cell r="A90">
            <v>1284964943</v>
          </cell>
          <cell r="B90" t="str">
            <v>8309472Z</v>
          </cell>
          <cell r="C90" t="str">
            <v>WAWANG WIRATAMA</v>
          </cell>
          <cell r="D90">
            <v>83098401</v>
          </cell>
          <cell r="E90">
            <v>4120177759</v>
          </cell>
          <cell r="F90">
            <v>54</v>
          </cell>
          <cell r="G90" t="str">
            <v>Perjalanan Dinas Non-Diklat</v>
          </cell>
          <cell r="H90" t="str">
            <v>Kota Makassar - Kota Malang</v>
          </cell>
          <cell r="I90" t="str">
            <v>16/09/2025 - 20/09/2025</v>
          </cell>
          <cell r="J90">
            <v>5</v>
          </cell>
          <cell r="K90" t="str">
            <v>Hotel</v>
          </cell>
          <cell r="L90" t="str">
            <v>16-09-2025 14:56:35</v>
          </cell>
          <cell r="M90" t="str">
            <v xml:space="preserve">THE 1O1 Malang OJ - 4.0 Stars  - </v>
          </cell>
          <cell r="N90" t="str">
            <v>MAN PNGMANAN PDPT</v>
          </cell>
          <cell r="O90">
            <v>7411141</v>
          </cell>
          <cell r="P90" t="str">
            <v>16/09/2025 14:00:00 - 20/09/2025 12:00:00</v>
          </cell>
          <cell r="Q90">
            <v>4760000</v>
          </cell>
        </row>
        <row r="91">
          <cell r="A91">
            <v>1285355082</v>
          </cell>
          <cell r="B91" t="str">
            <v>8711130Z</v>
          </cell>
          <cell r="C91" t="str">
            <v>HADHI BAGUS SETYANTO</v>
          </cell>
          <cell r="D91">
            <v>87117602</v>
          </cell>
          <cell r="E91">
            <v>4120177758</v>
          </cell>
          <cell r="F91">
            <v>54</v>
          </cell>
          <cell r="G91" t="str">
            <v>Perjalanan Dinas Non-Diklat</v>
          </cell>
          <cell r="H91" t="str">
            <v>Kota Makassar - Kota Malang</v>
          </cell>
          <cell r="I91" t="str">
            <v>16/09/2025 - 20/09/2025</v>
          </cell>
          <cell r="J91">
            <v>5</v>
          </cell>
          <cell r="K91" t="str">
            <v>Flight One Way</v>
          </cell>
          <cell r="L91" t="str">
            <v>18-09-2025 08:56:22</v>
          </cell>
          <cell r="M91" t="str">
            <v>Batik Air 1 SUB Juanda ID-6136 - Batik Air Domestic UPG Hasanuddin ID-6136</v>
          </cell>
          <cell r="N91" t="str">
            <v>ASMAN MANJ BILLING</v>
          </cell>
          <cell r="O91">
            <v>7411141</v>
          </cell>
          <cell r="P91" t="str">
            <v>19/09/2025 22:00:00 - 20/09/2025 00:30:00</v>
          </cell>
          <cell r="Q91">
            <v>1141400</v>
          </cell>
        </row>
        <row r="92">
          <cell r="A92">
            <v>1284928569</v>
          </cell>
          <cell r="B92" t="str">
            <v>8711130Z</v>
          </cell>
          <cell r="C92" t="str">
            <v>HADHI BAGUS SETYANTO</v>
          </cell>
          <cell r="D92">
            <v>87117602</v>
          </cell>
          <cell r="E92">
            <v>4120177758</v>
          </cell>
          <cell r="F92">
            <v>54</v>
          </cell>
          <cell r="G92" t="str">
            <v>Perjalanan Dinas Non-Diklat</v>
          </cell>
          <cell r="H92" t="str">
            <v>Kota Makassar - Kota Malang</v>
          </cell>
          <cell r="I92" t="str">
            <v>16/09/2025 - 20/09/2025</v>
          </cell>
          <cell r="J92">
            <v>5</v>
          </cell>
          <cell r="K92" t="str">
            <v>Hotel</v>
          </cell>
          <cell r="L92" t="str">
            <v>16-09-2025 12:21:54</v>
          </cell>
          <cell r="M92" t="str">
            <v xml:space="preserve">THE 1O1 Malang OJ - 4.0 Stars  - </v>
          </cell>
          <cell r="N92" t="str">
            <v>ASMAN MANJ BILLING</v>
          </cell>
          <cell r="O92">
            <v>7411141</v>
          </cell>
          <cell r="P92" t="str">
            <v>16/09/2025 14:00:00 - 18/09/2025 12:00:00</v>
          </cell>
          <cell r="Q92">
            <v>1618400</v>
          </cell>
        </row>
        <row r="93">
          <cell r="A93">
            <v>1284903059</v>
          </cell>
          <cell r="B93" t="str">
            <v>7493036F</v>
          </cell>
          <cell r="C93" t="str">
            <v xml:space="preserve">ARMAN </v>
          </cell>
          <cell r="D93">
            <v>74937601</v>
          </cell>
          <cell r="E93">
            <v>4120177755</v>
          </cell>
          <cell r="F93">
            <v>54</v>
          </cell>
          <cell r="G93" t="str">
            <v>Perjalanan Dinas Diklat</v>
          </cell>
          <cell r="H93" t="str">
            <v>Kota Makassar - Jakarta Barat</v>
          </cell>
          <cell r="I93" t="str">
            <v>17/09/2025 - 27/09/2025</v>
          </cell>
          <cell r="J93">
            <v>11</v>
          </cell>
          <cell r="K93" t="str">
            <v>Flight One Way</v>
          </cell>
          <cell r="L93" t="str">
            <v>16-09-2025 10:37:21</v>
          </cell>
          <cell r="M93" t="str">
            <v>Garuda Indonesia Domestic UPG Hasanuddin GA-611 - Garuda Indonesia  CGK Soekarno Hatta International Airport GA-611</v>
          </cell>
          <cell r="N93" t="str">
            <v>MAN K3L DAN KAM</v>
          </cell>
          <cell r="O93">
            <v>7412000</v>
          </cell>
          <cell r="P93" t="str">
            <v>17/09/2025 11:20:00 - 17/09/2025 12:45:00</v>
          </cell>
          <cell r="Q93">
            <v>1939100</v>
          </cell>
        </row>
        <row r="94">
          <cell r="A94">
            <v>1284899346</v>
          </cell>
          <cell r="B94" t="str">
            <v>8712617ZY</v>
          </cell>
          <cell r="C94" t="str">
            <v>M. LUKMAN HAKIM</v>
          </cell>
          <cell r="D94">
            <v>87127603</v>
          </cell>
          <cell r="E94">
            <v>4120177747</v>
          </cell>
          <cell r="F94">
            <v>54</v>
          </cell>
          <cell r="G94" t="str">
            <v>Perjalanan Dinas Non-Diklat</v>
          </cell>
          <cell r="H94" t="str">
            <v>Kota Makassar - Jakarta Selatan</v>
          </cell>
          <cell r="I94" t="str">
            <v>17/09/2025 - 19/09/2025</v>
          </cell>
          <cell r="J94">
            <v>3</v>
          </cell>
          <cell r="K94" t="str">
            <v>Flight One Way</v>
          </cell>
          <cell r="L94" t="str">
            <v>16-09-2025 10:22:36</v>
          </cell>
          <cell r="M94" t="str">
            <v>Garuda Indonesia Domestic UPG Hasanuddin GA-641 - Garuda Indonesia  CGK Soekarno Hatta International Airport GA-641</v>
          </cell>
          <cell r="N94" t="str">
            <v>ASMAN DIG SERVICE DAN CUST EX</v>
          </cell>
          <cell r="O94">
            <v>7411140</v>
          </cell>
          <cell r="P94" t="str">
            <v>17/09/2025 12:15:00 - 17/09/2025 13:40:00</v>
          </cell>
          <cell r="Q94">
            <v>2303500</v>
          </cell>
        </row>
        <row r="95">
          <cell r="A95">
            <v>1285619102</v>
          </cell>
          <cell r="B95" t="str">
            <v>8712617ZY</v>
          </cell>
          <cell r="C95" t="str">
            <v>M. LUKMAN HAKIM</v>
          </cell>
          <cell r="D95">
            <v>87127603</v>
          </cell>
          <cell r="E95">
            <v>4120177747</v>
          </cell>
          <cell r="F95">
            <v>54</v>
          </cell>
          <cell r="G95" t="str">
            <v>Perjalanan Dinas Non-Diklat</v>
          </cell>
          <cell r="H95" t="str">
            <v>KotaMakassar-JakartaSelatan</v>
          </cell>
          <cell r="I95" t="str">
            <v>17/09/2025 - 19/09/2025</v>
          </cell>
          <cell r="J95">
            <v>3</v>
          </cell>
          <cell r="K95" t="str">
            <v>Flight One Way</v>
          </cell>
          <cell r="L95" t="str">
            <v>19-09-2025 10:04:59</v>
          </cell>
          <cell r="M95" t="str">
            <v>Garuda Indonesia  CGK Soekarno Hatta International Airport GA-616 - Garuda Indonesia Domestic UPG Hasanuddin GA-616</v>
          </cell>
          <cell r="N95" t="str">
            <v>ASMAN DIG SERVICE DAN CUST EX</v>
          </cell>
          <cell r="O95">
            <v>7411140</v>
          </cell>
          <cell r="P95" t="str">
            <v>19/09/2025 18:30:00 - 19/09/2025 22:05:00</v>
          </cell>
          <cell r="Q95">
            <v>1921000</v>
          </cell>
        </row>
        <row r="96">
          <cell r="A96">
            <v>1284932326</v>
          </cell>
          <cell r="B96" t="str">
            <v>9317719ZY</v>
          </cell>
          <cell r="C96" t="str">
            <v>NUR LAYLA SARI HS</v>
          </cell>
          <cell r="D96">
            <v>93177609</v>
          </cell>
          <cell r="E96">
            <v>4120177754</v>
          </cell>
          <cell r="F96">
            <v>54</v>
          </cell>
          <cell r="G96" t="str">
            <v>Perjalanan Dinas Diklat</v>
          </cell>
          <cell r="H96" t="str">
            <v>Kota Makassar - Jakarta Barat</v>
          </cell>
          <cell r="I96" t="str">
            <v>17/09/2025 - 27/09/2025</v>
          </cell>
          <cell r="J96">
            <v>11</v>
          </cell>
          <cell r="K96" t="str">
            <v>Flight Round-Trip</v>
          </cell>
          <cell r="L96" t="str">
            <v>16-09-2025 12:38:12</v>
          </cell>
          <cell r="M96" t="str">
            <v>Garuda Indonesia Domestic UPG Hasanuddin GA-617 - Garuda Indonesia  CGK Soekarno Hatta International Airport GA-617</v>
          </cell>
          <cell r="N96" t="str">
            <v>OF K3 DAN KAM</v>
          </cell>
          <cell r="O96">
            <v>7412000</v>
          </cell>
          <cell r="P96" t="str">
            <v>17/09/2025 07:15:00 - 17/09/2025 08:45:00</v>
          </cell>
          <cell r="Q96">
            <v>4740600</v>
          </cell>
        </row>
        <row r="97">
          <cell r="A97">
            <v>1284993363</v>
          </cell>
          <cell r="B97" t="str">
            <v>8908085F</v>
          </cell>
          <cell r="C97" t="str">
            <v>ANDI ANGGA SAPUTRA BATARA</v>
          </cell>
          <cell r="D97">
            <v>89087603</v>
          </cell>
          <cell r="E97">
            <v>4120177753</v>
          </cell>
          <cell r="F97">
            <v>54</v>
          </cell>
          <cell r="G97" t="str">
            <v>Perjalanan Dinas Non-Diklat</v>
          </cell>
          <cell r="H97" t="str">
            <v>Kota Kendari - Kota Makassar</v>
          </cell>
          <cell r="I97" t="str">
            <v>17/09/2025 - 19/09/2025</v>
          </cell>
          <cell r="J97">
            <v>3</v>
          </cell>
          <cell r="K97" t="str">
            <v>Flight One Way</v>
          </cell>
          <cell r="L97" t="str">
            <v>16-09-2025 16:59:07</v>
          </cell>
          <cell r="M97" t="str">
            <v>Garuda Indonesia  KDI Haluoleo GA-605 - Garuda Indonesia Domestic UPG Hasanuddin GA-605</v>
          </cell>
          <cell r="N97" t="str">
            <v>TL AGA DAN YAN GAN</v>
          </cell>
          <cell r="O97">
            <v>7412243</v>
          </cell>
          <cell r="P97" t="str">
            <v>17/09/2025 09:10:00 - 17/09/2025 10:10:00</v>
          </cell>
          <cell r="Q97">
            <v>975600</v>
          </cell>
        </row>
        <row r="98">
          <cell r="A98">
            <v>1285005327</v>
          </cell>
          <cell r="B98" t="str">
            <v>8908085F</v>
          </cell>
          <cell r="C98" t="str">
            <v>ANDI ANGGA SAPUTRA BATARA</v>
          </cell>
          <cell r="D98">
            <v>89087603</v>
          </cell>
          <cell r="E98">
            <v>4120177753</v>
          </cell>
          <cell r="F98">
            <v>54</v>
          </cell>
          <cell r="G98" t="str">
            <v>Perjalanan Dinas Non-Diklat</v>
          </cell>
          <cell r="H98" t="str">
            <v>Kota Kendari - Kota Makassar</v>
          </cell>
          <cell r="I98" t="str">
            <v>17/09/2025 - 19/09/2025</v>
          </cell>
          <cell r="J98">
            <v>3</v>
          </cell>
          <cell r="K98" t="str">
            <v>Hotel</v>
          </cell>
          <cell r="L98" t="str">
            <v>16-09-2025 17:53:33</v>
          </cell>
          <cell r="M98" t="str">
            <v xml:space="preserve">Vasaka Hotel Makassar Managed By Dafam - 3.5 Stars  - </v>
          </cell>
          <cell r="N98" t="str">
            <v>TL AGA DAN YAN GAN</v>
          </cell>
          <cell r="O98">
            <v>7412243</v>
          </cell>
          <cell r="P98" t="str">
            <v>17/09/2025 14:00:00 - 19/09/2025 12:00:00</v>
          </cell>
          <cell r="Q98">
            <v>1518000</v>
          </cell>
        </row>
        <row r="99">
          <cell r="A99">
            <v>1285345975</v>
          </cell>
          <cell r="B99" t="str">
            <v>8908085F</v>
          </cell>
          <cell r="C99" t="str">
            <v>ANDI ANGGA SAPUTRA BATARA</v>
          </cell>
          <cell r="D99">
            <v>89087603</v>
          </cell>
          <cell r="E99">
            <v>4120177753</v>
          </cell>
          <cell r="F99">
            <v>54</v>
          </cell>
          <cell r="G99" t="str">
            <v>Perjalanan Dinas Non-Diklat</v>
          </cell>
          <cell r="H99" t="str">
            <v>KotaKendari-KotaMakassar</v>
          </cell>
          <cell r="I99" t="str">
            <v>17/09/2025 - 19/09/2025</v>
          </cell>
          <cell r="J99">
            <v>3</v>
          </cell>
          <cell r="K99" t="str">
            <v>Flight One Way</v>
          </cell>
          <cell r="L99" t="str">
            <v>18-09-2025 08:09:20</v>
          </cell>
          <cell r="M99" t="str">
            <v>Batik Air Domestic UPG Hasanuddin ID-6751 - Batik Air  KDI Haluoleo ID-6751</v>
          </cell>
          <cell r="N99" t="str">
            <v>TL AGA DAN YAN GAN</v>
          </cell>
          <cell r="O99">
            <v>7412243</v>
          </cell>
          <cell r="P99" t="str">
            <v>19/09/2025 08:30:00 - 19/09/2025 09:35:00</v>
          </cell>
          <cell r="Q99">
            <v>741000</v>
          </cell>
        </row>
        <row r="100">
          <cell r="A100">
            <v>1285480948</v>
          </cell>
          <cell r="B100" t="str">
            <v>9212112FY</v>
          </cell>
          <cell r="C100" t="str">
            <v>RIFAL PRATOMO</v>
          </cell>
          <cell r="D100">
            <v>92127645</v>
          </cell>
          <cell r="E100">
            <v>4120177713</v>
          </cell>
          <cell r="F100">
            <v>54</v>
          </cell>
          <cell r="G100" t="str">
            <v>Perjalanan Dinas Diklat</v>
          </cell>
          <cell r="H100" t="str">
            <v>KotaKendari-JakartaPusat</v>
          </cell>
          <cell r="I100" t="str">
            <v>14/09/2025 - 19/09/2025</v>
          </cell>
          <cell r="J100">
            <v>6</v>
          </cell>
          <cell r="K100" t="str">
            <v>Flight One Way</v>
          </cell>
          <cell r="L100" t="str">
            <v>18-09-2025 17:28:07</v>
          </cell>
          <cell r="M100" t="str">
            <v>Citilink 1B CGK Soekarno Hatta International Airport QG-330 - Citilink  KDI Haluoleo QG-330</v>
          </cell>
          <cell r="N100" t="str">
            <v>TC KONS LISDES</v>
          </cell>
          <cell r="O100">
            <v>7412240</v>
          </cell>
          <cell r="P100" t="str">
            <v>19/09/2025 13:00:00 - 19/09/2025 16:55:00</v>
          </cell>
          <cell r="Q100">
            <v>1122800</v>
          </cell>
        </row>
        <row r="101">
          <cell r="A101">
            <v>1285300577</v>
          </cell>
          <cell r="B101" t="str">
            <v>7602002F</v>
          </cell>
          <cell r="C101" t="str">
            <v>AMBO TUWO</v>
          </cell>
          <cell r="D101">
            <v>76027600</v>
          </cell>
          <cell r="E101">
            <v>4120177743</v>
          </cell>
          <cell r="F101">
            <v>54</v>
          </cell>
          <cell r="G101" t="str">
            <v>Perjalanan Dinas Non-Diklat</v>
          </cell>
          <cell r="H101" t="str">
            <v>Kota Makassar - Kota Bandung</v>
          </cell>
          <cell r="I101" t="str">
            <v>16/09/2025 - 18/09/2025</v>
          </cell>
          <cell r="J101">
            <v>3</v>
          </cell>
          <cell r="K101" t="str">
            <v>Flight One Way</v>
          </cell>
          <cell r="L101" t="str">
            <v>17-09-2025 22:13:33</v>
          </cell>
          <cell r="M101" t="str">
            <v>Garuda Indonesia  CGK Soekarno Hatta International Airport GA-612 - Garuda Indonesia Domestic UPG Hasanuddin GA-612</v>
          </cell>
          <cell r="N101" t="str">
            <v>SM KEU, KOM DAN MUM</v>
          </cell>
          <cell r="O101">
            <v>7412150</v>
          </cell>
          <cell r="P101" t="str">
            <v>18/09/2025 14:25:00 - 18/09/2025 18:00:00</v>
          </cell>
          <cell r="Q101">
            <v>2309700</v>
          </cell>
        </row>
        <row r="102">
          <cell r="A102">
            <v>1284934687</v>
          </cell>
          <cell r="B102" t="str">
            <v>7602002F</v>
          </cell>
          <cell r="C102" t="str">
            <v>AMBO TUWO</v>
          </cell>
          <cell r="D102">
            <v>76027600</v>
          </cell>
          <cell r="E102">
            <v>4120177743</v>
          </cell>
          <cell r="F102">
            <v>54</v>
          </cell>
          <cell r="G102" t="str">
            <v>Perjalanan Dinas Non-Diklat</v>
          </cell>
          <cell r="H102" t="str">
            <v>Kota Makassar - Kota Bandung</v>
          </cell>
          <cell r="I102" t="str">
            <v>16/09/2025 - 18/09/2025</v>
          </cell>
          <cell r="J102">
            <v>3</v>
          </cell>
          <cell r="K102" t="str">
            <v>Hotel</v>
          </cell>
          <cell r="L102" t="str">
            <v>16-09-2025 12:48:09</v>
          </cell>
          <cell r="M102" t="str">
            <v xml:space="preserve">The Papandayan Hotel - 5.0 Stars  - </v>
          </cell>
          <cell r="N102" t="str">
            <v>SM KEU, KOM DAN MUM</v>
          </cell>
          <cell r="O102">
            <v>7412150</v>
          </cell>
          <cell r="P102" t="str">
            <v>16/09/2025 14:00:00 - 18/09/2025 12:00:00</v>
          </cell>
          <cell r="Q102">
            <v>3562428</v>
          </cell>
        </row>
        <row r="103">
          <cell r="A103">
            <v>1284827806</v>
          </cell>
          <cell r="B103" t="str">
            <v>7602002F</v>
          </cell>
          <cell r="C103" t="str">
            <v>AMBO TUWO</v>
          </cell>
          <cell r="D103">
            <v>76027600</v>
          </cell>
          <cell r="E103">
            <v>4120177743</v>
          </cell>
          <cell r="F103">
            <v>54</v>
          </cell>
          <cell r="G103" t="str">
            <v>Perjalanan Dinas Non-Diklat</v>
          </cell>
          <cell r="H103" t="str">
            <v>Kota Makassar - Kota Bandung</v>
          </cell>
          <cell r="I103" t="str">
            <v>16/09/2025 - 18/09/2025</v>
          </cell>
          <cell r="J103">
            <v>3</v>
          </cell>
          <cell r="K103" t="str">
            <v>Flight One Way</v>
          </cell>
          <cell r="L103" t="str">
            <v>15-09-2025 22:01:02</v>
          </cell>
          <cell r="M103" t="str">
            <v>Citilink Domestic UPG Hasanuddin QG-213 - Citilink 1B CGK Soekarno Hatta International Airport QG-213</v>
          </cell>
          <cell r="N103" t="str">
            <v>SM KEU, KOM DAN MUM</v>
          </cell>
          <cell r="O103">
            <v>7412150</v>
          </cell>
          <cell r="P103" t="str">
            <v>16/09/2025 13:35:00 - 16/09/2025 15:00:00</v>
          </cell>
          <cell r="Q103">
            <v>1831600</v>
          </cell>
        </row>
        <row r="104">
          <cell r="A104">
            <v>1285251713</v>
          </cell>
          <cell r="B104" t="str">
            <v>92191254ZY</v>
          </cell>
          <cell r="C104" t="str">
            <v>MUCHAMAD PAMUNGKAS</v>
          </cell>
          <cell r="D104">
            <v>92197600</v>
          </cell>
          <cell r="E104">
            <v>4120177741</v>
          </cell>
          <cell r="F104">
            <v>54</v>
          </cell>
          <cell r="G104" t="str">
            <v>Perjalanan Dinas Non-Diklat</v>
          </cell>
          <cell r="H104" t="str">
            <v>Kota Makassar - Kota Kendari</v>
          </cell>
          <cell r="I104" t="str">
            <v>16/09/2025 - 19/09/2025</v>
          </cell>
          <cell r="J104">
            <v>4</v>
          </cell>
          <cell r="K104" t="str">
            <v>Flight One Way</v>
          </cell>
          <cell r="L104" t="str">
            <v>17-09-2025 18:40:00</v>
          </cell>
          <cell r="M104" t="str">
            <v>Garuda Indonesia  KDI Haluoleo GA-605 - Garuda Indonesia Domestic UPG Hasanuddin GA-605</v>
          </cell>
          <cell r="N104" t="str">
            <v>TL PROTEK DAN MTR</v>
          </cell>
          <cell r="O104">
            <v>7409342</v>
          </cell>
          <cell r="P104" t="str">
            <v>19/09/2025 09:10:00 - 19/09/2025 10:10:00</v>
          </cell>
          <cell r="Q104">
            <v>975600</v>
          </cell>
        </row>
        <row r="105">
          <cell r="A105">
            <v>1284829367</v>
          </cell>
          <cell r="B105" t="str">
            <v>92191254ZY</v>
          </cell>
          <cell r="C105" t="str">
            <v>MUCHAMAD PAMUNGKAS</v>
          </cell>
          <cell r="D105">
            <v>92197600</v>
          </cell>
          <cell r="E105">
            <v>4120177741</v>
          </cell>
          <cell r="F105">
            <v>54</v>
          </cell>
          <cell r="G105" t="str">
            <v>Perjalanan Dinas Non-Diklat</v>
          </cell>
          <cell r="H105" t="str">
            <v>Kota Makassar - Kota Kendari</v>
          </cell>
          <cell r="I105" t="str">
            <v>16/09/2025 - 19/09/2025</v>
          </cell>
          <cell r="J105">
            <v>4</v>
          </cell>
          <cell r="K105" t="str">
            <v>Hotel</v>
          </cell>
          <cell r="L105" t="str">
            <v>15-09-2025 22:09:18</v>
          </cell>
          <cell r="M105" t="str">
            <v xml:space="preserve">Swiss-Belhotel Kendari - 4.0 Stars  - </v>
          </cell>
          <cell r="N105" t="str">
            <v>TL PROTEK DAN MTR</v>
          </cell>
          <cell r="O105">
            <v>7409342</v>
          </cell>
          <cell r="P105" t="str">
            <v>18/09/2025 14:00:00 - 19/09/2025 12:00:00</v>
          </cell>
          <cell r="Q105">
            <v>800000</v>
          </cell>
        </row>
        <row r="106">
          <cell r="A106">
            <v>1284828810</v>
          </cell>
          <cell r="B106" t="str">
            <v>92191254ZY</v>
          </cell>
          <cell r="C106" t="str">
            <v>MUCHAMAD PAMUNGKAS</v>
          </cell>
          <cell r="D106">
            <v>92197600</v>
          </cell>
          <cell r="E106">
            <v>4120177741</v>
          </cell>
          <cell r="F106">
            <v>54</v>
          </cell>
          <cell r="G106" t="str">
            <v>Perjalanan Dinas Non-Diklat</v>
          </cell>
          <cell r="H106" t="str">
            <v>Kota Makassar - Kota Kendari</v>
          </cell>
          <cell r="I106" t="str">
            <v>16/09/2025 - 19/09/2025</v>
          </cell>
          <cell r="J106">
            <v>4</v>
          </cell>
          <cell r="K106" t="str">
            <v>Hotel</v>
          </cell>
          <cell r="L106" t="str">
            <v>15-09-2025 22:06:20</v>
          </cell>
          <cell r="M106" t="str">
            <v xml:space="preserve">Swiss-Belhotel Kendari - 4.0 Stars  - </v>
          </cell>
          <cell r="N106" t="str">
            <v>TL PROTEK DAN MTR</v>
          </cell>
          <cell r="O106">
            <v>7409342</v>
          </cell>
          <cell r="P106" t="str">
            <v>17/09/2025 14:00:00 - 18/09/2025 12:00:00</v>
          </cell>
          <cell r="Q106">
            <v>800000</v>
          </cell>
        </row>
        <row r="107">
          <cell r="A107">
            <v>1284828532</v>
          </cell>
          <cell r="B107" t="str">
            <v>92191254ZY</v>
          </cell>
          <cell r="C107" t="str">
            <v>MUCHAMAD PAMUNGKAS</v>
          </cell>
          <cell r="D107">
            <v>92197600</v>
          </cell>
          <cell r="E107">
            <v>4120177741</v>
          </cell>
          <cell r="F107">
            <v>54</v>
          </cell>
          <cell r="G107" t="str">
            <v>Perjalanan Dinas Non-Diklat</v>
          </cell>
          <cell r="H107" t="str">
            <v>Kota Makassar - Kota Kendari</v>
          </cell>
          <cell r="I107" t="str">
            <v>16/09/2025 - 19/09/2025</v>
          </cell>
          <cell r="J107">
            <v>4</v>
          </cell>
          <cell r="K107" t="str">
            <v>Hotel</v>
          </cell>
          <cell r="L107" t="str">
            <v>15-09-2025 22:04:48</v>
          </cell>
          <cell r="M107" t="str">
            <v xml:space="preserve">Swiss-Belhotel Kendari - 4.0 Stars  - </v>
          </cell>
          <cell r="N107" t="str">
            <v>TL PROTEK DAN MTR</v>
          </cell>
          <cell r="O107">
            <v>7409342</v>
          </cell>
          <cell r="P107" t="str">
            <v>16/09/2025 14:00:00 - 17/09/2025 12:00:00</v>
          </cell>
          <cell r="Q107">
            <v>800000</v>
          </cell>
        </row>
        <row r="108">
          <cell r="A108">
            <v>1284817734</v>
          </cell>
          <cell r="B108" t="str">
            <v>92191254ZY</v>
          </cell>
          <cell r="C108" t="str">
            <v>MUCHAMAD PAMUNGKAS</v>
          </cell>
          <cell r="D108">
            <v>92197600</v>
          </cell>
          <cell r="E108">
            <v>4120177741</v>
          </cell>
          <cell r="F108">
            <v>54</v>
          </cell>
          <cell r="G108" t="str">
            <v>Perjalanan Dinas Non-Diklat</v>
          </cell>
          <cell r="H108" t="str">
            <v>Kota Makassar - Kota Kendari</v>
          </cell>
          <cell r="I108" t="str">
            <v>16/09/2025 - 19/09/2025</v>
          </cell>
          <cell r="J108">
            <v>4</v>
          </cell>
          <cell r="K108" t="str">
            <v>Flight One Way</v>
          </cell>
          <cell r="L108" t="str">
            <v>15-09-2025 21:11:21</v>
          </cell>
          <cell r="M108" t="str">
            <v>Garuda Indonesia Domestic UPG Hasanuddin GA-604 - Garuda Indonesia  KDI Haluoleo GA-604</v>
          </cell>
          <cell r="N108" t="str">
            <v>TL PROTEK DAN MTR</v>
          </cell>
          <cell r="O108">
            <v>7409342</v>
          </cell>
          <cell r="P108" t="str">
            <v>16/09/2025 07:25:00 - 16/09/2025 08:25:00</v>
          </cell>
          <cell r="Q108">
            <v>1024700</v>
          </cell>
        </row>
        <row r="109">
          <cell r="A109">
            <v>1284882684</v>
          </cell>
          <cell r="B109" t="str">
            <v>8810040F</v>
          </cell>
          <cell r="C109" t="str">
            <v xml:space="preserve">IBRAHIM </v>
          </cell>
          <cell r="D109">
            <v>88107607</v>
          </cell>
          <cell r="E109">
            <v>4120177736</v>
          </cell>
          <cell r="F109">
            <v>54</v>
          </cell>
          <cell r="G109" t="str">
            <v>Perjalanan Dinas Non-Diklat</v>
          </cell>
          <cell r="H109" t="str">
            <v>Kota Makassar - Kota Kendari</v>
          </cell>
          <cell r="I109" t="str">
            <v>16/09/2025 - 19/09/2025</v>
          </cell>
          <cell r="J109">
            <v>4</v>
          </cell>
          <cell r="K109" t="str">
            <v>Flight One Way</v>
          </cell>
          <cell r="L109" t="str">
            <v>16-09-2025 09:06:46</v>
          </cell>
          <cell r="M109" t="str">
            <v>Garuda Indonesia  KDI Haluoleo GA-605 - Garuda Indonesia Domestic UPG Hasanuddin GA-605</v>
          </cell>
          <cell r="N109" t="str">
            <v>TL HAR ELEKTRO (MKS BAG UTARA)</v>
          </cell>
          <cell r="O109">
            <v>7409342</v>
          </cell>
          <cell r="P109" t="str">
            <v>19/09/2025 09:10:00 - 19/09/2025 10:10:00</v>
          </cell>
          <cell r="Q109">
            <v>975600</v>
          </cell>
        </row>
        <row r="110">
          <cell r="A110">
            <v>1284882100</v>
          </cell>
          <cell r="B110" t="str">
            <v>8810040F</v>
          </cell>
          <cell r="C110" t="str">
            <v xml:space="preserve">IBRAHIM </v>
          </cell>
          <cell r="D110">
            <v>88107607</v>
          </cell>
          <cell r="E110">
            <v>4120177736</v>
          </cell>
          <cell r="F110">
            <v>54</v>
          </cell>
          <cell r="G110" t="str">
            <v>Perjalanan Dinas Non-Diklat</v>
          </cell>
          <cell r="H110" t="str">
            <v>Kota Makassar - Kota Kendari</v>
          </cell>
          <cell r="I110" t="str">
            <v>16/09/2025 - 19/09/2025</v>
          </cell>
          <cell r="J110">
            <v>4</v>
          </cell>
          <cell r="K110" t="str">
            <v>Hotel</v>
          </cell>
          <cell r="L110" t="str">
            <v>16-09-2025 09:03:38</v>
          </cell>
          <cell r="M110" t="str">
            <v xml:space="preserve">Swiss-Belhotel Kendari - 4.0 Stars  - </v>
          </cell>
          <cell r="N110" t="str">
            <v>TL HAR ELEKTRO (MKS BAG UTARA)</v>
          </cell>
          <cell r="O110">
            <v>7409342</v>
          </cell>
          <cell r="P110" t="str">
            <v>16/09/2025 14:00:00 - 19/09/2025 12:00:00</v>
          </cell>
          <cell r="Q110">
            <v>2940000</v>
          </cell>
        </row>
        <row r="111">
          <cell r="A111">
            <v>1284819356</v>
          </cell>
          <cell r="B111" t="str">
            <v>8810040F</v>
          </cell>
          <cell r="C111" t="str">
            <v xml:space="preserve">IBRAHIM </v>
          </cell>
          <cell r="D111">
            <v>88107607</v>
          </cell>
          <cell r="E111">
            <v>4120177736</v>
          </cell>
          <cell r="F111">
            <v>54</v>
          </cell>
          <cell r="G111" t="str">
            <v>Perjalanan Dinas Non-Diklat</v>
          </cell>
          <cell r="H111" t="str">
            <v>Kota Makassar - Kota Kendari</v>
          </cell>
          <cell r="I111" t="str">
            <v>16/09/2025 - 19/09/2025</v>
          </cell>
          <cell r="J111">
            <v>4</v>
          </cell>
          <cell r="K111" t="str">
            <v>Flight One Way</v>
          </cell>
          <cell r="L111" t="str">
            <v>15-09-2025 21:18:40</v>
          </cell>
          <cell r="M111" t="str">
            <v>Garuda Indonesia Domestic UPG Hasanuddin GA-604 - Garuda Indonesia  KDI Haluoleo GA-604</v>
          </cell>
          <cell r="N111" t="str">
            <v>TL HAR ELEKTRO (MKS BAG UTARA)</v>
          </cell>
          <cell r="O111">
            <v>7409342</v>
          </cell>
          <cell r="P111" t="str">
            <v>16/09/2025 07:25:00 - 16/09/2025 08:25:00</v>
          </cell>
          <cell r="Q111">
            <v>1024700</v>
          </cell>
        </row>
        <row r="112">
          <cell r="A112">
            <v>1285009610</v>
          </cell>
          <cell r="B112" t="str">
            <v>7193007G</v>
          </cell>
          <cell r="C112" t="str">
            <v>MUHAMMAD ICHLAS FATTAH</v>
          </cell>
          <cell r="D112">
            <v>71937801</v>
          </cell>
          <cell r="E112">
            <v>4120177729</v>
          </cell>
          <cell r="F112">
            <v>54</v>
          </cell>
          <cell r="G112" t="str">
            <v>Perjalanan Dinas Non-Diklat</v>
          </cell>
          <cell r="H112" t="str">
            <v>Kota Makassar - Kab. Kolaka - Kota Kendari</v>
          </cell>
          <cell r="I112" t="str">
            <v>16/09/2025 - 19/09/2025</v>
          </cell>
          <cell r="J112">
            <v>4</v>
          </cell>
          <cell r="K112" t="str">
            <v>Hotel</v>
          </cell>
          <cell r="L112" t="str">
            <v>16-09-2025 18:12:52</v>
          </cell>
          <cell r="M112" t="str">
            <v xml:space="preserve">Parade inn kendari - 0.0 Stars  - </v>
          </cell>
          <cell r="N112" t="str">
            <v>SPC KIN AGA DAN MANJ GAN</v>
          </cell>
          <cell r="O112">
            <v>7411140</v>
          </cell>
          <cell r="P112" t="str">
            <v>16/09/2025 14:00:00 - 19/09/2025 12:00:00</v>
          </cell>
          <cell r="Q112">
            <v>1923078</v>
          </cell>
        </row>
        <row r="113">
          <cell r="A113">
            <v>1284998244</v>
          </cell>
          <cell r="B113" t="str">
            <v>7193007G</v>
          </cell>
          <cell r="C113" t="str">
            <v>MUHAMMAD ICHLAS FATTAH</v>
          </cell>
          <cell r="D113">
            <v>71937801</v>
          </cell>
          <cell r="E113">
            <v>4120177729</v>
          </cell>
          <cell r="F113">
            <v>54</v>
          </cell>
          <cell r="G113" t="str">
            <v>Perjalanan Dinas Non-Diklat</v>
          </cell>
          <cell r="H113" t="str">
            <v>Kota Makassar - Kab. Kolaka - Kota Kendari</v>
          </cell>
          <cell r="I113" t="str">
            <v>16/09/2025 - 19/09/2025</v>
          </cell>
          <cell r="J113">
            <v>4</v>
          </cell>
          <cell r="K113" t="str">
            <v>Flight One Way</v>
          </cell>
          <cell r="L113" t="str">
            <v>16-09-2025 17:20:55</v>
          </cell>
          <cell r="M113" t="str">
            <v>Garuda Indonesia  KDI Haluoleo GA-605 - Garuda Indonesia Domestic UPG Hasanuddin GA-605</v>
          </cell>
          <cell r="N113" t="str">
            <v>SPC KIN AGA DAN MANJ GAN</v>
          </cell>
          <cell r="O113">
            <v>7411140</v>
          </cell>
          <cell r="P113" t="str">
            <v>19/09/2025 09:10:00 - 19/09/2025 10:10:00</v>
          </cell>
          <cell r="Q113">
            <v>975600</v>
          </cell>
        </row>
        <row r="114">
          <cell r="A114">
            <v>1284778155</v>
          </cell>
          <cell r="B114" t="str">
            <v>7193007G</v>
          </cell>
          <cell r="C114" t="str">
            <v>MUHAMMAD ICHLAS FATTAH</v>
          </cell>
          <cell r="D114">
            <v>71937801</v>
          </cell>
          <cell r="E114">
            <v>4120177729</v>
          </cell>
          <cell r="F114">
            <v>54</v>
          </cell>
          <cell r="G114" t="str">
            <v>Perjalanan Dinas Non-Diklat</v>
          </cell>
          <cell r="H114" t="str">
            <v>Kota Makassar - Kab. Kolaka - Kota Kendari</v>
          </cell>
          <cell r="I114" t="str">
            <v>16/09/2025 - 19/09/2025</v>
          </cell>
          <cell r="J114">
            <v>4</v>
          </cell>
          <cell r="K114" t="str">
            <v>Flight One Way</v>
          </cell>
          <cell r="L114" t="str">
            <v>15-09-2025 18:07:42</v>
          </cell>
          <cell r="M114" t="str">
            <v>Wings Air Domestic UPG Hasanuddin IW-1206 - Wings Air  KXB Sangia Nibandera IW-1206</v>
          </cell>
          <cell r="N114" t="str">
            <v>SPC KIN AGA DAN MANJ GAN</v>
          </cell>
          <cell r="O114">
            <v>7411140</v>
          </cell>
          <cell r="P114" t="str">
            <v>16/09/2025 07:00:00 - 16/09/2025 08:00:00</v>
          </cell>
          <cell r="Q114">
            <v>1340200</v>
          </cell>
        </row>
        <row r="115">
          <cell r="A115">
            <v>1285398477</v>
          </cell>
          <cell r="B115" t="str">
            <v>7194040F</v>
          </cell>
          <cell r="C115" t="str">
            <v>M.SYAMSUL KAMAR</v>
          </cell>
          <cell r="D115">
            <v>71947602</v>
          </cell>
          <cell r="E115">
            <v>4120177728</v>
          </cell>
          <cell r="F115">
            <v>54</v>
          </cell>
          <cell r="G115" t="str">
            <v>Perjalanan Dinas Non-Diklat</v>
          </cell>
          <cell r="H115" t="str">
            <v>Kota Makassar - Kab. Kolaka - Kota Kendari</v>
          </cell>
          <cell r="I115" t="str">
            <v>16/09/2025 - 19/09/2025</v>
          </cell>
          <cell r="J115">
            <v>4</v>
          </cell>
          <cell r="K115" t="str">
            <v>Flight One Way</v>
          </cell>
          <cell r="L115" t="str">
            <v>18-09-2025 11:54:16</v>
          </cell>
          <cell r="M115" t="str">
            <v>Lion Air  KDI Haluoleo JT-987 - Lion Air Domestic UPG Hasanuddin JT-987</v>
          </cell>
          <cell r="N115" t="str">
            <v>SOF STR SAR</v>
          </cell>
          <cell r="O115">
            <v>7411143</v>
          </cell>
          <cell r="P115" t="str">
            <v>19/09/2025 08:45:00 - 19/09/2025 09:40:00</v>
          </cell>
          <cell r="Q115">
            <v>845100</v>
          </cell>
        </row>
        <row r="116">
          <cell r="A116">
            <v>1284756891</v>
          </cell>
          <cell r="B116" t="str">
            <v>7194040F</v>
          </cell>
          <cell r="C116" t="str">
            <v>M.SYAMSUL KAMAR</v>
          </cell>
          <cell r="D116">
            <v>71947602</v>
          </cell>
          <cell r="E116">
            <v>4120177728</v>
          </cell>
          <cell r="F116">
            <v>54</v>
          </cell>
          <cell r="G116" t="str">
            <v>Perjalanan Dinas Non-Diklat</v>
          </cell>
          <cell r="H116" t="str">
            <v>Kota Makassar - Kab. Kolaka - Kota Kendari</v>
          </cell>
          <cell r="I116" t="str">
            <v>16/09/2025 - 19/09/2025</v>
          </cell>
          <cell r="J116">
            <v>4</v>
          </cell>
          <cell r="K116" t="str">
            <v>Flight One Way</v>
          </cell>
          <cell r="L116" t="str">
            <v>15-09-2025 16:29:06</v>
          </cell>
          <cell r="M116" t="str">
            <v>Wings Air Domestic UPG Hasanuddin IW-1206 - Wings Air  KXB Sangia Nibandera IW-1206</v>
          </cell>
          <cell r="N116" t="str">
            <v>SOF STR SAR</v>
          </cell>
          <cell r="O116">
            <v>7411143</v>
          </cell>
          <cell r="P116" t="str">
            <v>16/09/2025 07:00:00 - 16/09/2025 08:00:00</v>
          </cell>
          <cell r="Q116">
            <v>1415700</v>
          </cell>
        </row>
        <row r="117">
          <cell r="A117">
            <v>1285438600</v>
          </cell>
          <cell r="B117" t="str">
            <v>7194040F</v>
          </cell>
          <cell r="C117" t="str">
            <v>M.SYAMSUL KAMAR</v>
          </cell>
          <cell r="D117">
            <v>71947602</v>
          </cell>
          <cell r="E117">
            <v>4120177728</v>
          </cell>
          <cell r="F117">
            <v>54</v>
          </cell>
          <cell r="G117" t="str">
            <v>Perjalanan Dinas Non-Diklat</v>
          </cell>
          <cell r="H117" t="str">
            <v>Kota Makassar - Kab. Kolaka - Kota Kendari</v>
          </cell>
          <cell r="I117" t="str">
            <v>16/09/2025 - 19/09/2025</v>
          </cell>
          <cell r="J117">
            <v>4</v>
          </cell>
          <cell r="K117" t="str">
            <v>Flight One Way</v>
          </cell>
          <cell r="L117" t="str">
            <v>18-09-2025 14:34:39</v>
          </cell>
          <cell r="M117" t="str">
            <v>Lion Air  KDI Haluoleo JT-997 - Lion Air Domestic UPG Hasanuddin JT-997</v>
          </cell>
          <cell r="N117" t="str">
            <v>SOF STR SAR</v>
          </cell>
          <cell r="O117">
            <v>7411143</v>
          </cell>
          <cell r="P117" t="str">
            <v>19/09/2025 15:35:00 - 19/09/2025 16:30:00</v>
          </cell>
          <cell r="Q117">
            <v>845100</v>
          </cell>
        </row>
        <row r="118">
          <cell r="A118">
            <v>1285201081</v>
          </cell>
          <cell r="B118" t="str">
            <v>92172062ZY</v>
          </cell>
          <cell r="C118" t="str">
            <v>DESHINTA AMALIA SHOLIHAH</v>
          </cell>
          <cell r="D118">
            <v>92177616</v>
          </cell>
          <cell r="E118">
            <v>4120177726</v>
          </cell>
          <cell r="F118">
            <v>54</v>
          </cell>
          <cell r="G118" t="str">
            <v>Perjalanan Dinas Diklat</v>
          </cell>
          <cell r="H118" t="str">
            <v>Kota Makassar - Kota Surabaya</v>
          </cell>
          <cell r="I118" t="str">
            <v>14/09/2025 - 20/09/2025</v>
          </cell>
          <cell r="J118">
            <v>7</v>
          </cell>
          <cell r="K118" t="str">
            <v>Flight One Way</v>
          </cell>
          <cell r="L118" t="str">
            <v>17-09-2025 15:02:26</v>
          </cell>
          <cell r="M118" t="str">
            <v>Citilink 1A SUB Juanda QG-350 - Citilink Domestic UPG Hasanuddin QG-350</v>
          </cell>
          <cell r="N118" t="str">
            <v>ASMAN AKT MUM DAN BIAYA</v>
          </cell>
          <cell r="O118">
            <v>7412152</v>
          </cell>
          <cell r="P118" t="str">
            <v>20/09/2025 10:20:00 - 20/09/2025 12:55:00</v>
          </cell>
          <cell r="Q118">
            <v>1213800</v>
          </cell>
        </row>
        <row r="119">
          <cell r="A119">
            <v>1284739079</v>
          </cell>
          <cell r="B119" t="str">
            <v>8914091ZY</v>
          </cell>
          <cell r="C119" t="str">
            <v>AKBAR KHASHEMI HAMZAH</v>
          </cell>
          <cell r="D119">
            <v>89145602</v>
          </cell>
          <cell r="E119">
            <v>4120177733</v>
          </cell>
          <cell r="F119">
            <v>54</v>
          </cell>
          <cell r="G119" t="str">
            <v>Perjalanan Dinas Non-Diklat</v>
          </cell>
          <cell r="H119" t="str">
            <v>Kota Makassar - Kota Bandung</v>
          </cell>
          <cell r="I119" t="str">
            <v>16/09/2025 - 18/09/2025</v>
          </cell>
          <cell r="J119">
            <v>3</v>
          </cell>
          <cell r="K119" t="str">
            <v>Hotel</v>
          </cell>
          <cell r="L119" t="str">
            <v>15-09-2025 15:12:20</v>
          </cell>
          <cell r="M119" t="str">
            <v xml:space="preserve">Harris Hotel &amp; Conventions Festival Citilink Bandung - 4.0 Stars  - </v>
          </cell>
          <cell r="N119" t="str">
            <v>SOF LOLA ESG DAN SAFEGUARD</v>
          </cell>
          <cell r="O119">
            <v>7412111</v>
          </cell>
          <cell r="P119" t="str">
            <v>16/09/2025 14:00:00 - 18/09/2025 12:00:00</v>
          </cell>
          <cell r="Q119">
            <v>2000000</v>
          </cell>
        </row>
        <row r="120">
          <cell r="A120">
            <v>1284718336</v>
          </cell>
          <cell r="B120" t="str">
            <v>8914091ZY</v>
          </cell>
          <cell r="C120" t="str">
            <v>AKBAR KHASHEMI HAMZAH</v>
          </cell>
          <cell r="D120">
            <v>89145602</v>
          </cell>
          <cell r="E120">
            <v>4120177733</v>
          </cell>
          <cell r="F120">
            <v>54</v>
          </cell>
          <cell r="G120" t="str">
            <v>Perjalanan Dinas Non-Diklat</v>
          </cell>
          <cell r="H120" t="str">
            <v>Kota Makassar - Kota Bandung</v>
          </cell>
          <cell r="I120" t="str">
            <v>16/09/2025 - 18/09/2025</v>
          </cell>
          <cell r="J120">
            <v>3</v>
          </cell>
          <cell r="K120" t="str">
            <v>Flight One Way</v>
          </cell>
          <cell r="L120" t="str">
            <v>15-09-2025 13:47:17</v>
          </cell>
          <cell r="M120" t="str">
            <v>Garuda Indonesia Domestic UPG Hasanuddin GA-605 - Garuda Indonesia  CGK Soekarno Hatta International Airport GA-605</v>
          </cell>
          <cell r="N120" t="str">
            <v>SOF LOLA ESG DAN SAFEGUARD</v>
          </cell>
          <cell r="O120">
            <v>7412111</v>
          </cell>
          <cell r="P120" t="str">
            <v>16/09/2025 10:55:00 - 16/09/2025 12:25:00</v>
          </cell>
          <cell r="Q120">
            <v>2345200</v>
          </cell>
        </row>
        <row r="121">
          <cell r="A121">
            <v>1285086268</v>
          </cell>
          <cell r="B121" t="str">
            <v>8914091ZY</v>
          </cell>
          <cell r="C121" t="str">
            <v>AKBAR KHASHEMI HAMZAH</v>
          </cell>
          <cell r="D121">
            <v>89145602</v>
          </cell>
          <cell r="E121">
            <v>4120177733</v>
          </cell>
          <cell r="F121">
            <v>54</v>
          </cell>
          <cell r="G121" t="str">
            <v>Perjalanan Dinas Non-Diklat</v>
          </cell>
          <cell r="H121" t="str">
            <v>Kota Makassar - Kota Bandung</v>
          </cell>
          <cell r="I121" t="str">
            <v>16/09/2025 - 18/09/2025</v>
          </cell>
          <cell r="J121">
            <v>3</v>
          </cell>
          <cell r="K121" t="str">
            <v>Flight One Way</v>
          </cell>
          <cell r="L121" t="str">
            <v>17-09-2025 03:54:37</v>
          </cell>
          <cell r="M121" t="str">
            <v>Garuda Indonesia  CGK Soekarno Hatta International Airport GA-616 - Garuda Indonesia Domestic UPG Hasanuddin GA-616</v>
          </cell>
          <cell r="N121" t="str">
            <v>SOF LOLA ESG DAN SAFEGUARD</v>
          </cell>
          <cell r="O121">
            <v>7412111</v>
          </cell>
          <cell r="P121" t="str">
            <v>18/09/2025 16:45:00 - 18/09/2025 20:20:00</v>
          </cell>
          <cell r="Q121">
            <v>1837700</v>
          </cell>
        </row>
        <row r="122">
          <cell r="A122">
            <v>1285305871</v>
          </cell>
          <cell r="B122" t="str">
            <v>9618035FBY</v>
          </cell>
          <cell r="C122" t="str">
            <v>SOFYAN ASBAR</v>
          </cell>
          <cell r="D122">
            <v>96187638</v>
          </cell>
          <cell r="E122">
            <v>4120177680</v>
          </cell>
          <cell r="F122">
            <v>54</v>
          </cell>
          <cell r="G122" t="str">
            <v>Perjalanan Dinas Diklat</v>
          </cell>
          <cell r="H122" t="str">
            <v>Kab. Mamuju - Kota Cilegon</v>
          </cell>
          <cell r="I122" t="str">
            <v>14/09/2025 - 19/09/2025</v>
          </cell>
          <cell r="J122">
            <v>6</v>
          </cell>
          <cell r="K122" t="str">
            <v>Flight One Way</v>
          </cell>
          <cell r="L122" t="str">
            <v>17-09-2025 22:42:49</v>
          </cell>
          <cell r="M122" t="str">
            <v>Garuda Indonesia  CGK Soekarno Hatta International Airport GA-604 - Garuda Indonesia Domestic UPG Hasanuddin GA-604</v>
          </cell>
          <cell r="N122" t="str">
            <v>JTC KONS LISDES</v>
          </cell>
          <cell r="O122">
            <v>7412290</v>
          </cell>
          <cell r="P122" t="str">
            <v>19/09/2025 02:50:00 - 19/09/2025 06:25:00</v>
          </cell>
          <cell r="Q122">
            <v>2000200</v>
          </cell>
        </row>
        <row r="123">
          <cell r="A123">
            <v>1284464335</v>
          </cell>
          <cell r="B123" t="str">
            <v>9616015FY</v>
          </cell>
          <cell r="C123" t="str">
            <v>MUHAMMAD ANDHI</v>
          </cell>
          <cell r="D123">
            <v>96167880</v>
          </cell>
          <cell r="E123">
            <v>4120177725</v>
          </cell>
          <cell r="F123">
            <v>54</v>
          </cell>
          <cell r="G123" t="str">
            <v>Perjalanan Dinas Non-Diklat</v>
          </cell>
          <cell r="H123" t="str">
            <v>Kab. Mamasa - Kab. Mamuju</v>
          </cell>
          <cell r="I123" t="str">
            <v>14/09/2025 - 15/09/2025</v>
          </cell>
          <cell r="J123">
            <v>2</v>
          </cell>
          <cell r="K123" t="str">
            <v>Hotel</v>
          </cell>
          <cell r="L123" t="str">
            <v>14-09-2025 08:52:09</v>
          </cell>
          <cell r="M123" t="str">
            <v xml:space="preserve">Maleo Town Square - 3.0 Stars  - </v>
          </cell>
          <cell r="N123" t="str">
            <v>TL YAN GAN</v>
          </cell>
          <cell r="O123">
            <v>7409658</v>
          </cell>
          <cell r="P123" t="str">
            <v>14/09/2025 14:00:00 - 15/09/2025 12:00:00</v>
          </cell>
          <cell r="Q123">
            <v>570000</v>
          </cell>
        </row>
        <row r="124">
          <cell r="A124">
            <v>1284472867</v>
          </cell>
          <cell r="B124" t="str">
            <v>95191270ZY</v>
          </cell>
          <cell r="C124" t="str">
            <v>SEPTYANTO NUGROHO</v>
          </cell>
          <cell r="D124">
            <v>95197610</v>
          </cell>
          <cell r="E124">
            <v>4120177723</v>
          </cell>
          <cell r="F124">
            <v>54</v>
          </cell>
          <cell r="G124" t="str">
            <v>Perjalanan Dinas Non-Diklat</v>
          </cell>
          <cell r="H124" t="str">
            <v>Kota Makassar - Jakarta Selatan</v>
          </cell>
          <cell r="I124" t="str">
            <v>14/09/2025 - 17/09/2025</v>
          </cell>
          <cell r="J124">
            <v>4</v>
          </cell>
          <cell r="K124" t="str">
            <v>Flight One Way</v>
          </cell>
          <cell r="L124" t="str">
            <v>14-09-2025 09:44:59</v>
          </cell>
          <cell r="M124" t="str">
            <v>Garuda Indonesia Domestic UPG Hasanuddin GA-6154 - Garuda Indonesia  CGK Soekarno Hatta International Airport GA-6154</v>
          </cell>
          <cell r="N124" t="str">
            <v>OF IPP DAN EXCESS POWER</v>
          </cell>
          <cell r="O124">
            <v>7412110</v>
          </cell>
          <cell r="P124" t="str">
            <v>14/09/2025 19:00:00 - 14/09/2025 20:25:00</v>
          </cell>
          <cell r="Q124">
            <v>1787600</v>
          </cell>
        </row>
        <row r="125">
          <cell r="A125">
            <v>1284672926</v>
          </cell>
          <cell r="B125" t="str">
            <v>95191270ZY</v>
          </cell>
          <cell r="C125" t="str">
            <v>SEPTYANTO NUGROHO</v>
          </cell>
          <cell r="D125">
            <v>95197610</v>
          </cell>
          <cell r="E125">
            <v>4120177723</v>
          </cell>
          <cell r="F125">
            <v>54</v>
          </cell>
          <cell r="G125" t="str">
            <v>Perjalanan Dinas Non-Diklat</v>
          </cell>
          <cell r="H125" t="str">
            <v>Kota Makassar - Jakarta Selatan</v>
          </cell>
          <cell r="I125" t="str">
            <v>14/09/2025 - 17/09/2025</v>
          </cell>
          <cell r="J125">
            <v>4</v>
          </cell>
          <cell r="K125" t="str">
            <v>Flight One Way</v>
          </cell>
          <cell r="L125" t="str">
            <v>15-09-2025 10:36:58</v>
          </cell>
          <cell r="M125" t="str">
            <v>Garuda Indonesia  CGK Soekarno Hatta International Airport GA-612 - Garuda Indonesia Domestic UPG Hasanuddin GA-612</v>
          </cell>
          <cell r="N125" t="str">
            <v>OF IPP DAN EXCESS POWER</v>
          </cell>
          <cell r="O125">
            <v>7412110</v>
          </cell>
          <cell r="P125" t="str">
            <v>17/09/2025 14:25:00 - 17/09/2025 18:00:00</v>
          </cell>
          <cell r="Q125">
            <v>2395400</v>
          </cell>
        </row>
        <row r="126">
          <cell r="A126">
            <v>1284476218</v>
          </cell>
          <cell r="B126" t="str">
            <v>95191270ZY</v>
          </cell>
          <cell r="C126" t="str">
            <v>SEPTYANTO NUGROHO</v>
          </cell>
          <cell r="D126">
            <v>95197610</v>
          </cell>
          <cell r="E126">
            <v>4120177723</v>
          </cell>
          <cell r="F126">
            <v>54</v>
          </cell>
          <cell r="G126" t="str">
            <v>Perjalanan Dinas Non-Diklat</v>
          </cell>
          <cell r="H126" t="str">
            <v>Kota Makassar - Jakarta Selatan</v>
          </cell>
          <cell r="I126" t="str">
            <v>14/09/2025 - 17/09/2025</v>
          </cell>
          <cell r="J126">
            <v>4</v>
          </cell>
          <cell r="K126" t="str">
            <v>Hotel</v>
          </cell>
          <cell r="L126" t="str">
            <v>14-09-2025 10:03:20</v>
          </cell>
          <cell r="M126" t="str">
            <v xml:space="preserve">favehotel Melawai - 2.0 Stars  - </v>
          </cell>
          <cell r="N126" t="str">
            <v>OF IPP DAN EXCESS POWER</v>
          </cell>
          <cell r="O126">
            <v>7412110</v>
          </cell>
          <cell r="P126" t="str">
            <v>14/09/2025 14:00:00 - 17/09/2025 12:00:00</v>
          </cell>
          <cell r="Q126">
            <v>2034510</v>
          </cell>
        </row>
        <row r="127">
          <cell r="A127">
            <v>1284259338</v>
          </cell>
          <cell r="B127" t="str">
            <v>9719989ZY</v>
          </cell>
          <cell r="C127" t="str">
            <v>INDAH ADELIA NUR SYAHBANI</v>
          </cell>
          <cell r="D127">
            <v>97197614</v>
          </cell>
          <cell r="E127">
            <v>4120177722</v>
          </cell>
          <cell r="F127">
            <v>54</v>
          </cell>
          <cell r="G127" t="str">
            <v>Perjalanan Dinas Non-Diklat</v>
          </cell>
          <cell r="H127" t="str">
            <v>Kab. Polewali Mandar - Kab. Mamuju</v>
          </cell>
          <cell r="I127" t="str">
            <v>14/09/2025 - 15/09/2025</v>
          </cell>
          <cell r="J127">
            <v>2</v>
          </cell>
          <cell r="K127" t="str">
            <v>Hotel</v>
          </cell>
          <cell r="L127" t="str">
            <v>13-09-2025 09:33:27</v>
          </cell>
          <cell r="M127" t="str">
            <v xml:space="preserve">Maleo Town Square - 3.0 Stars  - </v>
          </cell>
          <cell r="N127" t="str">
            <v>TL YAN GAN</v>
          </cell>
          <cell r="O127">
            <v>7409657</v>
          </cell>
          <cell r="P127" t="str">
            <v>14/09/2025 14:00:00 - 15/09/2025 12:00:00</v>
          </cell>
          <cell r="Q127">
            <v>570000</v>
          </cell>
        </row>
        <row r="128">
          <cell r="A128">
            <v>1284257708</v>
          </cell>
          <cell r="B128" t="str">
            <v>9619387ZY</v>
          </cell>
          <cell r="C128" t="str">
            <v>ENDAH SURYANING WULANDARI</v>
          </cell>
          <cell r="D128">
            <v>96196200</v>
          </cell>
          <cell r="E128">
            <v>4120177717</v>
          </cell>
          <cell r="F128">
            <v>54</v>
          </cell>
          <cell r="G128" t="str">
            <v>Perjalanan Dinas Diklat</v>
          </cell>
          <cell r="H128" t="str">
            <v>Kota Parepare - Kota Surabaya</v>
          </cell>
          <cell r="I128" t="str">
            <v>14/09/2025 - 20/09/2025</v>
          </cell>
          <cell r="J128">
            <v>7</v>
          </cell>
          <cell r="K128" t="str">
            <v>Flight Round-Trip</v>
          </cell>
          <cell r="L128" t="str">
            <v>13-09-2025 09:25:50</v>
          </cell>
          <cell r="M128" t="str">
            <v>Citilink Domestic UPG Hasanuddin QG-353 - Citilink 1A SUB Juanda QG-353</v>
          </cell>
          <cell r="N128" t="str">
            <v>OF KIN KEU DAN MUM</v>
          </cell>
          <cell r="O128">
            <v>7412220</v>
          </cell>
          <cell r="P128" t="str">
            <v>14/09/2025 19:30:00 - 14/09/2025 20:05:00</v>
          </cell>
          <cell r="Q128">
            <v>2066200</v>
          </cell>
        </row>
        <row r="129">
          <cell r="A129">
            <v>1284185820</v>
          </cell>
          <cell r="B129" t="str">
            <v>7806084Z</v>
          </cell>
          <cell r="C129" t="str">
            <v>RACHMAT NUR</v>
          </cell>
          <cell r="D129">
            <v>78068001</v>
          </cell>
          <cell r="E129">
            <v>4120177718</v>
          </cell>
          <cell r="F129">
            <v>54</v>
          </cell>
          <cell r="G129" t="str">
            <v>Perjalanan Dinas Non-Diklat</v>
          </cell>
          <cell r="H129" t="str">
            <v>Kota Makassar - Kab. Kepulauan Selayar</v>
          </cell>
          <cell r="I129" t="str">
            <v>12/09/2025 - 14/09/2025</v>
          </cell>
          <cell r="J129">
            <v>3</v>
          </cell>
          <cell r="K129" t="str">
            <v>Hotel</v>
          </cell>
          <cell r="L129" t="str">
            <v>12-09-2025 21:22:37</v>
          </cell>
          <cell r="M129" t="str">
            <v xml:space="preserve">SAME Resort Bira Beach - 3.0 Stars  - </v>
          </cell>
          <cell r="N129" t="str">
            <v>MAN KIT</v>
          </cell>
          <cell r="O129">
            <v>7412000</v>
          </cell>
          <cell r="P129" t="str">
            <v>12/09/2025 14:00:00 - 13/09/2025 12:00:00</v>
          </cell>
          <cell r="Q129">
            <v>1084337</v>
          </cell>
        </row>
        <row r="130">
          <cell r="A130">
            <v>1284163454</v>
          </cell>
          <cell r="B130" t="str">
            <v>8808036F</v>
          </cell>
          <cell r="C130" t="str">
            <v xml:space="preserve">SYAHLAN </v>
          </cell>
          <cell r="D130">
            <v>88087602</v>
          </cell>
          <cell r="E130">
            <v>4120177707</v>
          </cell>
          <cell r="F130">
            <v>54</v>
          </cell>
          <cell r="G130" t="str">
            <v>Perjalanan Dinas Non-Diklat</v>
          </cell>
          <cell r="H130" t="str">
            <v>Kota Makassar - Kab. Muna</v>
          </cell>
          <cell r="I130" t="str">
            <v>14/09/2025 - 17/09/2025</v>
          </cell>
          <cell r="J130">
            <v>4</v>
          </cell>
          <cell r="K130" t="str">
            <v>Flight One Way</v>
          </cell>
          <cell r="L130" t="str">
            <v>12-09-2025 19:47:16</v>
          </cell>
          <cell r="M130" t="str">
            <v>Garuda Indonesia  KDI Haluoleo GA-605 - Garuda Indonesia Domestic UPG Hasanuddin GA-605</v>
          </cell>
          <cell r="N130" t="str">
            <v>ASMAN TJSL</v>
          </cell>
          <cell r="O130">
            <v>7412163</v>
          </cell>
          <cell r="P130" t="str">
            <v>17/09/2025 09:10:00 - 17/09/2025 10:10:00</v>
          </cell>
          <cell r="Q130">
            <v>952600</v>
          </cell>
        </row>
        <row r="131">
          <cell r="A131">
            <v>1284161577</v>
          </cell>
          <cell r="B131" t="str">
            <v>8808036F</v>
          </cell>
          <cell r="C131" t="str">
            <v xml:space="preserve">SYAHLAN </v>
          </cell>
          <cell r="D131">
            <v>88087602</v>
          </cell>
          <cell r="E131">
            <v>4120177707</v>
          </cell>
          <cell r="F131">
            <v>54</v>
          </cell>
          <cell r="G131" t="str">
            <v>Perjalanan Dinas Non-Diklat</v>
          </cell>
          <cell r="H131" t="str">
            <v>Kota Makassar - Kab. Muna</v>
          </cell>
          <cell r="I131" t="str">
            <v>14/09/2025 - 17/09/2025</v>
          </cell>
          <cell r="J131">
            <v>4</v>
          </cell>
          <cell r="K131" t="str">
            <v>Flight One Way</v>
          </cell>
          <cell r="L131" t="str">
            <v>12-09-2025 19:39:10</v>
          </cell>
          <cell r="M131" t="str">
            <v>Garuda Indonesia Domestic UPG Hasanuddin GA-604 - Garuda Indonesia  KDI Haluoleo GA-604</v>
          </cell>
          <cell r="N131" t="str">
            <v>ASMAN TJSL</v>
          </cell>
          <cell r="O131">
            <v>7412163</v>
          </cell>
          <cell r="P131" t="str">
            <v>14/09/2025 07:25:00 - 14/09/2025 08:25:00</v>
          </cell>
          <cell r="Q131">
            <v>866600</v>
          </cell>
        </row>
        <row r="132">
          <cell r="A132">
            <v>1284050674</v>
          </cell>
          <cell r="B132" t="str">
            <v>9818160FBY</v>
          </cell>
          <cell r="C132" t="str">
            <v>FACHRUDDIN SYARIF</v>
          </cell>
          <cell r="D132">
            <v>98187625</v>
          </cell>
          <cell r="E132">
            <v>4120177710</v>
          </cell>
          <cell r="F132">
            <v>54</v>
          </cell>
          <cell r="G132" t="str">
            <v>Perjalanan Dinas Diklat</v>
          </cell>
          <cell r="H132" t="str">
            <v>Kota Kendari - Jakarta Pusat</v>
          </cell>
          <cell r="I132" t="str">
            <v>14/09/2025 - 19/09/2025</v>
          </cell>
          <cell r="J132">
            <v>6</v>
          </cell>
          <cell r="K132" t="str">
            <v>Flight One Way</v>
          </cell>
          <cell r="L132" t="str">
            <v>12-09-2025 12:12:40</v>
          </cell>
          <cell r="M132" t="str">
            <v>Pelita Air  KDI Haluoleo IP-811 - Pelita Air 3 CGK Soekarno Hatta International Airport IP-811</v>
          </cell>
          <cell r="N132" t="str">
            <v>JTC KONS LISDES</v>
          </cell>
          <cell r="O132">
            <v>7412240</v>
          </cell>
          <cell r="P132" t="str">
            <v>14/09/2025 10:35:00 - 14/09/2025 12:20:00</v>
          </cell>
          <cell r="Q132">
            <v>1867300</v>
          </cell>
        </row>
        <row r="133">
          <cell r="A133">
            <v>1284048970</v>
          </cell>
          <cell r="B133" t="str">
            <v>9212027FY</v>
          </cell>
          <cell r="C133" t="str">
            <v>MUHAMMAD RAHMAT PATI YUNUS</v>
          </cell>
          <cell r="D133">
            <v>92127609</v>
          </cell>
          <cell r="E133">
            <v>4120177712</v>
          </cell>
          <cell r="F133">
            <v>54</v>
          </cell>
          <cell r="G133" t="str">
            <v>Perjalanan Dinas Diklat</v>
          </cell>
          <cell r="H133" t="str">
            <v>Kota Kendari - Kota Cilegon</v>
          </cell>
          <cell r="I133" t="str">
            <v>14/09/2025 - 19/09/2025</v>
          </cell>
          <cell r="J133">
            <v>6</v>
          </cell>
          <cell r="K133" t="str">
            <v>Flight One Way</v>
          </cell>
          <cell r="L133" t="str">
            <v>12-09-2025 12:06:01</v>
          </cell>
          <cell r="M133" t="str">
            <v>Pelita Air  KDI Haluoleo IP-811 - Pelita Air 3 CGK Soekarno Hatta International Airport IP-811</v>
          </cell>
          <cell r="N133" t="str">
            <v>TC KONS LISDES</v>
          </cell>
          <cell r="O133">
            <v>7412240</v>
          </cell>
          <cell r="P133" t="str">
            <v>14/09/2025 10:35:00 - 14/09/2025 12:20:00</v>
          </cell>
          <cell r="Q133">
            <v>1867300</v>
          </cell>
        </row>
        <row r="134">
          <cell r="A134">
            <v>1284114323</v>
          </cell>
          <cell r="B134" t="str">
            <v>96191275ZY</v>
          </cell>
          <cell r="C134" t="str">
            <v>BAMA RUSMALI</v>
          </cell>
          <cell r="D134">
            <v>96197617</v>
          </cell>
          <cell r="E134">
            <v>4120177706</v>
          </cell>
          <cell r="F134">
            <v>54</v>
          </cell>
          <cell r="G134" t="str">
            <v>Perjalanan Dinas Diklat</v>
          </cell>
          <cell r="H134" t="str">
            <v>Kota Makassar - Kota Cilegon</v>
          </cell>
          <cell r="I134" t="str">
            <v>14/09/2025 - 19/09/2025</v>
          </cell>
          <cell r="J134">
            <v>6</v>
          </cell>
          <cell r="K134" t="str">
            <v>Flight One Way</v>
          </cell>
          <cell r="L134" t="str">
            <v>12-09-2025 16:19:03</v>
          </cell>
          <cell r="M134" t="str">
            <v>Garuda Indonesia Domestic UPG Hasanuddin GA-641 - Garuda Indonesia  CGK Soekarno Hatta International Airport GA-641</v>
          </cell>
          <cell r="N134" t="str">
            <v>OF REN LIST PERDESAAN</v>
          </cell>
          <cell r="O134">
            <v>7412000</v>
          </cell>
          <cell r="P134" t="str">
            <v>14/09/2025 12:15:00 - 14/09/2025 13:40:00</v>
          </cell>
          <cell r="Q134">
            <v>2182800</v>
          </cell>
        </row>
        <row r="135">
          <cell r="A135">
            <v>1285306862</v>
          </cell>
          <cell r="B135" t="str">
            <v>9717057FBY</v>
          </cell>
          <cell r="C135" t="str">
            <v>MUH ISMAIL ANWAR</v>
          </cell>
          <cell r="D135">
            <v>97177614</v>
          </cell>
          <cell r="E135">
            <v>4120177687</v>
          </cell>
          <cell r="F135">
            <v>54</v>
          </cell>
          <cell r="G135" t="str">
            <v>Perjalanan Dinas Diklat</v>
          </cell>
          <cell r="H135" t="str">
            <v>KotaMakassar-KotaCilegon</v>
          </cell>
          <cell r="I135" t="str">
            <v>14/09/2025 - 19/09/2025</v>
          </cell>
          <cell r="J135">
            <v>6</v>
          </cell>
          <cell r="K135" t="str">
            <v>Flight One Way</v>
          </cell>
          <cell r="L135" t="str">
            <v>17-09-2025 22:48:06</v>
          </cell>
          <cell r="M135" t="str">
            <v>Garuda Indonesia  CGK Soekarno Hatta International Airport GA-616 - Garuda Indonesia Domestic UPG Hasanuddin GA-616</v>
          </cell>
          <cell r="N135" t="str">
            <v>JTC KONS LIST PERDESAAN</v>
          </cell>
          <cell r="O135">
            <v>7412000</v>
          </cell>
          <cell r="P135" t="str">
            <v>19/09/2025 16:45:00 - 19/09/2025 20:20:00</v>
          </cell>
          <cell r="Q135">
            <v>2001500</v>
          </cell>
        </row>
        <row r="136">
          <cell r="A136">
            <v>1284114348</v>
          </cell>
          <cell r="B136" t="str">
            <v>9717057FBY</v>
          </cell>
          <cell r="C136" t="str">
            <v>MUH ISMAIL ANWAR</v>
          </cell>
          <cell r="D136">
            <v>97177614</v>
          </cell>
          <cell r="E136">
            <v>4120177687</v>
          </cell>
          <cell r="F136">
            <v>54</v>
          </cell>
          <cell r="G136" t="str">
            <v>Perjalanan Dinas Diklat</v>
          </cell>
          <cell r="H136" t="str">
            <v>Kota Makassar - Kota Cilegon</v>
          </cell>
          <cell r="I136" t="str">
            <v>14/09/2025 - 19/09/2025</v>
          </cell>
          <cell r="J136">
            <v>6</v>
          </cell>
          <cell r="K136" t="str">
            <v>Flight One Way</v>
          </cell>
          <cell r="L136" t="str">
            <v>12-09-2025 16:18:56</v>
          </cell>
          <cell r="M136" t="str">
            <v>Garuda Indonesia Domestic UPG Hasanuddin GA-641 - Garuda Indonesia  CGK Soekarno Hatta International Airport GA-641</v>
          </cell>
          <cell r="N136" t="str">
            <v>JTC KONS LIST PERDESAAN</v>
          </cell>
          <cell r="O136">
            <v>7412000</v>
          </cell>
          <cell r="P136" t="str">
            <v>14/09/2025 12:15:00 - 14/09/2025 13:40:00</v>
          </cell>
          <cell r="Q136">
            <v>2182800</v>
          </cell>
        </row>
        <row r="137">
          <cell r="A137">
            <v>1283739641</v>
          </cell>
          <cell r="B137" t="str">
            <v>7594035F</v>
          </cell>
          <cell r="C137" t="str">
            <v>AGUS SALIM</v>
          </cell>
          <cell r="D137">
            <v>75947601</v>
          </cell>
          <cell r="E137">
            <v>4120177684</v>
          </cell>
          <cell r="F137">
            <v>54</v>
          </cell>
          <cell r="G137" t="str">
            <v>Perjalanan Dinas Non-Diklat</v>
          </cell>
          <cell r="H137" t="str">
            <v>Kota Makassar - Jakarta Selatan</v>
          </cell>
          <cell r="I137" t="str">
            <v>16/09/2025 - 18/09/2025</v>
          </cell>
          <cell r="J137">
            <v>3</v>
          </cell>
          <cell r="K137" t="str">
            <v>Flight Round-Trip</v>
          </cell>
          <cell r="L137" t="str">
            <v>11-09-2025 08:32:28</v>
          </cell>
          <cell r="M137" t="str">
            <v>Garuda Indonesia Domestic UPG Hasanuddin GA-6194 - Garuda Indonesia  CGK Soekarno Hatta International Airport GA-6194</v>
          </cell>
          <cell r="N137" t="str">
            <v>ASMAN K3 DAN KAM</v>
          </cell>
          <cell r="O137">
            <v>7412000</v>
          </cell>
          <cell r="P137" t="str">
            <v>16/09/2025 05:25:00 - 16/09/2025 06:55:00</v>
          </cell>
          <cell r="Q137">
            <v>3170200</v>
          </cell>
        </row>
        <row r="138">
          <cell r="A138">
            <v>1283938402</v>
          </cell>
          <cell r="B138" t="str">
            <v>95191469ZY</v>
          </cell>
          <cell r="C138" t="str">
            <v>ANDI WARIS</v>
          </cell>
          <cell r="D138">
            <v>95197613</v>
          </cell>
          <cell r="E138">
            <v>4120177683</v>
          </cell>
          <cell r="F138">
            <v>54</v>
          </cell>
          <cell r="G138" t="str">
            <v>Perjalanan Dinas Non-Diklat</v>
          </cell>
          <cell r="H138" t="str">
            <v>Kota Kendari - Kota Makassar</v>
          </cell>
          <cell r="I138" t="str">
            <v>11/09/2025 - 13/09/2025</v>
          </cell>
          <cell r="J138">
            <v>3</v>
          </cell>
          <cell r="K138" t="str">
            <v>Flight One Way</v>
          </cell>
          <cell r="L138" t="str">
            <v>11-09-2025 22:53:07</v>
          </cell>
          <cell r="M138" t="str">
            <v>Batik Air Domestic UPG Hasanuddin ID-6751 - Batik Air  KDI Haluoleo ID-6751</v>
          </cell>
          <cell r="N138" t="str">
            <v>TL HAR ELEKTRO (KENDARI)</v>
          </cell>
          <cell r="O138">
            <v>7412340</v>
          </cell>
          <cell r="P138" t="str">
            <v>13/09/2025 08:30:00 - 13/09/2025 09:35:00</v>
          </cell>
          <cell r="Q138">
            <v>741000</v>
          </cell>
        </row>
        <row r="139">
          <cell r="A139">
            <v>1283733251</v>
          </cell>
          <cell r="B139" t="str">
            <v>95191469ZY</v>
          </cell>
          <cell r="C139" t="str">
            <v>ANDI WARIS</v>
          </cell>
          <cell r="D139">
            <v>95197613</v>
          </cell>
          <cell r="E139">
            <v>4120177683</v>
          </cell>
          <cell r="F139">
            <v>54</v>
          </cell>
          <cell r="G139" t="str">
            <v>Perjalanan Dinas Non-Diklat</v>
          </cell>
          <cell r="H139" t="str">
            <v>Kota Kendari - Kota Makassar</v>
          </cell>
          <cell r="I139" t="str">
            <v>11/09/2025 - 13/09/2025</v>
          </cell>
          <cell r="J139">
            <v>3</v>
          </cell>
          <cell r="K139" t="str">
            <v>Flight One Way</v>
          </cell>
          <cell r="L139" t="str">
            <v>11-09-2025 07:54:22</v>
          </cell>
          <cell r="M139" t="str">
            <v>Lion Air  KDI Haluoleo JT-993 - Lion Air Domestic UPG Hasanuddin JT-993</v>
          </cell>
          <cell r="N139" t="str">
            <v>TL HAR ELEKTRO (KENDARI)</v>
          </cell>
          <cell r="O139">
            <v>7412340</v>
          </cell>
          <cell r="P139" t="str">
            <v>11/09/2025 14:30:00 - 11/09/2025 15:25:00</v>
          </cell>
          <cell r="Q139">
            <v>705200</v>
          </cell>
        </row>
        <row r="140">
          <cell r="A140">
            <v>1283873551</v>
          </cell>
          <cell r="B140" t="str">
            <v>96191272ZY</v>
          </cell>
          <cell r="C140" t="str">
            <v>AHMAD FATHAN MAARIF</v>
          </cell>
          <cell r="D140">
            <v>96197614</v>
          </cell>
          <cell r="E140">
            <v>4120177673</v>
          </cell>
          <cell r="F140">
            <v>54</v>
          </cell>
          <cell r="G140" t="str">
            <v>Perjalanan Dinas Non-Diklat</v>
          </cell>
          <cell r="H140" t="str">
            <v>Kota Kendari - Kota Makassar</v>
          </cell>
          <cell r="I140" t="str">
            <v>10/09/2025 - 12/09/2025</v>
          </cell>
          <cell r="J140">
            <v>3</v>
          </cell>
          <cell r="K140" t="str">
            <v>Flight One Way</v>
          </cell>
          <cell r="L140" t="str">
            <v>11-09-2025 18:02:42</v>
          </cell>
          <cell r="M140" t="str">
            <v>Batik Air Domestic UPG Hasanuddin ID-6269 - Batik Air  KDI Haluoleo ID-6269</v>
          </cell>
          <cell r="N140" t="str">
            <v>TL SCADA DAN TEL (KEN)</v>
          </cell>
          <cell r="O140">
            <v>7408341</v>
          </cell>
          <cell r="P140" t="str">
            <v>12/09/2025 20:25:00 - 13/09/2025 07:10:00</v>
          </cell>
          <cell r="Q140">
            <v>2585800</v>
          </cell>
        </row>
        <row r="141">
          <cell r="A141">
            <v>1283583189</v>
          </cell>
          <cell r="B141" t="str">
            <v>96191272ZY</v>
          </cell>
          <cell r="C141" t="str">
            <v>AHMAD FATHAN MAARIF</v>
          </cell>
          <cell r="D141">
            <v>96197614</v>
          </cell>
          <cell r="E141">
            <v>4120177673</v>
          </cell>
          <cell r="F141">
            <v>54</v>
          </cell>
          <cell r="G141" t="str">
            <v>Perjalanan Dinas Non-Diklat</v>
          </cell>
          <cell r="H141" t="str">
            <v>Kota Kendari - Kota Makassar</v>
          </cell>
          <cell r="I141" t="str">
            <v>10/09/2025 - 12/09/2025</v>
          </cell>
          <cell r="J141">
            <v>3</v>
          </cell>
          <cell r="K141" t="str">
            <v>Hotel</v>
          </cell>
          <cell r="L141" t="str">
            <v>10-09-2025 14:41:22</v>
          </cell>
          <cell r="M141" t="str">
            <v xml:space="preserve">Aston Makassar Hotel &amp; Convention Center - 4.0 Stars  - </v>
          </cell>
          <cell r="N141" t="str">
            <v>TL SCADA DAN TEL (KEN)</v>
          </cell>
          <cell r="O141">
            <v>7408341</v>
          </cell>
          <cell r="P141" t="str">
            <v>10/09/2025 14:00:00 - 12/09/2025 12:00:00</v>
          </cell>
          <cell r="Q141">
            <v>1677089</v>
          </cell>
        </row>
        <row r="142">
          <cell r="A142">
            <v>1283535506</v>
          </cell>
          <cell r="B142" t="str">
            <v>9618035FBY</v>
          </cell>
          <cell r="C142" t="str">
            <v>SOFYAN ASBAR</v>
          </cell>
          <cell r="D142">
            <v>96187638</v>
          </cell>
          <cell r="E142">
            <v>4120177670</v>
          </cell>
          <cell r="F142">
            <v>54</v>
          </cell>
          <cell r="G142" t="str">
            <v>Perjalanan Dinas Non-Diklat</v>
          </cell>
          <cell r="H142" t="str">
            <v>Kab. Mamuju - Kota Makassar</v>
          </cell>
          <cell r="I142" t="str">
            <v>10/09/2025 - 13/09/2025</v>
          </cell>
          <cell r="J142">
            <v>4</v>
          </cell>
          <cell r="K142" t="str">
            <v>Hotel</v>
          </cell>
          <cell r="L142" t="str">
            <v>10-09-2025 11:32:36</v>
          </cell>
          <cell r="M142" t="str">
            <v xml:space="preserve">Swiss-Belinn Panakkukang - 4.0 Stars  - </v>
          </cell>
          <cell r="N142" t="str">
            <v>JTC KONS LISDES</v>
          </cell>
          <cell r="O142">
            <v>7412290</v>
          </cell>
          <cell r="P142" t="str">
            <v>10/09/2025 14:00:00 - 13/09/2025 12:00:00</v>
          </cell>
          <cell r="Q142">
            <v>2010000</v>
          </cell>
        </row>
        <row r="143">
          <cell r="A143">
            <v>1283512959</v>
          </cell>
          <cell r="B143" t="str">
            <v>9824171ZY</v>
          </cell>
          <cell r="C143" t="str">
            <v>GABRIELLE ALLENA</v>
          </cell>
          <cell r="D143">
            <v>98241171</v>
          </cell>
          <cell r="E143">
            <v>4120177656</v>
          </cell>
          <cell r="F143">
            <v>54</v>
          </cell>
          <cell r="G143" t="str">
            <v>Perjalanan Dinas Diklat</v>
          </cell>
          <cell r="H143" t="str">
            <v>Kota Cilegon - Kota Cilegon</v>
          </cell>
          <cell r="I143" t="str">
            <v>14/09/2025 - 19/09/2025</v>
          </cell>
          <cell r="J143">
            <v>6</v>
          </cell>
          <cell r="K143" t="str">
            <v>Flight One Way</v>
          </cell>
          <cell r="L143" t="str">
            <v>10-09-2025 10:02:30</v>
          </cell>
          <cell r="M143" t="str">
            <v>Batik Air  MJU Tampa Padang ID-6789 - Batik Air 1A CGK Soekarno Hatta International Airport ID-6789</v>
          </cell>
          <cell r="N143" t="str">
            <v>TC KONS LIST PERDESAAN</v>
          </cell>
          <cell r="O143">
            <v>7412290</v>
          </cell>
          <cell r="P143" t="str">
            <v>14/09/2025 11:35:00 - 14/09/2025 14:45:00</v>
          </cell>
          <cell r="Q143">
            <v>1905200</v>
          </cell>
        </row>
        <row r="144">
          <cell r="A144">
            <v>1283816031</v>
          </cell>
          <cell r="B144" t="str">
            <v>8611991Z</v>
          </cell>
          <cell r="C144" t="str">
            <v>A. MALLOMBASSI</v>
          </cell>
          <cell r="D144">
            <v>86118004</v>
          </cell>
          <cell r="E144">
            <v>4120177657</v>
          </cell>
          <cell r="F144">
            <v>54</v>
          </cell>
          <cell r="G144" t="str">
            <v>Perjalanan Pindah Mutasi</v>
          </cell>
          <cell r="H144" t="str">
            <v>Kab.Bone-Kab.Bulukumba</v>
          </cell>
          <cell r="I144" t="str">
            <v>11/09/2025 - 12/09/2025</v>
          </cell>
          <cell r="J144">
            <v>2</v>
          </cell>
          <cell r="K144" t="str">
            <v>Hotel</v>
          </cell>
          <cell r="L144" t="str">
            <v>11-09-2025 13:57:13</v>
          </cell>
          <cell r="M144" t="str">
            <v xml:space="preserve">Hotel Agri Bulukumba - 2.0 Stars  - </v>
          </cell>
          <cell r="N144" t="str">
            <v>ASMAN NPS</v>
          </cell>
          <cell r="O144">
            <v>7412274</v>
          </cell>
          <cell r="P144" t="str">
            <v>11/09/2025 14:00:00 - 12/09/2025 12:00:00</v>
          </cell>
          <cell r="Q144">
            <v>380000</v>
          </cell>
        </row>
        <row r="145">
          <cell r="A145">
            <v>1283680912</v>
          </cell>
          <cell r="B145" t="str">
            <v>7190010F</v>
          </cell>
          <cell r="C145" t="str">
            <v>HUSLAN HUSAIN</v>
          </cell>
          <cell r="D145">
            <v>71907601</v>
          </cell>
          <cell r="E145">
            <v>4120177664</v>
          </cell>
          <cell r="F145">
            <v>54</v>
          </cell>
          <cell r="G145" t="str">
            <v>Perjalanan Dinas Non-Diklat</v>
          </cell>
          <cell r="H145" t="str">
            <v>Kota Makassar - Kab. Pinrang</v>
          </cell>
          <cell r="I145" t="str">
            <v>10/09/2025 - 11/09/2025</v>
          </cell>
          <cell r="J145">
            <v>2</v>
          </cell>
          <cell r="K145" t="str">
            <v>Hotel</v>
          </cell>
          <cell r="L145" t="str">
            <v>10-09-2025 21:34:20</v>
          </cell>
          <cell r="M145" t="str">
            <v xml:space="preserve">Homestay Tirtasari Pinrang City Center Mitra RedDoorz - 1.0 Stars  - </v>
          </cell>
          <cell r="N145" t="str">
            <v>SM REN</v>
          </cell>
          <cell r="O145">
            <v>7412110</v>
          </cell>
          <cell r="P145" t="str">
            <v>10/09/2025 14:00:00 - 11/09/2025 12:00:00</v>
          </cell>
          <cell r="Q145">
            <v>590850</v>
          </cell>
        </row>
        <row r="146">
          <cell r="A146">
            <v>1283620310</v>
          </cell>
          <cell r="B146" t="str">
            <v>93151297ZY</v>
          </cell>
          <cell r="C146" t="str">
            <v>APRIZAL ARIF AMIR</v>
          </cell>
          <cell r="D146">
            <v>93157607</v>
          </cell>
          <cell r="E146">
            <v>4120177667</v>
          </cell>
          <cell r="F146">
            <v>54</v>
          </cell>
          <cell r="G146" t="str">
            <v>Perjalanan Dinas Non-Diklat</v>
          </cell>
          <cell r="H146" t="str">
            <v>Kab. Buton Tengah - Kota Baubau</v>
          </cell>
          <cell r="I146" t="str">
            <v>11/09/2025 - 12/09/2025</v>
          </cell>
          <cell r="J146">
            <v>2</v>
          </cell>
          <cell r="K146" t="str">
            <v>Hotel</v>
          </cell>
          <cell r="L146" t="str">
            <v>10-09-2025 17:14:11</v>
          </cell>
          <cell r="M146" t="str">
            <v xml:space="preserve">Zenith Premiere Hotel Baubau - 3.0 Stars  - </v>
          </cell>
          <cell r="N146" t="str">
            <v>MUL ULP (MAWASANGKA)</v>
          </cell>
          <cell r="O146">
            <v>7409654</v>
          </cell>
          <cell r="P146" t="str">
            <v>11/09/2025 14:00:00 - 12/09/2025 12:00:00</v>
          </cell>
          <cell r="Q146">
            <v>615400</v>
          </cell>
        </row>
        <row r="147">
          <cell r="A147">
            <v>1283764159</v>
          </cell>
          <cell r="B147" t="str">
            <v>90112386Z</v>
          </cell>
          <cell r="C147" t="str">
            <v>ISWANTO HAKIM</v>
          </cell>
          <cell r="D147">
            <v>90117611</v>
          </cell>
          <cell r="E147">
            <v>4120177665</v>
          </cell>
          <cell r="F147">
            <v>54</v>
          </cell>
          <cell r="G147" t="str">
            <v>Perjalanan Dinas Non-Diklat</v>
          </cell>
          <cell r="H147" t="str">
            <v>Kab. Muna - Kota Baubau</v>
          </cell>
          <cell r="I147" t="str">
            <v>10/09/2025 - 12/09/2025</v>
          </cell>
          <cell r="J147">
            <v>3</v>
          </cell>
          <cell r="K147" t="str">
            <v>Hotel</v>
          </cell>
          <cell r="L147" t="str">
            <v>11-09-2025 10:24:35</v>
          </cell>
          <cell r="M147" t="str">
            <v xml:space="preserve">Zenith Premiere Hotel Baubau - 3.0 Stars  - </v>
          </cell>
          <cell r="N147" t="str">
            <v>MUL ULP (RAHA)</v>
          </cell>
          <cell r="O147">
            <v>7409651</v>
          </cell>
          <cell r="P147" t="str">
            <v>11/09/2025 14:00:00 - 12/09/2025 12:00:00</v>
          </cell>
          <cell r="Q147">
            <v>615400</v>
          </cell>
        </row>
        <row r="148">
          <cell r="A148">
            <v>1283372586</v>
          </cell>
          <cell r="B148" t="str">
            <v>91151479ZY</v>
          </cell>
          <cell r="C148" t="str">
            <v>RICKY TITIN TRIPUTRA</v>
          </cell>
          <cell r="D148">
            <v>91157612</v>
          </cell>
          <cell r="E148">
            <v>4120177666</v>
          </cell>
          <cell r="F148">
            <v>54</v>
          </cell>
          <cell r="G148" t="str">
            <v>Perjalanan Dinas Non-Diklat</v>
          </cell>
          <cell r="H148" t="str">
            <v>Kab. Wakatobi - Kota Baubau</v>
          </cell>
          <cell r="I148" t="str">
            <v>10/09/2025 - 12/09/2025</v>
          </cell>
          <cell r="J148">
            <v>3</v>
          </cell>
          <cell r="K148" t="str">
            <v>Hotel</v>
          </cell>
          <cell r="L148" t="str">
            <v>09-09-2025 17:39:21</v>
          </cell>
          <cell r="M148" t="str">
            <v xml:space="preserve">Zenith Premiere Hotel Baubau - 3.0 Stars  - </v>
          </cell>
          <cell r="N148" t="str">
            <v>MUL</v>
          </cell>
          <cell r="O148">
            <v>7409652</v>
          </cell>
          <cell r="P148" t="str">
            <v>10/09/2025 14:00:00 - 12/09/2025 12:00:00</v>
          </cell>
          <cell r="Q148">
            <v>1370400</v>
          </cell>
        </row>
        <row r="149">
          <cell r="A149">
            <v>1283666832</v>
          </cell>
          <cell r="B149" t="str">
            <v>7802014F</v>
          </cell>
          <cell r="C149" t="str">
            <v>MUHAMMAD ISMAIL</v>
          </cell>
          <cell r="D149">
            <v>78027603</v>
          </cell>
          <cell r="E149">
            <v>4120177661</v>
          </cell>
          <cell r="F149">
            <v>54</v>
          </cell>
          <cell r="G149" t="str">
            <v>Perjalanan Dinas Non-Diklat</v>
          </cell>
          <cell r="H149" t="str">
            <v>Kota Makassar - Kab. Enrekang</v>
          </cell>
          <cell r="I149" t="str">
            <v>10/09/2025 - 11/09/2025</v>
          </cell>
          <cell r="J149">
            <v>2</v>
          </cell>
          <cell r="K149" t="str">
            <v>Hotel</v>
          </cell>
          <cell r="L149" t="str">
            <v>10-09-2025 20:34:56</v>
          </cell>
          <cell r="M149" t="str">
            <v xml:space="preserve">Homestay Tirtasari Pinrang City Center Mitra RedDoorz - 1.0 Stars  - </v>
          </cell>
          <cell r="N149" t="str">
            <v>MAN IPP DAN EXCESS POWER</v>
          </cell>
          <cell r="O149">
            <v>7412110</v>
          </cell>
          <cell r="P149" t="str">
            <v>10/09/2025 14:00:00 - 11/09/2025 12:00:00</v>
          </cell>
          <cell r="Q149">
            <v>459550</v>
          </cell>
        </row>
        <row r="150">
          <cell r="A150">
            <v>1283667231</v>
          </cell>
          <cell r="B150" t="str">
            <v>8209147Z</v>
          </cell>
          <cell r="C150" t="str">
            <v>WENNY DIANA</v>
          </cell>
          <cell r="D150">
            <v>82097400</v>
          </cell>
          <cell r="E150">
            <v>4120177662</v>
          </cell>
          <cell r="F150">
            <v>54</v>
          </cell>
          <cell r="G150" t="str">
            <v>Perjalanan Dinas Non-Diklat</v>
          </cell>
          <cell r="H150" t="str">
            <v>Kota Makassar - Kab. Enrekang</v>
          </cell>
          <cell r="I150" t="str">
            <v>10/09/2025 - 11/09/2025</v>
          </cell>
          <cell r="J150">
            <v>2</v>
          </cell>
          <cell r="K150" t="str">
            <v>Hotel</v>
          </cell>
          <cell r="L150" t="str">
            <v>10-09-2025 20:36:34</v>
          </cell>
          <cell r="M150" t="str">
            <v xml:space="preserve">Homestay Tirtasari Pinrang City Center Mitra RedDoorz - 1.0 Stars  - </v>
          </cell>
          <cell r="N150" t="str">
            <v>SOF IPP DAN EXCESS POWER</v>
          </cell>
          <cell r="O150">
            <v>7412110</v>
          </cell>
          <cell r="P150" t="str">
            <v>10/09/2025 14:00:00 - 11/09/2025 12:00:00</v>
          </cell>
          <cell r="Q150">
            <v>590850</v>
          </cell>
        </row>
        <row r="151">
          <cell r="A151">
            <v>1283667643</v>
          </cell>
          <cell r="B151" t="str">
            <v>9619975ZY</v>
          </cell>
          <cell r="C151" t="str">
            <v>SEKARWATI CIPTOROSO</v>
          </cell>
          <cell r="D151">
            <v>96197610</v>
          </cell>
          <cell r="E151">
            <v>4120177659</v>
          </cell>
          <cell r="F151">
            <v>54</v>
          </cell>
          <cell r="G151" t="str">
            <v>Perjalanan Dinas Non-Diklat</v>
          </cell>
          <cell r="H151" t="str">
            <v>Kota Baubau - Kota Makassar</v>
          </cell>
          <cell r="I151" t="str">
            <v>10/09/2025 - 13/09/2025</v>
          </cell>
          <cell r="J151">
            <v>4</v>
          </cell>
          <cell r="K151" t="str">
            <v>Flight One Way</v>
          </cell>
          <cell r="L151" t="str">
            <v>10-09-2025 20:38:43</v>
          </cell>
          <cell r="M151" t="str">
            <v>Super Air Jet  UPG Hasanuddin IU-572 - Super Air Jet  BUW Betoambari IU-572</v>
          </cell>
          <cell r="N151" t="str">
            <v>OF KIN KEU DAN MUM</v>
          </cell>
          <cell r="O151">
            <v>7412280</v>
          </cell>
          <cell r="P151" t="str">
            <v>13/09/2025 13:50:00 - 13/09/2025 14:35:00</v>
          </cell>
          <cell r="Q151">
            <v>844100</v>
          </cell>
        </row>
        <row r="152">
          <cell r="A152">
            <v>1283362602</v>
          </cell>
          <cell r="B152" t="str">
            <v>9619975ZY</v>
          </cell>
          <cell r="C152" t="str">
            <v>SEKARWATI CIPTOROSO</v>
          </cell>
          <cell r="D152">
            <v>96197610</v>
          </cell>
          <cell r="E152">
            <v>4120177659</v>
          </cell>
          <cell r="F152">
            <v>54</v>
          </cell>
          <cell r="G152" t="str">
            <v>Perjalanan Dinas Non-Diklat</v>
          </cell>
          <cell r="H152" t="str">
            <v>Kota Baubau - Kota Makassar</v>
          </cell>
          <cell r="I152" t="str">
            <v>10/09/2025 - 13/09/2025</v>
          </cell>
          <cell r="J152">
            <v>4</v>
          </cell>
          <cell r="K152" t="str">
            <v>Hotel</v>
          </cell>
          <cell r="L152" t="str">
            <v>09-09-2025 16:58:08</v>
          </cell>
          <cell r="M152" t="str">
            <v xml:space="preserve">Vasaka Hotel Makassar Managed By Dafam - 3.5 Stars  - </v>
          </cell>
          <cell r="N152" t="str">
            <v>OF KIN KEU DAN MUM</v>
          </cell>
          <cell r="O152">
            <v>7412280</v>
          </cell>
          <cell r="P152" t="str">
            <v>10/09/2025 14:00:00 - 13/09/2025 12:00:00</v>
          </cell>
          <cell r="Q152">
            <v>1787100</v>
          </cell>
        </row>
        <row r="153">
          <cell r="A153">
            <v>1283360383</v>
          </cell>
          <cell r="B153" t="str">
            <v>9619975ZY</v>
          </cell>
          <cell r="C153" t="str">
            <v>SEKARWATI CIPTOROSO</v>
          </cell>
          <cell r="D153">
            <v>96197610</v>
          </cell>
          <cell r="E153">
            <v>4120177659</v>
          </cell>
          <cell r="F153">
            <v>54</v>
          </cell>
          <cell r="G153" t="str">
            <v>Perjalanan Dinas Non-Diklat</v>
          </cell>
          <cell r="H153" t="str">
            <v>Kota Baubau - Kota Makassar</v>
          </cell>
          <cell r="I153" t="str">
            <v>10/09/2025 - 13/09/2025</v>
          </cell>
          <cell r="J153">
            <v>4</v>
          </cell>
          <cell r="K153" t="str">
            <v>Flight One Way</v>
          </cell>
          <cell r="L153" t="str">
            <v>09-09-2025 16:50:00</v>
          </cell>
          <cell r="M153" t="str">
            <v>Super Air Jet  BUW Betoambari IU-573 - Super Air Jet  UPG Hasanuddin IU-573</v>
          </cell>
          <cell r="N153" t="str">
            <v>OF KIN KEU DAN MUM</v>
          </cell>
          <cell r="O153">
            <v>7412280</v>
          </cell>
          <cell r="P153" t="str">
            <v>10/09/2025 15:15:00 - 10/09/2025 16:00:00</v>
          </cell>
          <cell r="Q153">
            <v>744200</v>
          </cell>
        </row>
        <row r="154">
          <cell r="A154">
            <v>1285096427</v>
          </cell>
          <cell r="B154" t="str">
            <v>0021300ZY</v>
          </cell>
          <cell r="C154" t="str">
            <v>MAYA MAWARNI BIRANA</v>
          </cell>
          <cell r="D154">
            <v>217600</v>
          </cell>
          <cell r="E154">
            <v>4120177638</v>
          </cell>
          <cell r="F154">
            <v>54</v>
          </cell>
          <cell r="G154" t="str">
            <v>Perjalanan Dinas Diklat</v>
          </cell>
          <cell r="H154" t="str">
            <v>Kota Banjarbaru - Kota Banjarbaru</v>
          </cell>
          <cell r="I154" t="str">
            <v>14/09/2025 - 18/09/2025</v>
          </cell>
          <cell r="J154">
            <v>5</v>
          </cell>
          <cell r="K154" t="str">
            <v>Flight One Way</v>
          </cell>
          <cell r="L154" t="str">
            <v>17-09-2025 07:04:44</v>
          </cell>
          <cell r="M154" t="str">
            <v>Citilink Domestic BDJ Syamsudin Noor QG-495 - Citilink Domestic UPG Hasanuddin QG-495</v>
          </cell>
          <cell r="N154" t="str">
            <v>JTC OP DIST</v>
          </cell>
          <cell r="O154">
            <v>7409251</v>
          </cell>
          <cell r="P154" t="str">
            <v>18/09/2025 15:00:00 - 18/09/2025 19:45:00</v>
          </cell>
          <cell r="Q154">
            <v>1693200</v>
          </cell>
        </row>
        <row r="155">
          <cell r="A155">
            <v>1283327139</v>
          </cell>
          <cell r="B155" t="str">
            <v>7904006F</v>
          </cell>
          <cell r="C155" t="str">
            <v>YULI ASHANIAIS RAMADANI</v>
          </cell>
          <cell r="D155">
            <v>79047601</v>
          </cell>
          <cell r="E155">
            <v>4120177649</v>
          </cell>
          <cell r="F155">
            <v>54</v>
          </cell>
          <cell r="G155" t="str">
            <v>Perjalanan Dinas Non-Diklat</v>
          </cell>
          <cell r="H155" t="str">
            <v>Kota Makassar - Jakarta Selatan</v>
          </cell>
          <cell r="I155" t="str">
            <v>10/09/2025 - 11/09/2025</v>
          </cell>
          <cell r="J155">
            <v>2</v>
          </cell>
          <cell r="K155" t="str">
            <v>Flight One Way</v>
          </cell>
          <cell r="L155" t="str">
            <v>09-09-2025 14:30:13</v>
          </cell>
          <cell r="M155" t="str">
            <v>Garuda Indonesia Domestic UPG Hasanuddin GA-617 - Garuda Indonesia  CGK Soekarno Hatta International Airport GA-617</v>
          </cell>
          <cell r="N155" t="str">
            <v>SM AGA DAN MANJ GAN</v>
          </cell>
          <cell r="O155">
            <v>7411140</v>
          </cell>
          <cell r="P155" t="str">
            <v>10/09/2025 07:15:00 - 10/09/2025 08:45:00</v>
          </cell>
          <cell r="Q155">
            <v>2183400</v>
          </cell>
        </row>
        <row r="156">
          <cell r="A156">
            <v>1283769630</v>
          </cell>
          <cell r="B156" t="str">
            <v>7904006F</v>
          </cell>
          <cell r="C156" t="str">
            <v>YULI ASHANIAIS RAMADANI</v>
          </cell>
          <cell r="D156">
            <v>79047601</v>
          </cell>
          <cell r="E156">
            <v>4120177649</v>
          </cell>
          <cell r="F156">
            <v>54</v>
          </cell>
          <cell r="G156" t="str">
            <v>Perjalanan Dinas Non-Diklat</v>
          </cell>
          <cell r="H156" t="str">
            <v>Kota Makassar - Jakarta Selatan</v>
          </cell>
          <cell r="I156" t="str">
            <v>10/09/2025 - 11/09/2025</v>
          </cell>
          <cell r="J156">
            <v>2</v>
          </cell>
          <cell r="K156" t="str">
            <v>Flight One Way</v>
          </cell>
          <cell r="L156" t="str">
            <v>11-09-2025 10:46:44</v>
          </cell>
          <cell r="M156" t="str">
            <v>Garuda Indonesia  CGK Soekarno Hatta International Airport GA-618 - Garuda Indonesia Domestic UPG Hasanuddin GA-618</v>
          </cell>
          <cell r="N156" t="str">
            <v>SM AGA DAN MANJ GAN</v>
          </cell>
          <cell r="O156">
            <v>7411140</v>
          </cell>
          <cell r="P156" t="str">
            <v>11/09/2025 20:15:00 - 11/09/2025 23:50:00</v>
          </cell>
          <cell r="Q156">
            <v>2232900</v>
          </cell>
        </row>
        <row r="157">
          <cell r="A157">
            <v>1283543658</v>
          </cell>
          <cell r="B157" t="str">
            <v>7904006F</v>
          </cell>
          <cell r="C157" t="str">
            <v>YULI ASHANIAIS RAMADANI</v>
          </cell>
          <cell r="D157">
            <v>79047601</v>
          </cell>
          <cell r="E157">
            <v>4120177649</v>
          </cell>
          <cell r="F157">
            <v>54</v>
          </cell>
          <cell r="G157" t="str">
            <v>Perjalanan Dinas Non-Diklat</v>
          </cell>
          <cell r="H157" t="str">
            <v>Kota Makassar - Jakarta Selatan</v>
          </cell>
          <cell r="I157" t="str">
            <v>10/09/2025 - 11/09/2025</v>
          </cell>
          <cell r="J157">
            <v>2</v>
          </cell>
          <cell r="K157" t="str">
            <v>Hotel</v>
          </cell>
          <cell r="L157" t="str">
            <v>10-09-2025 12:04:57</v>
          </cell>
          <cell r="M157" t="str">
            <v xml:space="preserve">Mercure Jakarta Simatupang - 4.0 Stars  - </v>
          </cell>
          <cell r="N157" t="str">
            <v>SM AGA DAN MANJ GAN</v>
          </cell>
          <cell r="O157">
            <v>7411140</v>
          </cell>
          <cell r="P157" t="str">
            <v>10/09/2025 14:00:00 - 11/09/2025 12:00:00</v>
          </cell>
          <cell r="Q157">
            <v>1226940</v>
          </cell>
        </row>
        <row r="158">
          <cell r="A158">
            <v>1284012621</v>
          </cell>
          <cell r="B158" t="str">
            <v>8408499Z</v>
          </cell>
          <cell r="C158" t="str">
            <v xml:space="preserve">MIRSAN </v>
          </cell>
          <cell r="D158">
            <v>84087802</v>
          </cell>
          <cell r="E158">
            <v>4120177648</v>
          </cell>
          <cell r="F158">
            <v>54</v>
          </cell>
          <cell r="G158" t="str">
            <v>Perjalanan Dinas Non-Diklat</v>
          </cell>
          <cell r="H158" t="str">
            <v>Kota Makassar - Jakarta Selatan</v>
          </cell>
          <cell r="I158" t="str">
            <v>10/09/2025 - 12/09/2025</v>
          </cell>
          <cell r="J158">
            <v>3</v>
          </cell>
          <cell r="K158" t="str">
            <v>Flight One Way</v>
          </cell>
          <cell r="L158" t="str">
            <v>12-09-2025 10:48:22</v>
          </cell>
          <cell r="M158" t="str">
            <v>Garuda Indonesia  CGK Soekarno Hatta International Airport GA-618 - Garuda Indonesia Domestic UPG Hasanuddin GA-618</v>
          </cell>
          <cell r="N158" t="str">
            <v>MAN YAN PRIORITAS DAN PAE</v>
          </cell>
          <cell r="O158">
            <v>7411140</v>
          </cell>
          <cell r="P158" t="str">
            <v>12/09/2025 20:15:00 - 12/09/2025 23:50:00</v>
          </cell>
          <cell r="Q158">
            <v>1844400</v>
          </cell>
        </row>
        <row r="159">
          <cell r="A159">
            <v>1283542546</v>
          </cell>
          <cell r="B159" t="str">
            <v>8408499Z</v>
          </cell>
          <cell r="C159" t="str">
            <v xml:space="preserve">MIRSAN </v>
          </cell>
          <cell r="D159">
            <v>84087802</v>
          </cell>
          <cell r="E159">
            <v>4120177648</v>
          </cell>
          <cell r="F159">
            <v>54</v>
          </cell>
          <cell r="G159" t="str">
            <v>Perjalanan Dinas Non-Diklat</v>
          </cell>
          <cell r="H159" t="str">
            <v>Kota Makassar - Jakarta Selatan</v>
          </cell>
          <cell r="I159" t="str">
            <v>10/09/2025 - 11/09/2025</v>
          </cell>
          <cell r="J159">
            <v>2</v>
          </cell>
          <cell r="K159" t="str">
            <v>Hotel</v>
          </cell>
          <cell r="L159" t="str">
            <v>10-09-2025 12:00:14</v>
          </cell>
          <cell r="M159" t="str">
            <v xml:space="preserve">Mercure Jakarta Simatupang - 4.0 Stars  - </v>
          </cell>
          <cell r="N159" t="str">
            <v>MAN YAN PRIORITAS DAN PAE</v>
          </cell>
          <cell r="O159">
            <v>7411140</v>
          </cell>
          <cell r="P159" t="str">
            <v>10/09/2025 14:00:00 - 11/09/2025 12:00:00</v>
          </cell>
          <cell r="Q159">
            <v>1004300</v>
          </cell>
        </row>
        <row r="160">
          <cell r="A160">
            <v>1283327187</v>
          </cell>
          <cell r="B160" t="str">
            <v>8408499Z</v>
          </cell>
          <cell r="C160" t="str">
            <v xml:space="preserve">MIRSAN </v>
          </cell>
          <cell r="D160">
            <v>84087802</v>
          </cell>
          <cell r="E160">
            <v>4120177648</v>
          </cell>
          <cell r="F160">
            <v>54</v>
          </cell>
          <cell r="G160" t="str">
            <v>Perjalanan Dinas Non-Diklat</v>
          </cell>
          <cell r="H160" t="str">
            <v>Kota Makassar - Jakarta Selatan</v>
          </cell>
          <cell r="I160" t="str">
            <v>10/09/2025 - 11/09/2025</v>
          </cell>
          <cell r="J160">
            <v>2</v>
          </cell>
          <cell r="K160" t="str">
            <v>Flight One Way</v>
          </cell>
          <cell r="L160" t="str">
            <v>09-09-2025 14:30:46</v>
          </cell>
          <cell r="M160" t="str">
            <v>Garuda Indonesia Domestic UPG Hasanuddin GA-617 - Garuda Indonesia  CGK Soekarno Hatta International Airport GA-617</v>
          </cell>
          <cell r="N160" t="str">
            <v>MAN YAN PRIORITAS DAN PAE</v>
          </cell>
          <cell r="O160">
            <v>7411140</v>
          </cell>
          <cell r="P160" t="str">
            <v>10/09/2025 07:15:00 - 10/09/2025 08:45:00</v>
          </cell>
          <cell r="Q160">
            <v>2183400</v>
          </cell>
        </row>
        <row r="161">
          <cell r="A161">
            <v>1283218255</v>
          </cell>
          <cell r="B161" t="str">
            <v>9615052FY</v>
          </cell>
          <cell r="C161" t="str">
            <v>AGUS RIANTO WIBOWO</v>
          </cell>
          <cell r="D161">
            <v>96137735</v>
          </cell>
          <cell r="E161">
            <v>4120177647</v>
          </cell>
          <cell r="F161">
            <v>54</v>
          </cell>
          <cell r="G161" t="str">
            <v>Perjalanan Dinas Non-Diklat</v>
          </cell>
          <cell r="H161" t="str">
            <v>Kota Kendari - Kota Makassar</v>
          </cell>
          <cell r="I161" t="str">
            <v>10/09/2025 - 13/09/2025</v>
          </cell>
          <cell r="J161">
            <v>4</v>
          </cell>
          <cell r="K161" t="str">
            <v>Flight One Way</v>
          </cell>
          <cell r="L161" t="str">
            <v>09-09-2025 07:15:58</v>
          </cell>
          <cell r="M161" t="str">
            <v>Garuda Indonesia  KDI Haluoleo GA-605 - Garuda Indonesia Domestic UPG Hasanuddin GA-605</v>
          </cell>
          <cell r="N161" t="str">
            <v>JOF ADM MUM</v>
          </cell>
          <cell r="O161">
            <v>7412240</v>
          </cell>
          <cell r="P161" t="str">
            <v>10/09/2025 09:10:00 - 10/09/2025 10:10:00</v>
          </cell>
          <cell r="Q161">
            <v>861400</v>
          </cell>
        </row>
        <row r="162">
          <cell r="A162">
            <v>1283140044</v>
          </cell>
          <cell r="B162" t="str">
            <v>87112320Z</v>
          </cell>
          <cell r="C162" t="str">
            <v>JULIO ISNANJAR ARDHIYANTO</v>
          </cell>
          <cell r="D162">
            <v>87117612</v>
          </cell>
          <cell r="E162">
            <v>4120177633</v>
          </cell>
          <cell r="F162">
            <v>54</v>
          </cell>
          <cell r="G162" t="str">
            <v>Perjalanan Dinas Non-Diklat</v>
          </cell>
          <cell r="H162" t="str">
            <v>Kab. Bulukumba - Kota Makassar</v>
          </cell>
          <cell r="I162" t="str">
            <v>09/09/2025 - 11/09/2025</v>
          </cell>
          <cell r="J162">
            <v>3</v>
          </cell>
          <cell r="K162" t="str">
            <v>Hotel</v>
          </cell>
          <cell r="L162" t="str">
            <v>08-09-2025 19:50:54</v>
          </cell>
          <cell r="M162" t="str">
            <v>Swiss-Belinn Panakkukang - 4.0 Stars  - Superior Twin</v>
          </cell>
          <cell r="N162" t="str">
            <v>TL MAPPING DATA RING DAN GAN</v>
          </cell>
          <cell r="O162">
            <v>7412270</v>
          </cell>
          <cell r="P162" t="str">
            <v>09/09/2025 14:00:00 - 11/09/2025 12:00:00</v>
          </cell>
          <cell r="Q162">
            <v>1362953</v>
          </cell>
        </row>
        <row r="163">
          <cell r="A163">
            <v>1283265535</v>
          </cell>
          <cell r="B163" t="str">
            <v>93162777ZY</v>
          </cell>
          <cell r="C163" t="str">
            <v>KHAYRUNNISA B. MUHAMMADIA</v>
          </cell>
          <cell r="D163">
            <v>93167626</v>
          </cell>
          <cell r="E163">
            <v>4120177642</v>
          </cell>
          <cell r="F163">
            <v>54</v>
          </cell>
          <cell r="G163" t="str">
            <v>Perjalanan Dinas Non-Diklat</v>
          </cell>
          <cell r="H163" t="str">
            <v>Kota Makassar - Kota Depok</v>
          </cell>
          <cell r="I163" t="str">
            <v>11/09/2025 - 13/09/2025</v>
          </cell>
          <cell r="J163">
            <v>3</v>
          </cell>
          <cell r="K163" t="str">
            <v>Flight One Way</v>
          </cell>
          <cell r="L163" t="str">
            <v>09-09-2025 10:50:30</v>
          </cell>
          <cell r="M163" t="str">
            <v>Batik Air Domestic UPG Hasanuddin ID-6265 - Batik Air 2D CGK Soekarno Hatta International Airport ID-6265</v>
          </cell>
          <cell r="N163" t="str">
            <v>OF TJSL</v>
          </cell>
          <cell r="O163">
            <v>7412163</v>
          </cell>
          <cell r="P163" t="str">
            <v>11/09/2025 06:25:00 - 11/09/2025 07:45:00</v>
          </cell>
          <cell r="Q163">
            <v>1242700</v>
          </cell>
        </row>
        <row r="164">
          <cell r="A164">
            <v>1283112870</v>
          </cell>
          <cell r="B164" t="str">
            <v>95191270ZY</v>
          </cell>
          <cell r="C164" t="str">
            <v>SEPTYANTO NUGROHO</v>
          </cell>
          <cell r="D164">
            <v>95197610</v>
          </cell>
          <cell r="E164">
            <v>4120177643</v>
          </cell>
          <cell r="F164">
            <v>54</v>
          </cell>
          <cell r="G164" t="str">
            <v>Perjalanan Dinas Non-Diklat</v>
          </cell>
          <cell r="H164" t="str">
            <v>Kota Makassar - Kota Surabaya</v>
          </cell>
          <cell r="I164" t="str">
            <v>09/09/2025 - 13/09/2025</v>
          </cell>
          <cell r="J164">
            <v>5</v>
          </cell>
          <cell r="K164" t="str">
            <v>Flight One Way</v>
          </cell>
          <cell r="L164" t="str">
            <v>08-09-2025 17:50:52</v>
          </cell>
          <cell r="M164" t="str">
            <v>Citilink Domestic UPG Hasanuddin QG-353 - Citilink 1A SUB Juanda QG-353</v>
          </cell>
          <cell r="N164" t="str">
            <v>OF IPP DAN EXCESS POWER</v>
          </cell>
          <cell r="O164">
            <v>7412110</v>
          </cell>
          <cell r="P164" t="str">
            <v>09/09/2025 19:50:00 - 09/09/2025 20:25:00</v>
          </cell>
          <cell r="Q164">
            <v>876400</v>
          </cell>
        </row>
        <row r="165">
          <cell r="A165">
            <v>1283081925</v>
          </cell>
          <cell r="B165" t="str">
            <v>95191270ZY</v>
          </cell>
          <cell r="C165" t="str">
            <v>SEPTYANTO NUGROHO</v>
          </cell>
          <cell r="D165">
            <v>95197610</v>
          </cell>
          <cell r="E165">
            <v>4120177643</v>
          </cell>
          <cell r="F165">
            <v>54</v>
          </cell>
          <cell r="G165" t="str">
            <v>Perjalanan Dinas Non-Diklat</v>
          </cell>
          <cell r="H165" t="str">
            <v>Kota Makassar - Kota Surabaya</v>
          </cell>
          <cell r="I165" t="str">
            <v>09/09/2025 - 13/09/2025</v>
          </cell>
          <cell r="J165">
            <v>5</v>
          </cell>
          <cell r="K165" t="str">
            <v>Hotel</v>
          </cell>
          <cell r="L165" t="str">
            <v>08-09-2025 15:37:00</v>
          </cell>
          <cell r="M165" t="str">
            <v xml:space="preserve">Kampi Hotel Tunjungan – Surabaya - 3.0 Stars  - </v>
          </cell>
          <cell r="N165" t="str">
            <v>OF IPP DAN EXCESS POWER</v>
          </cell>
          <cell r="O165">
            <v>7412110</v>
          </cell>
          <cell r="P165" t="str">
            <v>09/09/2025 14:00:00 - 13/09/2025 12:00:00</v>
          </cell>
          <cell r="Q165">
            <v>2680000</v>
          </cell>
        </row>
        <row r="166">
          <cell r="A166">
            <v>1284106780</v>
          </cell>
          <cell r="B166" t="str">
            <v>95191270ZY</v>
          </cell>
          <cell r="C166" t="str">
            <v>SEPTYANTO NUGROHO</v>
          </cell>
          <cell r="D166">
            <v>95197610</v>
          </cell>
          <cell r="E166">
            <v>4120177643</v>
          </cell>
          <cell r="F166">
            <v>54</v>
          </cell>
          <cell r="G166" t="str">
            <v>Perjalanan Dinas Non-Diklat</v>
          </cell>
          <cell r="H166" t="str">
            <v>Kota Makassar - Kota Surabaya</v>
          </cell>
          <cell r="I166" t="str">
            <v>09/09/2025 - 13/09/2025</v>
          </cell>
          <cell r="J166">
            <v>5</v>
          </cell>
          <cell r="K166" t="str">
            <v>Flight One Way</v>
          </cell>
          <cell r="L166" t="str">
            <v>12-09-2025 15:49:25</v>
          </cell>
          <cell r="M166" t="str">
            <v>Citilink 1A SUB Juanda QG-352 - Citilink Domestic UPG Hasanuddin QG-352</v>
          </cell>
          <cell r="N166" t="str">
            <v>OF IPP DAN EXCESS POWER</v>
          </cell>
          <cell r="O166">
            <v>7412110</v>
          </cell>
          <cell r="P166" t="str">
            <v>13/09/2025 17:20:00 - 13/09/2025 19:45:00</v>
          </cell>
          <cell r="Q166">
            <v>876400</v>
          </cell>
        </row>
        <row r="167">
          <cell r="A167">
            <v>1283533109</v>
          </cell>
          <cell r="B167" t="str">
            <v>8106034F</v>
          </cell>
          <cell r="C167" t="str">
            <v>DIAN ADHIRAMA ACHDAR</v>
          </cell>
          <cell r="D167">
            <v>81067606</v>
          </cell>
          <cell r="E167">
            <v>4120177635</v>
          </cell>
          <cell r="F167">
            <v>54</v>
          </cell>
          <cell r="G167" t="str">
            <v>Perjalanan Dinas Non-Diklat</v>
          </cell>
          <cell r="H167" t="str">
            <v>Kota Makassar - Kab. Polewali Mandar</v>
          </cell>
          <cell r="I167" t="str">
            <v>08/09/2025 - 12/09/2025</v>
          </cell>
          <cell r="J167">
            <v>5</v>
          </cell>
          <cell r="K167" t="str">
            <v>Hotel</v>
          </cell>
          <cell r="L167" t="str">
            <v>10-09-2025 11:23:31</v>
          </cell>
          <cell r="M167" t="str">
            <v xml:space="preserve">Wisma Suci Syariah Polewali Mandar Mitra RedDoorz - 1.0 Stars  - </v>
          </cell>
          <cell r="N167" t="str">
            <v>TC HAR ELEKTRO</v>
          </cell>
          <cell r="O167">
            <v>7412340</v>
          </cell>
          <cell r="P167" t="str">
            <v>10/09/2025 14:00:00 - 11/09/2025 12:00:00</v>
          </cell>
          <cell r="Q167">
            <v>405599</v>
          </cell>
        </row>
        <row r="168">
          <cell r="A168">
            <v>1283315757</v>
          </cell>
          <cell r="B168" t="str">
            <v>8106034F</v>
          </cell>
          <cell r="C168" t="str">
            <v>DIAN ADHIRAMA ACHDAR</v>
          </cell>
          <cell r="D168">
            <v>81067606</v>
          </cell>
          <cell r="E168">
            <v>4120177635</v>
          </cell>
          <cell r="F168">
            <v>54</v>
          </cell>
          <cell r="G168" t="str">
            <v>Perjalanan Dinas Non-Diklat</v>
          </cell>
          <cell r="H168" t="str">
            <v>Kota Makassar - Kab. Polewali Mandar</v>
          </cell>
          <cell r="I168" t="str">
            <v>08/09/2025 - 12/09/2025</v>
          </cell>
          <cell r="J168">
            <v>5</v>
          </cell>
          <cell r="K168" t="str">
            <v>Hotel</v>
          </cell>
          <cell r="L168" t="str">
            <v>09-09-2025 13:48:03</v>
          </cell>
          <cell r="M168" t="str">
            <v xml:space="preserve">Wisma Suci Syariah Polewali Mandar Mitra RedDoorz - 1.0 Stars  - </v>
          </cell>
          <cell r="N168" t="str">
            <v>TC HAR ELEKTRO</v>
          </cell>
          <cell r="O168">
            <v>7412340</v>
          </cell>
          <cell r="P168" t="str">
            <v>09/09/2025 14:00:00 - 10/09/2025 12:00:00</v>
          </cell>
          <cell r="Q168">
            <v>270400</v>
          </cell>
        </row>
        <row r="169">
          <cell r="A169">
            <v>1283093776</v>
          </cell>
          <cell r="B169" t="str">
            <v>8106034F</v>
          </cell>
          <cell r="C169" t="str">
            <v>DIAN ADHIRAMA ACHDAR</v>
          </cell>
          <cell r="D169">
            <v>81067606</v>
          </cell>
          <cell r="E169">
            <v>4120177635</v>
          </cell>
          <cell r="F169">
            <v>54</v>
          </cell>
          <cell r="G169" t="str">
            <v>Perjalanan Dinas Non-Diklat</v>
          </cell>
          <cell r="H169" t="str">
            <v>Kota Makassar - Kab. Polewali Mandar</v>
          </cell>
          <cell r="I169" t="str">
            <v>08/09/2025 - 12/09/2025</v>
          </cell>
          <cell r="J169">
            <v>5</v>
          </cell>
          <cell r="K169" t="str">
            <v>Hotel</v>
          </cell>
          <cell r="L169" t="str">
            <v>08-09-2025 16:26:59</v>
          </cell>
          <cell r="M169" t="str">
            <v xml:space="preserve">Homestay RN near Taman Bambu Runcing Polewali Mitra RedDoorz - 1.0 Stars  - </v>
          </cell>
          <cell r="N169" t="str">
            <v>TC HAR ELEKTRO</v>
          </cell>
          <cell r="O169">
            <v>7412340</v>
          </cell>
          <cell r="P169" t="str">
            <v>08/09/2025 14:00:00 - 09/09/2025 12:00:00</v>
          </cell>
          <cell r="Q169">
            <v>291200</v>
          </cell>
        </row>
        <row r="170">
          <cell r="A170">
            <v>1283131857</v>
          </cell>
          <cell r="B170" t="str">
            <v>9213081FY</v>
          </cell>
          <cell r="C170" t="str">
            <v>KRESKY YULIANTO</v>
          </cell>
          <cell r="D170">
            <v>96137676</v>
          </cell>
          <cell r="E170">
            <v>4120177641</v>
          </cell>
          <cell r="F170">
            <v>54</v>
          </cell>
          <cell r="G170" t="str">
            <v>Perjalanan Dinas Non-Diklat</v>
          </cell>
          <cell r="H170" t="str">
            <v>Kota Makassar - Kab. Luwu Timur</v>
          </cell>
          <cell r="I170" t="str">
            <v>08/09/2025 - 13/09/2025</v>
          </cell>
          <cell r="J170">
            <v>6</v>
          </cell>
          <cell r="K170" t="str">
            <v>Hotel</v>
          </cell>
          <cell r="L170" t="str">
            <v>08-09-2025 19:15:44</v>
          </cell>
          <cell r="M170" t="str">
            <v xml:space="preserve">BM Residence Hotel Palopo - 1.0 Stars  - </v>
          </cell>
          <cell r="N170" t="str">
            <v>TC HAR ELEKTRO</v>
          </cell>
          <cell r="O170">
            <v>7412340</v>
          </cell>
          <cell r="P170" t="str">
            <v>08/09/2025 14:00:00 - 09/09/2025 12:00:00</v>
          </cell>
          <cell r="Q170">
            <v>525000</v>
          </cell>
        </row>
        <row r="171">
          <cell r="A171">
            <v>1284107175</v>
          </cell>
          <cell r="B171" t="str">
            <v>9213081FY</v>
          </cell>
          <cell r="C171" t="str">
            <v>KRESKY YULIANTO</v>
          </cell>
          <cell r="D171">
            <v>96137676</v>
          </cell>
          <cell r="E171">
            <v>4120177641</v>
          </cell>
          <cell r="F171">
            <v>54</v>
          </cell>
          <cell r="G171" t="str">
            <v>Perjalanan Dinas Non-Diklat</v>
          </cell>
          <cell r="H171" t="str">
            <v>Kota Makassar - Kab. Luwu Timur</v>
          </cell>
          <cell r="I171" t="str">
            <v>08/09/2025 - 13/09/2025</v>
          </cell>
          <cell r="J171">
            <v>6</v>
          </cell>
          <cell r="K171" t="str">
            <v>Hotel</v>
          </cell>
          <cell r="L171" t="str">
            <v>12-09-2025 15:50:55</v>
          </cell>
          <cell r="M171" t="str">
            <v xml:space="preserve">Pare Beach Hotel - 0.0 Stars  - </v>
          </cell>
          <cell r="N171" t="str">
            <v>TC HAR ELEKTRO</v>
          </cell>
          <cell r="O171">
            <v>7412340</v>
          </cell>
          <cell r="P171" t="str">
            <v>12/09/2025 14:00:00 - 13/09/2025 12:00:00</v>
          </cell>
          <cell r="Q171">
            <v>500000</v>
          </cell>
        </row>
        <row r="172">
          <cell r="A172">
            <v>1283824756</v>
          </cell>
          <cell r="B172" t="str">
            <v>9213081FY</v>
          </cell>
          <cell r="C172" t="str">
            <v>KRESKY YULIANTO</v>
          </cell>
          <cell r="D172">
            <v>96137676</v>
          </cell>
          <cell r="E172">
            <v>4120177641</v>
          </cell>
          <cell r="F172">
            <v>54</v>
          </cell>
          <cell r="G172" t="str">
            <v>Perjalanan Dinas Non-Diklat</v>
          </cell>
          <cell r="H172" t="str">
            <v>Kota Makassar - Kab. Luwu Timur</v>
          </cell>
          <cell r="I172" t="str">
            <v>08/09/2025 - 13/09/2025</v>
          </cell>
          <cell r="J172">
            <v>6</v>
          </cell>
          <cell r="K172" t="str">
            <v>Hotel</v>
          </cell>
          <cell r="L172" t="str">
            <v>11-09-2025 14:33:04</v>
          </cell>
          <cell r="M172" t="str">
            <v xml:space="preserve">Urbanview Hotel Mulia Indah Palopo - 2.0 Stars  - </v>
          </cell>
          <cell r="N172" t="str">
            <v>TC HAR ELEKTRO</v>
          </cell>
          <cell r="O172">
            <v>7412340</v>
          </cell>
          <cell r="P172" t="str">
            <v>11/09/2025 14:00:00 - 12/09/2025 12:00:00</v>
          </cell>
          <cell r="Q172">
            <v>593249</v>
          </cell>
        </row>
        <row r="173">
          <cell r="A173">
            <v>1283626556</v>
          </cell>
          <cell r="B173" t="str">
            <v>9213081FY</v>
          </cell>
          <cell r="C173" t="str">
            <v>KRESKY YULIANTO</v>
          </cell>
          <cell r="D173">
            <v>96137676</v>
          </cell>
          <cell r="E173">
            <v>4120177641</v>
          </cell>
          <cell r="F173">
            <v>54</v>
          </cell>
          <cell r="G173" t="str">
            <v>Perjalanan Dinas Non-Diklat</v>
          </cell>
          <cell r="H173" t="str">
            <v>Kota Makassar - Kab. Luwu Timur</v>
          </cell>
          <cell r="I173" t="str">
            <v>08/09/2025 - 13/09/2025</v>
          </cell>
          <cell r="J173">
            <v>6</v>
          </cell>
          <cell r="K173" t="str">
            <v>Hotel</v>
          </cell>
          <cell r="L173" t="str">
            <v>10-09-2025 17:42:39</v>
          </cell>
          <cell r="M173" t="str">
            <v xml:space="preserve">Hotel Rai's Palopo Exclusive Mitra RedDoorz - 1.0 Stars  - </v>
          </cell>
          <cell r="N173" t="str">
            <v>TC HAR ELEKTRO</v>
          </cell>
          <cell r="O173">
            <v>7412340</v>
          </cell>
          <cell r="P173" t="str">
            <v>10/09/2025 14:00:00 - 11/09/2025 12:00:00</v>
          </cell>
          <cell r="Q173">
            <v>364000</v>
          </cell>
        </row>
        <row r="174">
          <cell r="A174">
            <v>1283329176</v>
          </cell>
          <cell r="B174" t="str">
            <v>9213081FY</v>
          </cell>
          <cell r="C174" t="str">
            <v>KRESKY YULIANTO</v>
          </cell>
          <cell r="D174">
            <v>96137676</v>
          </cell>
          <cell r="E174">
            <v>4120177641</v>
          </cell>
          <cell r="F174">
            <v>54</v>
          </cell>
          <cell r="G174" t="str">
            <v>Perjalanan Dinas Non-Diklat</v>
          </cell>
          <cell r="H174" t="str">
            <v>Kota Makassar - Kab. Luwu Timur</v>
          </cell>
          <cell r="I174" t="str">
            <v>08/09/2025 - 13/09/2025</v>
          </cell>
          <cell r="J174">
            <v>6</v>
          </cell>
          <cell r="K174" t="str">
            <v>Hotel</v>
          </cell>
          <cell r="L174" t="str">
            <v>09-09-2025 14:37:56</v>
          </cell>
          <cell r="M174" t="str">
            <v xml:space="preserve">Villa Matano Sorowako - 1.0 Stars  - </v>
          </cell>
          <cell r="N174" t="str">
            <v>TC HAR ELEKTRO</v>
          </cell>
          <cell r="O174">
            <v>7412340</v>
          </cell>
          <cell r="P174" t="str">
            <v>09/09/2025 14:00:00 - 10/09/2025 12:00:00</v>
          </cell>
          <cell r="Q174">
            <v>572850</v>
          </cell>
        </row>
        <row r="175">
          <cell r="A175">
            <v>1283075231</v>
          </cell>
          <cell r="B175" t="str">
            <v>96191276ZY</v>
          </cell>
          <cell r="C175" t="str">
            <v>TASH'QIA VENINTIA</v>
          </cell>
          <cell r="D175">
            <v>96197618</v>
          </cell>
          <cell r="E175">
            <v>4120177601</v>
          </cell>
          <cell r="F175">
            <v>54</v>
          </cell>
          <cell r="G175" t="str">
            <v>Perjalanan Dinas Non-Diklat</v>
          </cell>
          <cell r="H175" t="str">
            <v>Kota Kendari - Kota Makassar</v>
          </cell>
          <cell r="I175" t="str">
            <v>08/09/2025 - 11/09/2025</v>
          </cell>
          <cell r="J175">
            <v>4</v>
          </cell>
          <cell r="K175" t="str">
            <v>Hotel</v>
          </cell>
          <cell r="L175" t="str">
            <v>08-09-2025 15:10:28</v>
          </cell>
          <cell r="M175" t="str">
            <v xml:space="preserve">Vasaka Hotel Makassar Managed By Dafam - 3.5 Stars  - </v>
          </cell>
          <cell r="N175" t="str">
            <v>TL MAPPING DATA RING DAN GAN</v>
          </cell>
          <cell r="O175">
            <v>7412240</v>
          </cell>
          <cell r="P175" t="str">
            <v>08/09/2025 14:00:00 - 11/09/2025 12:00:00</v>
          </cell>
          <cell r="Q175">
            <v>2553000</v>
          </cell>
        </row>
        <row r="176">
          <cell r="A176">
            <v>1283791653</v>
          </cell>
          <cell r="B176" t="str">
            <v>9523326ZY</v>
          </cell>
          <cell r="C176" t="str">
            <v>SHALAHUDDIN ALAYUBI SITANGGANG</v>
          </cell>
          <cell r="D176">
            <v>95237601</v>
          </cell>
          <cell r="E176">
            <v>4120177624</v>
          </cell>
          <cell r="F176">
            <v>54</v>
          </cell>
          <cell r="G176" t="str">
            <v>Perjalanan Dinas Diklat</v>
          </cell>
          <cell r="H176" t="str">
            <v>Kota Baubau - Kota Banjarbaru</v>
          </cell>
          <cell r="I176" t="str">
            <v>14/09/2025 - 18/09/2025</v>
          </cell>
          <cell r="J176">
            <v>5</v>
          </cell>
          <cell r="K176" t="str">
            <v>Flight One Way</v>
          </cell>
          <cell r="L176" t="str">
            <v>11-09-2025 12:18:13</v>
          </cell>
          <cell r="M176" t="str">
            <v>Wings Air  BUW Betoambari IW-1305 - Wings Air 2D CGK Soekarno Hatta International Airport IW-1305</v>
          </cell>
          <cell r="N176" t="str">
            <v>TC HAR ELEKTRO</v>
          </cell>
          <cell r="O176">
            <v>7412340</v>
          </cell>
          <cell r="P176" t="str">
            <v>14/09/2025 06:30:00 - 14/09/2025 13:35:00</v>
          </cell>
          <cell r="Q176">
            <v>2468900</v>
          </cell>
        </row>
        <row r="177">
          <cell r="A177">
            <v>1283102400</v>
          </cell>
          <cell r="B177" t="str">
            <v>9523326ZY</v>
          </cell>
          <cell r="C177" t="str">
            <v>SHALAHUDDIN ALAYUBI SITANGGANG</v>
          </cell>
          <cell r="D177">
            <v>95237601</v>
          </cell>
          <cell r="E177">
            <v>4120177624</v>
          </cell>
          <cell r="F177">
            <v>54</v>
          </cell>
          <cell r="G177" t="str">
            <v>Perjalanan Dinas Diklat</v>
          </cell>
          <cell r="H177" t="str">
            <v>Kota Baubau - Kota Banjarbaru</v>
          </cell>
          <cell r="I177" t="str">
            <v>14/09/2025 - 18/09/2025</v>
          </cell>
          <cell r="J177">
            <v>5</v>
          </cell>
          <cell r="K177" t="str">
            <v>Flight One Way</v>
          </cell>
          <cell r="L177" t="str">
            <v>08-09-2025 17:03:24</v>
          </cell>
          <cell r="M177" t="str">
            <v>Garuda Indonesia Domestic UPG Hasanuddin GA-605 - Garuda Indonesia  CGK Soekarno Hatta International Airport GA-605</v>
          </cell>
          <cell r="N177" t="str">
            <v>TC HAR ELEKTRO</v>
          </cell>
          <cell r="O177">
            <v>7412340</v>
          </cell>
          <cell r="P177" t="str">
            <v>14/09/2025 10:55:00 - 14/09/2025 12:25:00</v>
          </cell>
          <cell r="Q177">
            <v>2168800</v>
          </cell>
        </row>
        <row r="178">
          <cell r="A178">
            <v>1283101560</v>
          </cell>
          <cell r="B178" t="str">
            <v>9523326ZY</v>
          </cell>
          <cell r="C178" t="str">
            <v>SHALAHUDDIN ALAYUBI SITANGGANG</v>
          </cell>
          <cell r="D178">
            <v>95237601</v>
          </cell>
          <cell r="E178">
            <v>4120177624</v>
          </cell>
          <cell r="F178">
            <v>54</v>
          </cell>
          <cell r="G178" t="str">
            <v>Perjalanan Dinas Diklat</v>
          </cell>
          <cell r="H178" t="str">
            <v>Kota Baubau - Kota Banjarbaru</v>
          </cell>
          <cell r="I178" t="str">
            <v>14/09/2025 - 18/09/2025</v>
          </cell>
          <cell r="J178">
            <v>5</v>
          </cell>
          <cell r="K178" t="str">
            <v>Flight One Way</v>
          </cell>
          <cell r="L178" t="str">
            <v>08-09-2025 16:59:47</v>
          </cell>
          <cell r="M178" t="str">
            <v>Wings Air  BUW Betoambari IW-1305 - Wings Air Domestic UPG Hasanuddin IW-1305</v>
          </cell>
          <cell r="N178" t="str">
            <v>TC HAR ELEKTRO</v>
          </cell>
          <cell r="O178">
            <v>7412340</v>
          </cell>
          <cell r="P178" t="str">
            <v>14/09/2025 06:30:00 - 14/09/2025 07:40:00</v>
          </cell>
          <cell r="Q178">
            <v>1245200</v>
          </cell>
        </row>
        <row r="179">
          <cell r="A179">
            <v>1285093728</v>
          </cell>
          <cell r="B179" t="str">
            <v>9523326ZY</v>
          </cell>
          <cell r="C179" t="str">
            <v>SHALAHUDDIN ALAYUBI SITANGGANG</v>
          </cell>
          <cell r="D179">
            <v>95237601</v>
          </cell>
          <cell r="E179">
            <v>4120177624</v>
          </cell>
          <cell r="F179">
            <v>54</v>
          </cell>
          <cell r="G179" t="str">
            <v>Perjalanan Dinas Diklat</v>
          </cell>
          <cell r="H179" t="str">
            <v>KotaBaubau-KotaBanjarbaru</v>
          </cell>
          <cell r="I179" t="str">
            <v>14/09/2025 - 18/09/2025</v>
          </cell>
          <cell r="J179">
            <v>5</v>
          </cell>
          <cell r="K179" t="str">
            <v>Flight One Way</v>
          </cell>
          <cell r="L179" t="str">
            <v>17-09-2025 06:36:02</v>
          </cell>
          <cell r="M179" t="str">
            <v>Lion Air 1A CGK Soekarno Hatta International Airport JT-892 - Lion Air  BUW Betoambari JT-892</v>
          </cell>
          <cell r="N179" t="str">
            <v>TC HAR ELEKTRO</v>
          </cell>
          <cell r="O179">
            <v>7412340</v>
          </cell>
          <cell r="P179" t="str">
            <v>18/09/2025 08:40:00 - 18/09/2025 14:35:00</v>
          </cell>
          <cell r="Q179">
            <v>1950900</v>
          </cell>
        </row>
        <row r="180">
          <cell r="A180">
            <v>1283208967</v>
          </cell>
          <cell r="B180" t="str">
            <v>9413067FY</v>
          </cell>
          <cell r="C180" t="str">
            <v>ANDI MU'AYYAD MAPPAKAYA</v>
          </cell>
          <cell r="D180">
            <v>96137658</v>
          </cell>
          <cell r="E180">
            <v>4120177630</v>
          </cell>
          <cell r="F180">
            <v>54</v>
          </cell>
          <cell r="G180" t="str">
            <v>Perjalanan Dinas Non-Diklat</v>
          </cell>
          <cell r="H180" t="str">
            <v>Kab. Bulukumba - Kab. Bone</v>
          </cell>
          <cell r="I180" t="str">
            <v>08/09/2025 - 12/09/2025</v>
          </cell>
          <cell r="J180">
            <v>5</v>
          </cell>
          <cell r="K180" t="str">
            <v>Hotel</v>
          </cell>
          <cell r="L180" t="str">
            <v>09-09-2025 05:31:52</v>
          </cell>
          <cell r="M180" t="str">
            <v xml:space="preserve">Hotel Novena - 3.0 Stars  - </v>
          </cell>
          <cell r="N180" t="str">
            <v>TL PDKB</v>
          </cell>
          <cell r="O180">
            <v>7409271</v>
          </cell>
          <cell r="P180" t="str">
            <v>09/09/2025 14:00:00 - 11/09/2025 12:00:00</v>
          </cell>
          <cell r="Q180">
            <v>810000</v>
          </cell>
        </row>
        <row r="181">
          <cell r="A181">
            <v>1283013428</v>
          </cell>
          <cell r="B181" t="str">
            <v>8007053Z</v>
          </cell>
          <cell r="C181" t="str">
            <v>DALMASIUS NUGROHO ADI PUTRANTO</v>
          </cell>
          <cell r="D181">
            <v>80077601</v>
          </cell>
          <cell r="E181">
            <v>4120177637</v>
          </cell>
          <cell r="F181">
            <v>54</v>
          </cell>
          <cell r="G181" t="str">
            <v>Perjalanan Dinas Non-Diklat</v>
          </cell>
          <cell r="H181" t="str">
            <v>Kota Makassar - Kota Surabaya</v>
          </cell>
          <cell r="I181" t="str">
            <v>08/09/2025 - 13/09/2025</v>
          </cell>
          <cell r="J181">
            <v>6</v>
          </cell>
          <cell r="K181" t="str">
            <v>Hotel</v>
          </cell>
          <cell r="L181" t="str">
            <v>08-09-2025 11:07:34</v>
          </cell>
          <cell r="M181" t="str">
            <v xml:space="preserve">Crown Prince Hotel Surabaya managed by Midtown Indonesia Hotels - 4.0 Stars  - </v>
          </cell>
          <cell r="N181" t="str">
            <v>MAN REN SIS KELIST</v>
          </cell>
          <cell r="O181">
            <v>7412112</v>
          </cell>
          <cell r="P181" t="str">
            <v>08/09/2025 14:00:00 - 10/09/2025 12:00:00</v>
          </cell>
          <cell r="Q181">
            <v>1333800</v>
          </cell>
        </row>
        <row r="182">
          <cell r="A182">
            <v>1283979109</v>
          </cell>
          <cell r="B182" t="str">
            <v>8007053Z</v>
          </cell>
          <cell r="C182" t="str">
            <v>DALMASIUS NUGROHO ADI PUTRANTO</v>
          </cell>
          <cell r="D182">
            <v>80077601</v>
          </cell>
          <cell r="E182">
            <v>4120177637</v>
          </cell>
          <cell r="F182">
            <v>54</v>
          </cell>
          <cell r="G182" t="str">
            <v>Perjalanan Dinas Non-Diklat</v>
          </cell>
          <cell r="H182" t="str">
            <v>Kota Makassar - Kota Surabaya</v>
          </cell>
          <cell r="I182" t="str">
            <v>08/09/2025 - 13/09/2025</v>
          </cell>
          <cell r="J182">
            <v>6</v>
          </cell>
          <cell r="K182" t="str">
            <v>Flight One Way</v>
          </cell>
          <cell r="L182" t="str">
            <v>12-09-2025 08:20:27</v>
          </cell>
          <cell r="M182" t="str">
            <v>Sriwijaya Air 1A SUB Juanda SJ-562 - Sriwijaya Air Domestic UPG Hasanuddin SJ-562</v>
          </cell>
          <cell r="N182" t="str">
            <v>MAN REN SIS KELIST</v>
          </cell>
          <cell r="O182">
            <v>7412112</v>
          </cell>
          <cell r="P182" t="str">
            <v>12/09/2025 20:05:00 - 12/09/2025 22:35:00</v>
          </cell>
          <cell r="Q182">
            <v>921500</v>
          </cell>
        </row>
        <row r="183">
          <cell r="A183">
            <v>1283459742</v>
          </cell>
          <cell r="B183" t="str">
            <v>8007053Z</v>
          </cell>
          <cell r="C183" t="str">
            <v>DALMASIUS NUGROHO ADI PUTRANTO</v>
          </cell>
          <cell r="D183">
            <v>80077601</v>
          </cell>
          <cell r="E183">
            <v>4120177637</v>
          </cell>
          <cell r="F183">
            <v>54</v>
          </cell>
          <cell r="G183" t="str">
            <v>Perjalanan Dinas Non-Diklat</v>
          </cell>
          <cell r="H183" t="str">
            <v>Kota Makassar - Kota Surabaya</v>
          </cell>
          <cell r="I183" t="str">
            <v>08/09/2025 - 13/09/2025</v>
          </cell>
          <cell r="J183">
            <v>6</v>
          </cell>
          <cell r="K183" t="str">
            <v>Hotel</v>
          </cell>
          <cell r="L183" t="str">
            <v>10-09-2025 00:05:43</v>
          </cell>
          <cell r="M183" t="str">
            <v xml:space="preserve">Grand Whiz Hotel Praxis Surabaya - 4.0 Stars  - </v>
          </cell>
          <cell r="N183" t="str">
            <v>MAN REN SIS KELIST</v>
          </cell>
          <cell r="O183">
            <v>7412112</v>
          </cell>
          <cell r="P183" t="str">
            <v>10/09/2025 14:00:00 - 12/09/2025 12:00:00</v>
          </cell>
          <cell r="Q183">
            <v>1320000</v>
          </cell>
        </row>
        <row r="184">
          <cell r="A184">
            <v>1282996239</v>
          </cell>
          <cell r="B184" t="str">
            <v>8007053Z</v>
          </cell>
          <cell r="C184" t="str">
            <v>DALMASIUS NUGROHO ADI PUTRANTO</v>
          </cell>
          <cell r="D184">
            <v>80077601</v>
          </cell>
          <cell r="E184">
            <v>4120177637</v>
          </cell>
          <cell r="F184">
            <v>54</v>
          </cell>
          <cell r="G184" t="str">
            <v>Perjalanan Dinas Non-Diklat</v>
          </cell>
          <cell r="H184" t="str">
            <v>Kota Makassar - Kota Surabaya</v>
          </cell>
          <cell r="I184" t="str">
            <v>08/09/2025 - 13/09/2025</v>
          </cell>
          <cell r="J184">
            <v>6</v>
          </cell>
          <cell r="K184" t="str">
            <v>Flight One Way</v>
          </cell>
          <cell r="L184" t="str">
            <v>08-09-2025 09:57:46</v>
          </cell>
          <cell r="M184" t="str">
            <v>Citilink Domestic UPG Hasanuddin QG-353 - Citilink 1A SUB Juanda QG-353</v>
          </cell>
          <cell r="N184" t="str">
            <v>MAN REN SIS KELIST</v>
          </cell>
          <cell r="O184">
            <v>7412112</v>
          </cell>
          <cell r="P184" t="str">
            <v>08/09/2025 19:55:00 - 08/09/2025 20:30:00</v>
          </cell>
          <cell r="Q184">
            <v>939700</v>
          </cell>
        </row>
        <row r="185">
          <cell r="A185">
            <v>1283006483</v>
          </cell>
          <cell r="B185" t="str">
            <v>9418667ZY</v>
          </cell>
          <cell r="C185" t="str">
            <v>SYAIFUL ISLAM</v>
          </cell>
          <cell r="D185">
            <v>94187617</v>
          </cell>
          <cell r="E185">
            <v>4120177623</v>
          </cell>
          <cell r="F185">
            <v>54</v>
          </cell>
          <cell r="G185" t="str">
            <v>Perjalanan Dinas Non-Diklat</v>
          </cell>
          <cell r="H185" t="str">
            <v>Kab. Bone - Kota Makassar</v>
          </cell>
          <cell r="I185" t="str">
            <v>08/09/2025 - 10/09/2025</v>
          </cell>
          <cell r="J185">
            <v>3</v>
          </cell>
          <cell r="K185" t="str">
            <v>Hotel</v>
          </cell>
          <cell r="L185" t="str">
            <v>08-09-2025 10:40:34</v>
          </cell>
          <cell r="M185" t="str">
            <v xml:space="preserve">Mercure Makassar Nexa Pettarani - 4.0 Stars  - </v>
          </cell>
          <cell r="N185" t="str">
            <v>TL MAPPING DATA RING DAN GAN</v>
          </cell>
          <cell r="O185">
            <v>7412230</v>
          </cell>
          <cell r="P185" t="str">
            <v>08/09/2025 14:00:00 - 10/09/2025 12:00:00</v>
          </cell>
          <cell r="Q185">
            <v>1270358</v>
          </cell>
        </row>
        <row r="186">
          <cell r="A186">
            <v>1282905315</v>
          </cell>
          <cell r="B186" t="str">
            <v>9114713ZY</v>
          </cell>
          <cell r="C186" t="str">
            <v>ADHITYA IBNU ABDILLAH</v>
          </cell>
          <cell r="D186">
            <v>91147605</v>
          </cell>
          <cell r="E186">
            <v>4120177615</v>
          </cell>
          <cell r="F186">
            <v>54</v>
          </cell>
          <cell r="G186" t="str">
            <v>Perjalanan Dinas Non-Diklat</v>
          </cell>
          <cell r="H186" t="str">
            <v>Kota Palopo - Kota Makassar</v>
          </cell>
          <cell r="I186" t="str">
            <v>08/09/2025 - 11/09/2025</v>
          </cell>
          <cell r="J186">
            <v>4</v>
          </cell>
          <cell r="K186" t="str">
            <v>Hotel</v>
          </cell>
          <cell r="L186" t="str">
            <v>07-09-2025 19:35:56</v>
          </cell>
          <cell r="M186" t="str">
            <v xml:space="preserve">Arthama Hotel Makassar - 4.0 Stars  - </v>
          </cell>
          <cell r="N186" t="str">
            <v>TL MAPPING DATA RING DAN GAN</v>
          </cell>
          <cell r="O186">
            <v>7412260</v>
          </cell>
          <cell r="P186" t="str">
            <v>08/09/2025 14:00:00 - 11/09/2025 12:00:00</v>
          </cell>
          <cell r="Q186">
            <v>2275875</v>
          </cell>
        </row>
        <row r="187">
          <cell r="A187">
            <v>1283366776</v>
          </cell>
          <cell r="B187" t="str">
            <v>8710706Z</v>
          </cell>
          <cell r="C187" t="str">
            <v>A. DZAKKY SHUFI</v>
          </cell>
          <cell r="D187">
            <v>87107613</v>
          </cell>
          <cell r="E187">
            <v>4120177631</v>
          </cell>
          <cell r="F187">
            <v>54</v>
          </cell>
          <cell r="G187" t="str">
            <v>Perjalanan Dinas Non-Diklat</v>
          </cell>
          <cell r="H187" t="str">
            <v>Kota Makassar - Jakarta Selatan</v>
          </cell>
          <cell r="I187" t="str">
            <v>08/09/2025 - 12/09/2025</v>
          </cell>
          <cell r="J187">
            <v>5</v>
          </cell>
          <cell r="K187" t="str">
            <v>Hotel</v>
          </cell>
          <cell r="L187" t="str">
            <v>09-09-2025 17:14:38</v>
          </cell>
          <cell r="M187" t="str">
            <v xml:space="preserve">Royal Kuningan Hotel - 4.0 Stars  - </v>
          </cell>
          <cell r="N187" t="str">
            <v>SOF REN DAN</v>
          </cell>
          <cell r="O187">
            <v>7412000</v>
          </cell>
          <cell r="P187" t="str">
            <v>09/09/2025 14:00:00 - 10/09/2025 12:00:00</v>
          </cell>
          <cell r="Q187">
            <v>899200</v>
          </cell>
        </row>
        <row r="188">
          <cell r="A188">
            <v>1283645584</v>
          </cell>
          <cell r="B188" t="str">
            <v>8710706Z</v>
          </cell>
          <cell r="C188" t="str">
            <v>A. DZAKKY SHUFI</v>
          </cell>
          <cell r="D188">
            <v>87107613</v>
          </cell>
          <cell r="E188">
            <v>4120177631</v>
          </cell>
          <cell r="F188">
            <v>54</v>
          </cell>
          <cell r="G188" t="str">
            <v>Perjalanan Dinas Non-Diklat</v>
          </cell>
          <cell r="H188" t="str">
            <v>Kota Makassar - Jakarta Selatan</v>
          </cell>
          <cell r="I188" t="str">
            <v>08/09/2025 - 12/09/2025</v>
          </cell>
          <cell r="J188">
            <v>5</v>
          </cell>
          <cell r="K188" t="str">
            <v>Flight One Way</v>
          </cell>
          <cell r="L188" t="str">
            <v>10-09-2025 19:06:00</v>
          </cell>
          <cell r="M188" t="str">
            <v>Garuda Indonesia  CGK Soekarno Hatta International Airport GA-610 - Garuda Indonesia Domestic UPG Hasanuddin GA-610</v>
          </cell>
          <cell r="N188" t="str">
            <v>SOF REN DAN</v>
          </cell>
          <cell r="O188">
            <v>7412000</v>
          </cell>
          <cell r="P188" t="str">
            <v>11/09/2025 06:55:00 - 11/09/2025 10:30:00</v>
          </cell>
          <cell r="Q188">
            <v>2086800</v>
          </cell>
        </row>
        <row r="189">
          <cell r="A189">
            <v>1283048463</v>
          </cell>
          <cell r="B189" t="str">
            <v>8710706Z</v>
          </cell>
          <cell r="C189" t="str">
            <v>A. DZAKKY SHUFI</v>
          </cell>
          <cell r="D189">
            <v>87107613</v>
          </cell>
          <cell r="E189">
            <v>4120177631</v>
          </cell>
          <cell r="F189">
            <v>54</v>
          </cell>
          <cell r="G189" t="str">
            <v>Perjalanan Dinas Non-Diklat</v>
          </cell>
          <cell r="H189" t="str">
            <v>Kota Makassar - Jakarta Selatan</v>
          </cell>
          <cell r="I189" t="str">
            <v>08/09/2025 - 12/09/2025</v>
          </cell>
          <cell r="J189">
            <v>5</v>
          </cell>
          <cell r="K189" t="str">
            <v>Hotel</v>
          </cell>
          <cell r="L189" t="str">
            <v>08-09-2025 13:23:57</v>
          </cell>
          <cell r="M189" t="str">
            <v xml:space="preserve">HABITARE Rasuna Jakarta - 0.0 Stars  - </v>
          </cell>
          <cell r="N189" t="str">
            <v>SOF REN DAN</v>
          </cell>
          <cell r="O189">
            <v>7412000</v>
          </cell>
          <cell r="P189" t="str">
            <v>08/09/2025 14:00:00 - 09/09/2025 12:00:00</v>
          </cell>
          <cell r="Q189">
            <v>914297</v>
          </cell>
        </row>
        <row r="190">
          <cell r="A190">
            <v>1282901239</v>
          </cell>
          <cell r="B190" t="str">
            <v>8710706Z</v>
          </cell>
          <cell r="C190" t="str">
            <v>A. DZAKKY SHUFI</v>
          </cell>
          <cell r="D190">
            <v>87107613</v>
          </cell>
          <cell r="E190">
            <v>4120177631</v>
          </cell>
          <cell r="F190">
            <v>54</v>
          </cell>
          <cell r="G190" t="str">
            <v>Perjalanan Dinas Non-Diklat</v>
          </cell>
          <cell r="H190" t="str">
            <v>Kota Makassar - Jakarta Selatan</v>
          </cell>
          <cell r="I190" t="str">
            <v>08/09/2025 - 12/09/2025</v>
          </cell>
          <cell r="J190">
            <v>5</v>
          </cell>
          <cell r="K190" t="str">
            <v>Flight One Way</v>
          </cell>
          <cell r="L190" t="str">
            <v>07-09-2025 19:15:50</v>
          </cell>
          <cell r="M190" t="str">
            <v>Garuda Indonesia Domestic UPG Hasanuddin GA-617 - Garuda Indonesia  CGK Soekarno Hatta International Airport GA-617</v>
          </cell>
          <cell r="N190" t="str">
            <v>SOF REN DAN</v>
          </cell>
          <cell r="O190">
            <v>7412000</v>
          </cell>
          <cell r="P190" t="str">
            <v>08/09/2025 07:15:00 - 08/09/2025 08:45:00</v>
          </cell>
          <cell r="Q190">
            <v>2309900</v>
          </cell>
        </row>
        <row r="191">
          <cell r="A191">
            <v>1283991200</v>
          </cell>
          <cell r="B191" t="str">
            <v>96191903ZY</v>
          </cell>
          <cell r="C191" t="str">
            <v>MANSYUR FAHMI</v>
          </cell>
          <cell r="D191">
            <v>96197639</v>
          </cell>
          <cell r="E191">
            <v>4120177627</v>
          </cell>
          <cell r="F191">
            <v>54</v>
          </cell>
          <cell r="G191" t="str">
            <v>Perjalanan Dinas Non-Diklat</v>
          </cell>
          <cell r="H191" t="str">
            <v>Kab. Mamuju - Jakarta Selatan</v>
          </cell>
          <cell r="I191" t="str">
            <v>08/09/2025 - 13/09/2025</v>
          </cell>
          <cell r="J191">
            <v>6</v>
          </cell>
          <cell r="K191" t="str">
            <v>Flight One Way</v>
          </cell>
          <cell r="L191" t="str">
            <v>12-09-2025 09:20:28</v>
          </cell>
          <cell r="M191" t="str">
            <v>Garuda Indonesia  CGK Soekarno Hatta International Airport GA-612 - Garuda Indonesia Domestic UPG Hasanuddin GA-612</v>
          </cell>
          <cell r="N191" t="str">
            <v>TL REN LISDES</v>
          </cell>
          <cell r="O191">
            <v>7412290</v>
          </cell>
          <cell r="P191" t="str">
            <v>12/09/2025 14:25:00 - 12/09/2025 18:00:00</v>
          </cell>
          <cell r="Q191">
            <v>2244000</v>
          </cell>
        </row>
        <row r="192">
          <cell r="A192">
            <v>1282895293</v>
          </cell>
          <cell r="B192" t="str">
            <v>96191903ZY</v>
          </cell>
          <cell r="C192" t="str">
            <v>MANSYUR FAHMI</v>
          </cell>
          <cell r="D192">
            <v>96197639</v>
          </cell>
          <cell r="E192">
            <v>4120177627</v>
          </cell>
          <cell r="F192">
            <v>54</v>
          </cell>
          <cell r="G192" t="str">
            <v>Perjalanan Dinas Non-Diklat</v>
          </cell>
          <cell r="H192" t="str">
            <v>Kab. Mamuju - Jakarta Selatan</v>
          </cell>
          <cell r="I192" t="str">
            <v>08/09/2025 - 13/09/2025</v>
          </cell>
          <cell r="J192">
            <v>6</v>
          </cell>
          <cell r="K192" t="str">
            <v>Flight One Way</v>
          </cell>
          <cell r="L192" t="str">
            <v>07-09-2025 18:45:46</v>
          </cell>
          <cell r="M192" t="str">
            <v>Garuda Indonesia Domestic UPG Hasanuddin GA-605 - Garuda Indonesia  CGK Soekarno Hatta International Airport GA-605</v>
          </cell>
          <cell r="N192" t="str">
            <v>TL REN LISDES</v>
          </cell>
          <cell r="O192">
            <v>7412290</v>
          </cell>
          <cell r="P192" t="str">
            <v>08/09/2025 10:55:00 - 08/09/2025 12:25:00</v>
          </cell>
          <cell r="Q192">
            <v>2341600</v>
          </cell>
        </row>
        <row r="193">
          <cell r="A193">
            <v>1282988798</v>
          </cell>
          <cell r="B193" t="str">
            <v>96191903ZY</v>
          </cell>
          <cell r="C193" t="str">
            <v>MANSYUR FAHMI</v>
          </cell>
          <cell r="D193">
            <v>96197639</v>
          </cell>
          <cell r="E193">
            <v>4120177627</v>
          </cell>
          <cell r="F193">
            <v>54</v>
          </cell>
          <cell r="G193" t="str">
            <v>Perjalanan Dinas Non-Diklat</v>
          </cell>
          <cell r="H193" t="str">
            <v>Kab. Mamuju - Jakarta Selatan</v>
          </cell>
          <cell r="I193" t="str">
            <v>08/09/2025 - 13/09/2025</v>
          </cell>
          <cell r="J193">
            <v>6</v>
          </cell>
          <cell r="K193" t="str">
            <v>Hotel</v>
          </cell>
          <cell r="L193" t="str">
            <v>08-09-2025 09:23:44</v>
          </cell>
          <cell r="M193" t="str">
            <v xml:space="preserve">Pomelotel Patra Kuningan Jakarta - 3.0 Stars  - </v>
          </cell>
          <cell r="N193" t="str">
            <v>TL REN LISDES</v>
          </cell>
          <cell r="O193">
            <v>7412290</v>
          </cell>
          <cell r="P193" t="str">
            <v>08/09/2025 14:00:00 - 13/09/2025 12:00:00</v>
          </cell>
          <cell r="Q193">
            <v>3236185</v>
          </cell>
        </row>
        <row r="194">
          <cell r="A194">
            <v>1282925488</v>
          </cell>
          <cell r="B194" t="str">
            <v>9523326ZY</v>
          </cell>
          <cell r="C194" t="str">
            <v>SHALAHUDDIN ALAYUBI SITANGGANG</v>
          </cell>
          <cell r="D194">
            <v>95237601</v>
          </cell>
          <cell r="E194">
            <v>4120177622</v>
          </cell>
          <cell r="F194">
            <v>54</v>
          </cell>
          <cell r="G194" t="str">
            <v>Perjalanan Dinas Non-Diklat</v>
          </cell>
          <cell r="H194" t="str">
            <v>Kota Baubau - Kab. Muna</v>
          </cell>
          <cell r="I194" t="str">
            <v>08/09/2025 - 11/09/2025</v>
          </cell>
          <cell r="J194">
            <v>4</v>
          </cell>
          <cell r="K194" t="str">
            <v>Hotel</v>
          </cell>
          <cell r="L194" t="str">
            <v>07-09-2025 21:15:45</v>
          </cell>
          <cell r="M194" t="str">
            <v xml:space="preserve">DJ Hotel Raha - 0.0 Stars  - </v>
          </cell>
          <cell r="N194" t="str">
            <v>TC HAR ELEKTRO</v>
          </cell>
          <cell r="O194">
            <v>7412340</v>
          </cell>
          <cell r="P194" t="str">
            <v>08/09/2025 14:00:00 - 10/09/2025 12:00:00</v>
          </cell>
          <cell r="Q194">
            <v>1153800</v>
          </cell>
        </row>
        <row r="195">
          <cell r="A195">
            <v>1282919258</v>
          </cell>
          <cell r="B195" t="str">
            <v>8708045F</v>
          </cell>
          <cell r="C195" t="str">
            <v>FAUZAN HODEIBI HADDAD</v>
          </cell>
          <cell r="D195">
            <v>87087601</v>
          </cell>
          <cell r="E195">
            <v>4120177621</v>
          </cell>
          <cell r="F195">
            <v>54</v>
          </cell>
          <cell r="G195" t="str">
            <v>Perjalanan Dinas Non-Diklat</v>
          </cell>
          <cell r="H195" t="str">
            <v>Kota Makassar - Kota Makassar</v>
          </cell>
          <cell r="I195" t="str">
            <v>08/09/2025 - 11/09/2025</v>
          </cell>
          <cell r="J195">
            <v>4</v>
          </cell>
          <cell r="K195" t="str">
            <v>Flight One Way</v>
          </cell>
          <cell r="L195" t="str">
            <v>07-09-2025 20:44:03</v>
          </cell>
          <cell r="M195" t="str">
            <v>Super Air Jet  UPG Hasanuddin IU-572 - Super Air Jet  BUW Betoambari IU-572</v>
          </cell>
          <cell r="N195" t="str">
            <v>TL MAPPING DATA RING DAN GAN</v>
          </cell>
          <cell r="O195">
            <v>7412280</v>
          </cell>
          <cell r="P195" t="str">
            <v>11/09/2025 13:50:00 - 11/09/2025 14:35:00</v>
          </cell>
          <cell r="Q195">
            <v>844100</v>
          </cell>
        </row>
        <row r="196">
          <cell r="A196">
            <v>1282917847</v>
          </cell>
          <cell r="B196" t="str">
            <v>8708045F</v>
          </cell>
          <cell r="C196" t="str">
            <v>FAUZAN HODEIBI HADDAD</v>
          </cell>
          <cell r="D196">
            <v>87087601</v>
          </cell>
          <cell r="E196">
            <v>4120177621</v>
          </cell>
          <cell r="F196">
            <v>54</v>
          </cell>
          <cell r="G196" t="str">
            <v>Perjalanan Dinas Non-Diklat</v>
          </cell>
          <cell r="H196" t="str">
            <v>Kota Makassar - Kota Makassar</v>
          </cell>
          <cell r="I196" t="str">
            <v>08/09/2025 - 11/09/2025</v>
          </cell>
          <cell r="J196">
            <v>4</v>
          </cell>
          <cell r="K196" t="str">
            <v>Hotel</v>
          </cell>
          <cell r="L196" t="str">
            <v>07-09-2025 20:36:36</v>
          </cell>
          <cell r="M196" t="str">
            <v xml:space="preserve">Swiss-Belinn Panakkukang - 4.0 Stars  - </v>
          </cell>
          <cell r="N196" t="str">
            <v>TL MAPPING DATA RING DAN GAN</v>
          </cell>
          <cell r="O196">
            <v>7412280</v>
          </cell>
          <cell r="P196" t="str">
            <v>08/09/2025 14:00:00 - 11/09/2025 12:00:00</v>
          </cell>
          <cell r="Q196">
            <v>2040000</v>
          </cell>
        </row>
        <row r="197">
          <cell r="A197">
            <v>1282878877</v>
          </cell>
          <cell r="B197" t="str">
            <v>8708045F</v>
          </cell>
          <cell r="C197" t="str">
            <v>FAUZAN HODEIBI HADDAD</v>
          </cell>
          <cell r="D197">
            <v>87087601</v>
          </cell>
          <cell r="E197">
            <v>4120177621</v>
          </cell>
          <cell r="F197">
            <v>54</v>
          </cell>
          <cell r="G197" t="str">
            <v>Perjalanan Dinas Non-Diklat</v>
          </cell>
          <cell r="H197" t="str">
            <v>Kota Makassar - Kota Makassar</v>
          </cell>
          <cell r="I197" t="str">
            <v>08/09/2025 - 11/09/2025</v>
          </cell>
          <cell r="J197">
            <v>4</v>
          </cell>
          <cell r="K197" t="str">
            <v>Flight One Way</v>
          </cell>
          <cell r="L197" t="str">
            <v>07-09-2025 17:22:06</v>
          </cell>
          <cell r="M197" t="str">
            <v>Wings Air  BUW Betoambari IW-1305 - Wings Air Domestic UPG Hasanuddin IW-1305</v>
          </cell>
          <cell r="N197" t="str">
            <v>TL MAPPING DATA RING DAN GAN</v>
          </cell>
          <cell r="O197">
            <v>7412280</v>
          </cell>
          <cell r="P197" t="str">
            <v>08/09/2025 06:30:00 - 08/09/2025 07:40:00</v>
          </cell>
          <cell r="Q197">
            <v>1139700</v>
          </cell>
        </row>
        <row r="198">
          <cell r="A198">
            <v>1283699188</v>
          </cell>
          <cell r="B198" t="str">
            <v>8812188ZY</v>
          </cell>
          <cell r="C198" t="str">
            <v>JULYANZAH PERDANA PUTRA</v>
          </cell>
          <cell r="D198">
            <v>88128002</v>
          </cell>
          <cell r="E198">
            <v>4120177614</v>
          </cell>
          <cell r="F198">
            <v>54</v>
          </cell>
          <cell r="G198" t="str">
            <v>Perjalanan Dinas Non-Diklat</v>
          </cell>
          <cell r="H198" t="str">
            <v>Kota Makassar - Kota Surabaya</v>
          </cell>
          <cell r="I198" t="str">
            <v>08/09/2025 - 13/09/2025</v>
          </cell>
          <cell r="J198">
            <v>6</v>
          </cell>
          <cell r="K198" t="str">
            <v>Hotel</v>
          </cell>
          <cell r="L198" t="str">
            <v>10-09-2025 23:07:15</v>
          </cell>
          <cell r="M198" t="str">
            <v xml:space="preserve">Crown Prince Hotel Surabaya managed by Midtown Indonesia Hotels - 4.0 Stars  - </v>
          </cell>
          <cell r="N198" t="str">
            <v>SOF REN SIS KELIST</v>
          </cell>
          <cell r="O198">
            <v>7412112</v>
          </cell>
          <cell r="P198" t="str">
            <v>11/09/2025 14:00:00 - 12/09/2025 12:00:00</v>
          </cell>
          <cell r="Q198">
            <v>793800</v>
          </cell>
        </row>
        <row r="199">
          <cell r="A199">
            <v>1283034628</v>
          </cell>
          <cell r="B199" t="str">
            <v>8812188ZY</v>
          </cell>
          <cell r="C199" t="str">
            <v>JULYANZAH PERDANA PUTRA</v>
          </cell>
          <cell r="D199">
            <v>88128002</v>
          </cell>
          <cell r="E199">
            <v>4120177614</v>
          </cell>
          <cell r="F199">
            <v>54</v>
          </cell>
          <cell r="G199" t="str">
            <v>Perjalanan Dinas Non-Diklat</v>
          </cell>
          <cell r="H199" t="str">
            <v>Kota Makassar - Kota Surabaya</v>
          </cell>
          <cell r="I199" t="str">
            <v>08/09/2025 - 13/09/2025</v>
          </cell>
          <cell r="J199">
            <v>6</v>
          </cell>
          <cell r="K199" t="str">
            <v>Hotel</v>
          </cell>
          <cell r="L199" t="str">
            <v>08-09-2025 12:29:44</v>
          </cell>
          <cell r="M199" t="str">
            <v xml:space="preserve">Crown Prince Hotel Surabaya managed by Midtown Indonesia Hotels - 4.0 Stars  - </v>
          </cell>
          <cell r="N199" t="str">
            <v>SOF REN SIS KELIST</v>
          </cell>
          <cell r="O199">
            <v>7412112</v>
          </cell>
          <cell r="P199" t="str">
            <v>09/09/2025 14:00:00 - 11/09/2025 12:00:00</v>
          </cell>
          <cell r="Q199">
            <v>1587600</v>
          </cell>
        </row>
        <row r="200">
          <cell r="A200">
            <v>1282961406</v>
          </cell>
          <cell r="B200" t="str">
            <v>8812188ZY</v>
          </cell>
          <cell r="C200" t="str">
            <v>JULYANZAH PERDANA PUTRA</v>
          </cell>
          <cell r="D200">
            <v>88128002</v>
          </cell>
          <cell r="E200">
            <v>4120177614</v>
          </cell>
          <cell r="F200">
            <v>54</v>
          </cell>
          <cell r="G200" t="str">
            <v>Perjalanan Dinas Non-Diklat</v>
          </cell>
          <cell r="H200" t="str">
            <v>Kota Makassar - Kota Surabaya</v>
          </cell>
          <cell r="I200" t="str">
            <v>08/09/2025 - 13/09/2025</v>
          </cell>
          <cell r="J200">
            <v>6</v>
          </cell>
          <cell r="K200" t="str">
            <v>Flight One Way</v>
          </cell>
          <cell r="L200" t="str">
            <v>08-09-2025 05:32:12</v>
          </cell>
          <cell r="M200" t="str">
            <v>Citilink Domestic UPG Hasanuddin QG-351 - Citilink 1A SUB Juanda QG-351</v>
          </cell>
          <cell r="N200" t="str">
            <v>SOF REN SIS KELIST</v>
          </cell>
          <cell r="O200">
            <v>7412112</v>
          </cell>
          <cell r="P200" t="str">
            <v>09/09/2025 09:05:00 - 09/09/2025 09:40:00</v>
          </cell>
          <cell r="Q200">
            <v>1065100</v>
          </cell>
        </row>
        <row r="201">
          <cell r="A201">
            <v>1284009029</v>
          </cell>
          <cell r="B201" t="str">
            <v>8812188ZY</v>
          </cell>
          <cell r="C201" t="str">
            <v>JULYANZAH PERDANA PUTRA</v>
          </cell>
          <cell r="D201">
            <v>88128002</v>
          </cell>
          <cell r="E201">
            <v>4120177614</v>
          </cell>
          <cell r="F201">
            <v>54</v>
          </cell>
          <cell r="G201" t="str">
            <v>Perjalanan Dinas Non-Diklat</v>
          </cell>
          <cell r="H201" t="str">
            <v>Kota Makassar - Kota Surabaya</v>
          </cell>
          <cell r="I201" t="str">
            <v>08/09/2025 - 13/09/2025</v>
          </cell>
          <cell r="J201">
            <v>6</v>
          </cell>
          <cell r="K201" t="str">
            <v>Hotel</v>
          </cell>
          <cell r="L201" t="str">
            <v>12-09-2025 10:34:32</v>
          </cell>
          <cell r="M201" t="str">
            <v xml:space="preserve">The Alana Surabaya - 4.0 Stars  - </v>
          </cell>
          <cell r="N201" t="str">
            <v>SOF REN SIS KELIST</v>
          </cell>
          <cell r="O201">
            <v>7412112</v>
          </cell>
          <cell r="P201" t="str">
            <v>12/09/2025 14:00:00 - 13/09/2025 12:00:00</v>
          </cell>
          <cell r="Q201">
            <v>916617</v>
          </cell>
        </row>
        <row r="202">
          <cell r="A202">
            <v>1283861388</v>
          </cell>
          <cell r="B202" t="str">
            <v>8812188ZY</v>
          </cell>
          <cell r="C202" t="str">
            <v>JULYANZAH PERDANA PUTRA</v>
          </cell>
          <cell r="D202">
            <v>88128002</v>
          </cell>
          <cell r="E202">
            <v>4120177614</v>
          </cell>
          <cell r="F202">
            <v>54</v>
          </cell>
          <cell r="G202" t="str">
            <v>Perjalanan Dinas Non-Diklat</v>
          </cell>
          <cell r="H202" t="str">
            <v>Kota Makassar - Kota Surabaya</v>
          </cell>
          <cell r="I202" t="str">
            <v>08/09/2025 - 13/09/2025</v>
          </cell>
          <cell r="J202">
            <v>6</v>
          </cell>
          <cell r="K202" t="str">
            <v>Flight One Way</v>
          </cell>
          <cell r="L202" t="str">
            <v>11-09-2025 17:08:44</v>
          </cell>
          <cell r="M202" t="str">
            <v>Lion Air 1A SUB Juanda JT-882 - Lion Air Domestic UPG Hasanuddin JT-882</v>
          </cell>
          <cell r="N202" t="str">
            <v>SOF REN SIS KELIST</v>
          </cell>
          <cell r="O202">
            <v>7412112</v>
          </cell>
          <cell r="P202" t="str">
            <v>13/09/2025 06:00:00 - 13/09/2025 08:30:00</v>
          </cell>
          <cell r="Q202">
            <v>1233800</v>
          </cell>
        </row>
        <row r="203">
          <cell r="A203">
            <v>1283762773</v>
          </cell>
          <cell r="B203" t="str">
            <v>95191268ZY</v>
          </cell>
          <cell r="C203" t="str">
            <v>MUH. HUSHARDI HUSAIN</v>
          </cell>
          <cell r="D203">
            <v>95197608</v>
          </cell>
          <cell r="E203">
            <v>4120177613</v>
          </cell>
          <cell r="F203">
            <v>54</v>
          </cell>
          <cell r="G203" t="str">
            <v>Perjalanan Dinas Diklat</v>
          </cell>
          <cell r="H203" t="str">
            <v>Kab. Mamuju - Kota Cilegon</v>
          </cell>
          <cell r="I203" t="str">
            <v>07/09/2025 - 12/09/2025</v>
          </cell>
          <cell r="J203">
            <v>6</v>
          </cell>
          <cell r="K203" t="str">
            <v>Flight One Way</v>
          </cell>
          <cell r="L203" t="str">
            <v>11-09-2025 10:19:09</v>
          </cell>
          <cell r="M203" t="str">
            <v>Batik Air 2D CGK Soekarno Hatta International Airport ID-6264 - Batik Air  MJU Tampa Padang ID-6264</v>
          </cell>
          <cell r="N203" t="str">
            <v>TL KONS LISDES</v>
          </cell>
          <cell r="O203">
            <v>7412290</v>
          </cell>
          <cell r="P203" t="str">
            <v>12/09/2025 02:20:00 - 12/09/2025 10:55:00</v>
          </cell>
          <cell r="Q203">
            <v>2199300</v>
          </cell>
        </row>
        <row r="204">
          <cell r="A204">
            <v>1282578012</v>
          </cell>
          <cell r="B204" t="str">
            <v>95191268ZY</v>
          </cell>
          <cell r="C204" t="str">
            <v>MUH. HUSHARDI HUSAIN</v>
          </cell>
          <cell r="D204">
            <v>95197608</v>
          </cell>
          <cell r="E204">
            <v>4120177613</v>
          </cell>
          <cell r="F204">
            <v>54</v>
          </cell>
          <cell r="G204" t="str">
            <v>Perjalanan Dinas Diklat</v>
          </cell>
          <cell r="H204" t="str">
            <v>Kab. Mamuju - Kota Cilegon</v>
          </cell>
          <cell r="I204" t="str">
            <v>07/09/2025 - 12/09/2025</v>
          </cell>
          <cell r="J204">
            <v>6</v>
          </cell>
          <cell r="K204" t="str">
            <v>Flight One Way</v>
          </cell>
          <cell r="L204" t="str">
            <v>06-09-2025 12:09:51</v>
          </cell>
          <cell r="M204" t="str">
            <v>Batik Air  MJU Tampa Padang ID-6789 - Batik Air 1A CGK Soekarno Hatta International Airport ID-6789</v>
          </cell>
          <cell r="N204" t="str">
            <v>TL KONS LISDES</v>
          </cell>
          <cell r="O204">
            <v>7412290</v>
          </cell>
          <cell r="P204" t="str">
            <v>07/09/2025 11:35:00 - 07/09/2025 14:45:00</v>
          </cell>
          <cell r="Q204">
            <v>2510100</v>
          </cell>
        </row>
        <row r="205">
          <cell r="A205">
            <v>1283272908</v>
          </cell>
          <cell r="B205" t="str">
            <v>7695026G</v>
          </cell>
          <cell r="C205" t="str">
            <v>HUSEN SOBRI</v>
          </cell>
          <cell r="D205">
            <v>76957800</v>
          </cell>
          <cell r="E205">
            <v>4120177612</v>
          </cell>
          <cell r="F205">
            <v>54</v>
          </cell>
          <cell r="G205" t="str">
            <v>Perjalanan Dinas Non-Diklat</v>
          </cell>
          <cell r="H205" t="str">
            <v>Kota Makassar - Kab. Bogor</v>
          </cell>
          <cell r="I205" t="str">
            <v>07/09/2025 - 10/09/2025</v>
          </cell>
          <cell r="J205">
            <v>4</v>
          </cell>
          <cell r="K205" t="str">
            <v>Flight One Way</v>
          </cell>
          <cell r="L205" t="str">
            <v>09-09-2025 11:12:38</v>
          </cell>
          <cell r="M205" t="str">
            <v>Garuda Indonesia  CGK Soekarno Hatta International Airport GA-616 - Garuda Indonesia Domestic UPG Hasanuddin GA-616</v>
          </cell>
          <cell r="N205" t="str">
            <v>SM DIST</v>
          </cell>
          <cell r="O205">
            <v>7412000</v>
          </cell>
          <cell r="P205" t="str">
            <v>09/09/2025 17:30:00 - 09/09/2025 21:05:00</v>
          </cell>
          <cell r="Q205">
            <v>1874200</v>
          </cell>
        </row>
        <row r="206">
          <cell r="A206">
            <v>1282576311</v>
          </cell>
          <cell r="B206" t="str">
            <v>7695026G</v>
          </cell>
          <cell r="C206" t="str">
            <v>HUSEN SOBRI</v>
          </cell>
          <cell r="D206">
            <v>76957800</v>
          </cell>
          <cell r="E206">
            <v>4120177612</v>
          </cell>
          <cell r="F206">
            <v>54</v>
          </cell>
          <cell r="G206" t="str">
            <v>Perjalanan Dinas Non-Diklat</v>
          </cell>
          <cell r="H206" t="str">
            <v>Kota Makassar - Kab. Bogor</v>
          </cell>
          <cell r="I206" t="str">
            <v>07/09/2025 - 10/09/2025</v>
          </cell>
          <cell r="J206">
            <v>4</v>
          </cell>
          <cell r="K206" t="str">
            <v>Flight One Way</v>
          </cell>
          <cell r="L206" t="str">
            <v>06-09-2025 12:03:41</v>
          </cell>
          <cell r="M206" t="str">
            <v>Garuda Indonesia Domestic UPG Hasanuddin GA-641 - Garuda Indonesia  CGK Soekarno Hatta International Airport GA-641</v>
          </cell>
          <cell r="N206" t="str">
            <v>SM DIST</v>
          </cell>
          <cell r="O206">
            <v>7412000</v>
          </cell>
          <cell r="P206" t="str">
            <v>07/09/2025 12:15:00 - 07/09/2025 13:40:00</v>
          </cell>
          <cell r="Q206">
            <v>2347100</v>
          </cell>
        </row>
        <row r="207">
          <cell r="A207">
            <v>1282367476</v>
          </cell>
          <cell r="B207" t="str">
            <v>7695026G</v>
          </cell>
          <cell r="C207" t="str">
            <v>HUSEN SOBRI</v>
          </cell>
          <cell r="D207">
            <v>76957800</v>
          </cell>
          <cell r="E207">
            <v>4120177612</v>
          </cell>
          <cell r="F207">
            <v>54</v>
          </cell>
          <cell r="G207" t="str">
            <v>Perjalanan Dinas Non-Diklat</v>
          </cell>
          <cell r="H207" t="str">
            <v>Kota Makassar - Kab. Bogor</v>
          </cell>
          <cell r="I207" t="str">
            <v>07/09/2025 - 10/09/2025</v>
          </cell>
          <cell r="J207">
            <v>4</v>
          </cell>
          <cell r="K207" t="str">
            <v>Hotel</v>
          </cell>
          <cell r="L207" t="str">
            <v>05-09-2025 15:32:40</v>
          </cell>
          <cell r="M207" t="str">
            <v xml:space="preserve">Hotel Santika Bogor - 3.0 Stars  - </v>
          </cell>
          <cell r="N207" t="str">
            <v>SM DIST</v>
          </cell>
          <cell r="O207">
            <v>7412000</v>
          </cell>
          <cell r="P207" t="str">
            <v>07/09/2025 14:00:00 - 09/09/2025 12:00:00</v>
          </cell>
          <cell r="Q207">
            <v>1804000</v>
          </cell>
        </row>
        <row r="208">
          <cell r="A208">
            <v>1283278295</v>
          </cell>
          <cell r="B208" t="str">
            <v>8509308Z</v>
          </cell>
          <cell r="C208" t="str">
            <v>LELY SRIHANDAYANI</v>
          </cell>
          <cell r="D208">
            <v>85097604</v>
          </cell>
          <cell r="E208">
            <v>4120177608</v>
          </cell>
          <cell r="F208">
            <v>54</v>
          </cell>
          <cell r="G208" t="str">
            <v>Perjalanan Dinas Non-Diklat</v>
          </cell>
          <cell r="H208" t="str">
            <v>Kota Makassar - Kota Bogor</v>
          </cell>
          <cell r="I208" t="str">
            <v>08/09/2025 - 10/09/2025</v>
          </cell>
          <cell r="J208">
            <v>3</v>
          </cell>
          <cell r="K208" t="str">
            <v>Hotel</v>
          </cell>
          <cell r="L208" t="str">
            <v>09-09-2025 11:29:47</v>
          </cell>
          <cell r="M208" t="str">
            <v xml:space="preserve">THE 1O1 Jakarta Airport CBC - 4.0 Stars  - </v>
          </cell>
          <cell r="N208" t="str">
            <v>SOF OP DAN HAR SIS DIST</v>
          </cell>
          <cell r="O208">
            <v>7412000</v>
          </cell>
          <cell r="P208" t="str">
            <v>09/09/2025 14:00:00 - 10/09/2025 12:00:00</v>
          </cell>
          <cell r="Q208">
            <v>990000</v>
          </cell>
        </row>
        <row r="209">
          <cell r="A209">
            <v>1282462092</v>
          </cell>
          <cell r="B209" t="str">
            <v>8509308Z</v>
          </cell>
          <cell r="C209" t="str">
            <v>LELY SRIHANDAYANI</v>
          </cell>
          <cell r="D209">
            <v>85097604</v>
          </cell>
          <cell r="E209">
            <v>4120177608</v>
          </cell>
          <cell r="F209">
            <v>54</v>
          </cell>
          <cell r="G209" t="str">
            <v>Perjalanan Dinas Non-Diklat</v>
          </cell>
          <cell r="H209" t="str">
            <v>Kota Makassar - Kota Bogor</v>
          </cell>
          <cell r="I209" t="str">
            <v>08/09/2025 - 10/09/2025</v>
          </cell>
          <cell r="J209">
            <v>3</v>
          </cell>
          <cell r="K209" t="str">
            <v>Hotel</v>
          </cell>
          <cell r="L209" t="str">
            <v>05-09-2025 21:54:30</v>
          </cell>
          <cell r="M209" t="str">
            <v xml:space="preserve">Nemuru Grand Bhuvana Ciawi - 4.0 Stars  - </v>
          </cell>
          <cell r="N209" t="str">
            <v>SOF OP DAN HAR SIS DIST</v>
          </cell>
          <cell r="O209">
            <v>7412000</v>
          </cell>
          <cell r="P209" t="str">
            <v>08/09/2025 14:00:00 - 09/09/2025 12:00:00</v>
          </cell>
          <cell r="Q209">
            <v>926640</v>
          </cell>
        </row>
        <row r="210">
          <cell r="A210">
            <v>1282375469</v>
          </cell>
          <cell r="B210" t="str">
            <v>8509308Z</v>
          </cell>
          <cell r="C210" t="str">
            <v>LELY SRIHANDAYANI</v>
          </cell>
          <cell r="D210">
            <v>85097604</v>
          </cell>
          <cell r="E210">
            <v>4120177608</v>
          </cell>
          <cell r="F210">
            <v>54</v>
          </cell>
          <cell r="G210" t="str">
            <v>Perjalanan Dinas Non-Diklat</v>
          </cell>
          <cell r="H210" t="str">
            <v>Kota Makassar - Kota Bogor</v>
          </cell>
          <cell r="I210" t="str">
            <v>08/09/2025 - 10/09/2025</v>
          </cell>
          <cell r="J210">
            <v>3</v>
          </cell>
          <cell r="K210" t="str">
            <v>Flight One Way</v>
          </cell>
          <cell r="L210" t="str">
            <v>05-09-2025 16:03:57</v>
          </cell>
          <cell r="M210" t="str">
            <v>Garuda Indonesia Domestic UPG Hasanuddin GA-613 - Garuda Indonesia  CGK Soekarno Hatta International Airport GA-613</v>
          </cell>
          <cell r="N210" t="str">
            <v>SOF OP DAN HAR SIS DIST</v>
          </cell>
          <cell r="O210">
            <v>7412000</v>
          </cell>
          <cell r="P210" t="str">
            <v>08/09/2025 13:00:00 - 08/09/2025 14:25:00</v>
          </cell>
          <cell r="Q210">
            <v>2341600</v>
          </cell>
        </row>
        <row r="211">
          <cell r="A211">
            <v>1282997884</v>
          </cell>
          <cell r="B211" t="str">
            <v>8509308Z</v>
          </cell>
          <cell r="C211" t="str">
            <v>LELY SRIHANDAYANI</v>
          </cell>
          <cell r="D211">
            <v>85097604</v>
          </cell>
          <cell r="E211">
            <v>4120177608</v>
          </cell>
          <cell r="F211">
            <v>54</v>
          </cell>
          <cell r="G211" t="str">
            <v>Perjalanan Dinas Non-Diklat</v>
          </cell>
          <cell r="H211" t="str">
            <v>Kota Makassar - Kota Bogor</v>
          </cell>
          <cell r="I211" t="str">
            <v>08/09/2025 - 10/09/2025</v>
          </cell>
          <cell r="J211">
            <v>3</v>
          </cell>
          <cell r="K211" t="str">
            <v>Flight One Way</v>
          </cell>
          <cell r="L211" t="str">
            <v>08-09-2025 10:05:04</v>
          </cell>
          <cell r="M211" t="str">
            <v>Garuda Indonesia  CGK Soekarno Hatta International Airport GA-640 - Garuda Indonesia Domestic UPG Hasanuddin GA-640</v>
          </cell>
          <cell r="N211" t="str">
            <v>SOF OP DAN HAR SIS DIST</v>
          </cell>
          <cell r="O211">
            <v>7412000</v>
          </cell>
          <cell r="P211" t="str">
            <v>10/09/2025 07:55:00 - 10/09/2025 11:30:00</v>
          </cell>
          <cell r="Q211">
            <v>2370400</v>
          </cell>
        </row>
        <row r="212">
          <cell r="A212">
            <v>1283267596</v>
          </cell>
          <cell r="B212" t="str">
            <v>9620548ZY</v>
          </cell>
          <cell r="C212" t="str">
            <v>BAGUS ALBARANU YULIATMOKO</v>
          </cell>
          <cell r="D212">
            <v>96207604</v>
          </cell>
          <cell r="E212">
            <v>4120177607</v>
          </cell>
          <cell r="F212">
            <v>54</v>
          </cell>
          <cell r="G212" t="str">
            <v>Perjalanan Dinas Non-Diklat</v>
          </cell>
          <cell r="H212" t="str">
            <v>Kota Makassar - Kab. Bogor</v>
          </cell>
          <cell r="I212" t="str">
            <v>08/09/2025 - 10/09/2025</v>
          </cell>
          <cell r="J212">
            <v>3</v>
          </cell>
          <cell r="K212" t="str">
            <v>Flight One Way</v>
          </cell>
          <cell r="L212" t="str">
            <v>09-09-2025 10:57:01</v>
          </cell>
          <cell r="M212" t="str">
            <v>Garuda Indonesia  CGK Soekarno Hatta International Airport GA-604 - Garuda Indonesia Domestic UPG Hasanuddin GA-604</v>
          </cell>
          <cell r="N212" t="str">
            <v>OF OP DAN HAR SIS DIST</v>
          </cell>
          <cell r="O212">
            <v>7412000</v>
          </cell>
          <cell r="P212" t="str">
            <v>10/09/2025 02:50:00 - 10/09/2025 06:25:00</v>
          </cell>
          <cell r="Q212">
            <v>2232900</v>
          </cell>
        </row>
        <row r="213">
          <cell r="A213">
            <v>1282422174</v>
          </cell>
          <cell r="B213" t="str">
            <v>9620548ZY</v>
          </cell>
          <cell r="C213" t="str">
            <v>BAGUS ALBARANU YULIATMOKO</v>
          </cell>
          <cell r="D213">
            <v>96207604</v>
          </cell>
          <cell r="E213">
            <v>4120177607</v>
          </cell>
          <cell r="F213">
            <v>54</v>
          </cell>
          <cell r="G213" t="str">
            <v>Perjalanan Dinas Non-Diklat</v>
          </cell>
          <cell r="H213" t="str">
            <v>Kota Makassar - Kab. Bogor</v>
          </cell>
          <cell r="I213" t="str">
            <v>08/09/2025 - 10/09/2025</v>
          </cell>
          <cell r="J213">
            <v>3</v>
          </cell>
          <cell r="K213" t="str">
            <v>Hotel</v>
          </cell>
          <cell r="L213" t="str">
            <v>05-09-2025 19:11:59</v>
          </cell>
          <cell r="M213" t="str">
            <v xml:space="preserve">Nemuru Grand Bhuvana Ciawi - 4.0 Stars  - </v>
          </cell>
          <cell r="N213" t="str">
            <v>OF OP DAN HAR SIS DIST</v>
          </cell>
          <cell r="O213">
            <v>7412000</v>
          </cell>
          <cell r="P213" t="str">
            <v>08/09/2025 14:00:00 - 09/09/2025 12:00:00</v>
          </cell>
          <cell r="Q213">
            <v>705000</v>
          </cell>
        </row>
        <row r="214">
          <cell r="A214">
            <v>1283290367</v>
          </cell>
          <cell r="B214" t="str">
            <v>9620548ZY</v>
          </cell>
          <cell r="C214" t="str">
            <v>BAGUS ALBARANU YULIATMOKO</v>
          </cell>
          <cell r="D214">
            <v>96207604</v>
          </cell>
          <cell r="E214">
            <v>4120177607</v>
          </cell>
          <cell r="F214">
            <v>54</v>
          </cell>
          <cell r="G214" t="str">
            <v>Perjalanan Dinas Non-Diklat</v>
          </cell>
          <cell r="H214" t="str">
            <v>Kota Makassar - Kab. Bogor</v>
          </cell>
          <cell r="I214" t="str">
            <v>08/09/2025 - 10/09/2025</v>
          </cell>
          <cell r="J214">
            <v>3</v>
          </cell>
          <cell r="K214" t="str">
            <v>Hotel</v>
          </cell>
          <cell r="L214" t="str">
            <v>09-09-2025 12:13:09</v>
          </cell>
          <cell r="M214" t="str">
            <v xml:space="preserve">THE 1O1 Jakarta Airport CBC - 4.0 Stars  - </v>
          </cell>
          <cell r="N214" t="str">
            <v>OF OP DAN HAR SIS DIST</v>
          </cell>
          <cell r="O214">
            <v>7412000</v>
          </cell>
          <cell r="P214" t="str">
            <v>09/09/2025 14:00:00 - 10/09/2025 12:00:00</v>
          </cell>
          <cell r="Q214">
            <v>840000</v>
          </cell>
        </row>
        <row r="215">
          <cell r="A215">
            <v>1282448709</v>
          </cell>
          <cell r="B215" t="str">
            <v>9620548ZY</v>
          </cell>
          <cell r="C215" t="str">
            <v>BAGUS ALBARANU YULIATMOKO</v>
          </cell>
          <cell r="D215">
            <v>96207604</v>
          </cell>
          <cell r="E215">
            <v>4120177607</v>
          </cell>
          <cell r="F215">
            <v>54</v>
          </cell>
          <cell r="G215" t="str">
            <v>Perjalanan Dinas Non-Diklat</v>
          </cell>
          <cell r="H215" t="str">
            <v>Kota Makassar - Kab. Bogor</v>
          </cell>
          <cell r="I215" t="str">
            <v>08/09/2025 - 10/09/2025</v>
          </cell>
          <cell r="J215">
            <v>3</v>
          </cell>
          <cell r="K215" t="str">
            <v>Flight One Way</v>
          </cell>
          <cell r="L215" t="str">
            <v>05-09-2025 20:57:46</v>
          </cell>
          <cell r="M215" t="str">
            <v>Garuda Indonesia Domestic UPG Hasanuddin GA-611 - Garuda Indonesia  CGK Soekarno Hatta International Airport GA-611</v>
          </cell>
          <cell r="N215" t="str">
            <v>OF OP DAN HAR SIS DIST</v>
          </cell>
          <cell r="O215">
            <v>7412000</v>
          </cell>
          <cell r="P215" t="str">
            <v>08/09/2025 11:20:00 - 08/09/2025 12:45:00</v>
          </cell>
          <cell r="Q215">
            <v>2294000</v>
          </cell>
        </row>
        <row r="216">
          <cell r="A216">
            <v>1282579712</v>
          </cell>
          <cell r="B216" t="str">
            <v>93151392ZY</v>
          </cell>
          <cell r="C216" t="str">
            <v>SITTI FAUZIAH AHMAD</v>
          </cell>
          <cell r="D216">
            <v>93157614</v>
          </cell>
          <cell r="E216">
            <v>4120177606</v>
          </cell>
          <cell r="F216">
            <v>54</v>
          </cell>
          <cell r="G216" t="str">
            <v>Perjalanan Dinas Non-Diklat</v>
          </cell>
          <cell r="H216" t="str">
            <v>Kota Makassar - Kab. Bogor</v>
          </cell>
          <cell r="I216" t="str">
            <v>07/09/2025 - 10/09/2025</v>
          </cell>
          <cell r="J216">
            <v>4</v>
          </cell>
          <cell r="K216" t="str">
            <v>Flight One Way</v>
          </cell>
          <cell r="L216" t="str">
            <v>06-09-2025 12:15:39</v>
          </cell>
          <cell r="M216" t="str">
            <v>Garuda Indonesia Domestic UPG Hasanuddin GA-641 - Garuda Indonesia  CGK Soekarno Hatta International Airport GA-641</v>
          </cell>
          <cell r="N216" t="str">
            <v>OF DAL P2TL</v>
          </cell>
          <cell r="O216">
            <v>7412000</v>
          </cell>
          <cell r="P216" t="str">
            <v>07/09/2025 12:15:00 - 07/09/2025 13:40:00</v>
          </cell>
          <cell r="Q216">
            <v>2335900</v>
          </cell>
        </row>
        <row r="217">
          <cell r="A217">
            <v>1283258169</v>
          </cell>
          <cell r="B217" t="str">
            <v>93151392ZY</v>
          </cell>
          <cell r="C217" t="str">
            <v>SITTI FAUZIAH AHMAD</v>
          </cell>
          <cell r="D217">
            <v>93157614</v>
          </cell>
          <cell r="E217">
            <v>4120177606</v>
          </cell>
          <cell r="F217">
            <v>54</v>
          </cell>
          <cell r="G217" t="str">
            <v>Perjalanan Dinas Non-Diklat</v>
          </cell>
          <cell r="H217" t="str">
            <v>Kota Makassar - Kab. Bogor</v>
          </cell>
          <cell r="I217" t="str">
            <v>07/09/2025 - 10/09/2025</v>
          </cell>
          <cell r="J217">
            <v>4</v>
          </cell>
          <cell r="K217" t="str">
            <v>Flight One Way</v>
          </cell>
          <cell r="L217" t="str">
            <v>09-09-2025 10:24:15</v>
          </cell>
          <cell r="M217" t="str">
            <v>Garuda Indonesia  CGK Soekarno Hatta International Airport GA-612 - Garuda Indonesia Domestic UPG Hasanuddin GA-612</v>
          </cell>
          <cell r="N217" t="str">
            <v>OF DAL P2TL</v>
          </cell>
          <cell r="O217">
            <v>7412000</v>
          </cell>
          <cell r="P217" t="str">
            <v>10/09/2025 14:25:00 - 10/09/2025 18:00:00</v>
          </cell>
          <cell r="Q217">
            <v>2235500</v>
          </cell>
        </row>
        <row r="218">
          <cell r="A218">
            <v>1282362057</v>
          </cell>
          <cell r="B218" t="str">
            <v>8809009F</v>
          </cell>
          <cell r="C218" t="str">
            <v>ISKANDAR AZHAR</v>
          </cell>
          <cell r="D218">
            <v>88097609</v>
          </cell>
          <cell r="E218">
            <v>4120177611</v>
          </cell>
          <cell r="F218">
            <v>54</v>
          </cell>
          <cell r="G218" t="str">
            <v>Perjalanan Dinas Non-Diklat</v>
          </cell>
          <cell r="H218" t="str">
            <v>KotaMakassar-KotaBogor</v>
          </cell>
          <cell r="I218" t="str">
            <v>07/09/2025 - 10/09/2025</v>
          </cell>
          <cell r="J218">
            <v>4</v>
          </cell>
          <cell r="K218" t="str">
            <v>Hotel</v>
          </cell>
          <cell r="L218" t="str">
            <v>05-09-2025 15:12:21</v>
          </cell>
          <cell r="M218" t="str">
            <v xml:space="preserve">Hotel Santika Bogor - 3.0 Stars  - </v>
          </cell>
          <cell r="N218" t="str">
            <v>ASMAN P2TL</v>
          </cell>
          <cell r="O218">
            <v>7412000</v>
          </cell>
          <cell r="P218" t="str">
            <v>07/09/2025 14:00:00 - 09/09/2025 12:00:00</v>
          </cell>
          <cell r="Q218">
            <v>1804000</v>
          </cell>
        </row>
        <row r="219">
          <cell r="A219">
            <v>1283269952</v>
          </cell>
          <cell r="B219" t="str">
            <v>8809009F</v>
          </cell>
          <cell r="C219" t="str">
            <v>ISKANDAR AZHAR</v>
          </cell>
          <cell r="D219">
            <v>88097609</v>
          </cell>
          <cell r="E219">
            <v>4120177611</v>
          </cell>
          <cell r="F219">
            <v>54</v>
          </cell>
          <cell r="G219" t="str">
            <v>Perjalanan Dinas Non-Diklat</v>
          </cell>
          <cell r="H219" t="str">
            <v>KotaMakassar-KotaBogor</v>
          </cell>
          <cell r="I219" t="str">
            <v>07/09/2025 - 10/09/2025</v>
          </cell>
          <cell r="J219">
            <v>4</v>
          </cell>
          <cell r="K219" t="str">
            <v>Flight One Way</v>
          </cell>
          <cell r="L219" t="str">
            <v>09-09-2025 11:04:38</v>
          </cell>
          <cell r="M219" t="str">
            <v>Garuda Indonesia  CGK Soekarno Hatta International Airport GA-612 - Garuda Indonesia Domestic UPG Hasanuddin GA-612</v>
          </cell>
          <cell r="N219" t="str">
            <v>ASMAN P2TL</v>
          </cell>
          <cell r="O219">
            <v>7412000</v>
          </cell>
          <cell r="P219" t="str">
            <v>10/09/2025 14:25:00 - 10/09/2025 18:00:00</v>
          </cell>
          <cell r="Q219">
            <v>2235500</v>
          </cell>
        </row>
        <row r="220">
          <cell r="A220">
            <v>1282579388</v>
          </cell>
          <cell r="B220" t="str">
            <v>8809009F</v>
          </cell>
          <cell r="C220" t="str">
            <v>ISKANDAR AZHAR</v>
          </cell>
          <cell r="D220">
            <v>88097609</v>
          </cell>
          <cell r="E220">
            <v>4120177611</v>
          </cell>
          <cell r="F220">
            <v>54</v>
          </cell>
          <cell r="G220" t="str">
            <v>Perjalanan Dinas Non-Diklat</v>
          </cell>
          <cell r="H220" t="str">
            <v>KotaMakassar-KotaBogor</v>
          </cell>
          <cell r="I220" t="str">
            <v>07/09/2025 - 10/09/2025</v>
          </cell>
          <cell r="J220">
            <v>4</v>
          </cell>
          <cell r="K220" t="str">
            <v>Flight One Way</v>
          </cell>
          <cell r="L220" t="str">
            <v>06-09-2025 12:14:33</v>
          </cell>
          <cell r="M220" t="str">
            <v>Garuda Indonesia Domestic UPG Hasanuddin GA-641 - Garuda Indonesia  CGK Soekarno Hatta International Airport GA-641</v>
          </cell>
          <cell r="N220" t="str">
            <v>ASMAN P2TL</v>
          </cell>
          <cell r="O220">
            <v>7412000</v>
          </cell>
          <cell r="P220" t="str">
            <v>07/09/2025 12:15:00 - 07/09/2025 13:40:00</v>
          </cell>
          <cell r="Q220">
            <v>2335900</v>
          </cell>
        </row>
        <row r="221">
          <cell r="A221">
            <v>1282363266</v>
          </cell>
          <cell r="B221" t="str">
            <v>8809009F</v>
          </cell>
          <cell r="C221" t="str">
            <v>ISKANDAR AZHAR</v>
          </cell>
          <cell r="D221">
            <v>88097609</v>
          </cell>
          <cell r="E221">
            <v>4120177611</v>
          </cell>
          <cell r="F221">
            <v>54</v>
          </cell>
          <cell r="G221" t="str">
            <v>Perjalanan Dinas Non-Diklat</v>
          </cell>
          <cell r="H221" t="str">
            <v>KotaMakassar-KotaBogor</v>
          </cell>
          <cell r="I221" t="str">
            <v>07/09/2025 - 10/09/2025</v>
          </cell>
          <cell r="J221">
            <v>4</v>
          </cell>
          <cell r="K221" t="str">
            <v>Hotel</v>
          </cell>
          <cell r="L221" t="str">
            <v>05-09-2025 15:16:44</v>
          </cell>
          <cell r="M221" t="str">
            <v xml:space="preserve">Hotel Santika Bogor - 3.0 Stars  - </v>
          </cell>
          <cell r="N221" t="str">
            <v>ASMAN P2TL</v>
          </cell>
          <cell r="O221">
            <v>7412000</v>
          </cell>
          <cell r="P221" t="str">
            <v>09/09/2025 14:00:00 - 10/09/2025 12:00:00</v>
          </cell>
          <cell r="Q221">
            <v>935000</v>
          </cell>
        </row>
        <row r="222">
          <cell r="A222">
            <v>1282894851</v>
          </cell>
          <cell r="B222" t="str">
            <v>9419965ZY</v>
          </cell>
          <cell r="C222" t="str">
            <v>ABDURACHMAN ALHOFIKI</v>
          </cell>
          <cell r="D222">
            <v>94197605</v>
          </cell>
          <cell r="E222">
            <v>4120177602</v>
          </cell>
          <cell r="F222">
            <v>54</v>
          </cell>
          <cell r="G222" t="str">
            <v>Perjalanan Dinas Non-Diklat</v>
          </cell>
          <cell r="H222" t="str">
            <v>Kota Makassar - Kota Bogor</v>
          </cell>
          <cell r="I222" t="str">
            <v>08/09/2025 - 10/09/2025</v>
          </cell>
          <cell r="J222">
            <v>3</v>
          </cell>
          <cell r="K222" t="str">
            <v>Hotel</v>
          </cell>
          <cell r="L222" t="str">
            <v>07-09-2025 18:43:37</v>
          </cell>
          <cell r="M222" t="str">
            <v xml:space="preserve">THE 1O1 Jakarta Airport CBC - 4.0 Stars  - </v>
          </cell>
          <cell r="N222" t="str">
            <v>OF KIN FAS OP</v>
          </cell>
          <cell r="O222">
            <v>7408341</v>
          </cell>
          <cell r="P222" t="str">
            <v>09/09/2025 14:00:00 - 10/09/2025 12:00:00</v>
          </cell>
          <cell r="Q222">
            <v>840000</v>
          </cell>
        </row>
        <row r="223">
          <cell r="A223">
            <v>1282333652</v>
          </cell>
          <cell r="B223" t="str">
            <v>9419965ZY</v>
          </cell>
          <cell r="C223" t="str">
            <v>ABDURACHMAN ALHOFIKI</v>
          </cell>
          <cell r="D223">
            <v>94197605</v>
          </cell>
          <cell r="E223">
            <v>4120177602</v>
          </cell>
          <cell r="F223">
            <v>54</v>
          </cell>
          <cell r="G223" t="str">
            <v>Perjalanan Dinas Non-Diklat</v>
          </cell>
          <cell r="H223" t="str">
            <v>Kota Makassar - Kota Bogor</v>
          </cell>
          <cell r="I223" t="str">
            <v>08/09/2025 - 10/09/2025</v>
          </cell>
          <cell r="J223">
            <v>3</v>
          </cell>
          <cell r="K223" t="str">
            <v>Flight One Way</v>
          </cell>
          <cell r="L223" t="str">
            <v>05-09-2025 13:32:01</v>
          </cell>
          <cell r="M223" t="str">
            <v>Batik Air 2D CGK Soekarno Hatta International Airport ID-6292 - Batik Air Domestic UPG Hasanuddin ID-6292</v>
          </cell>
          <cell r="N223" t="str">
            <v>OF KIN FAS OP</v>
          </cell>
          <cell r="O223">
            <v>7408341</v>
          </cell>
          <cell r="P223" t="str">
            <v>10/09/2025 09:00:00 - 10/09/2025 12:20:00</v>
          </cell>
          <cell r="Q223">
            <v>1750000</v>
          </cell>
        </row>
        <row r="224">
          <cell r="A224">
            <v>1282328697</v>
          </cell>
          <cell r="B224" t="str">
            <v>9419965ZY</v>
          </cell>
          <cell r="C224" t="str">
            <v>ABDURACHMAN ALHOFIKI</v>
          </cell>
          <cell r="D224">
            <v>94197605</v>
          </cell>
          <cell r="E224">
            <v>4120177602</v>
          </cell>
          <cell r="F224">
            <v>54</v>
          </cell>
          <cell r="G224" t="str">
            <v>Perjalanan Dinas Non-Diklat</v>
          </cell>
          <cell r="H224" t="str">
            <v>Kota Makassar - Kota Bogor</v>
          </cell>
          <cell r="I224" t="str">
            <v>08/09/2025 - 10/09/2025</v>
          </cell>
          <cell r="J224">
            <v>3</v>
          </cell>
          <cell r="K224" t="str">
            <v>Hotel</v>
          </cell>
          <cell r="L224" t="str">
            <v>05-09-2025 13:15:15</v>
          </cell>
          <cell r="M224" t="str">
            <v xml:space="preserve">Nemuru Grand Bhuvana Ciawi - 4.0 Stars  - </v>
          </cell>
          <cell r="N224" t="str">
            <v>OF KIN FAS OP</v>
          </cell>
          <cell r="O224">
            <v>7408341</v>
          </cell>
          <cell r="P224" t="str">
            <v>08/09/2025 14:00:00 - 09/09/2025 12:00:00</v>
          </cell>
          <cell r="Q224">
            <v>705000</v>
          </cell>
        </row>
        <row r="225">
          <cell r="A225">
            <v>1282316897</v>
          </cell>
          <cell r="B225" t="str">
            <v>9419965ZY</v>
          </cell>
          <cell r="C225" t="str">
            <v>ABDURACHMAN ALHOFIKI</v>
          </cell>
          <cell r="D225">
            <v>94197605</v>
          </cell>
          <cell r="E225">
            <v>4120177602</v>
          </cell>
          <cell r="F225">
            <v>54</v>
          </cell>
          <cell r="G225" t="str">
            <v>Perjalanan Dinas Non-Diklat</v>
          </cell>
          <cell r="H225" t="str">
            <v>Kota Makassar - Kota Bogor</v>
          </cell>
          <cell r="I225" t="str">
            <v>08/09/2025 - 10/09/2025</v>
          </cell>
          <cell r="J225">
            <v>3</v>
          </cell>
          <cell r="K225" t="str">
            <v>Flight One Way</v>
          </cell>
          <cell r="L225" t="str">
            <v>05-09-2025 12:35:12</v>
          </cell>
          <cell r="M225" t="str">
            <v>Garuda Indonesia Domestic UPG Hasanuddin GA-613 - Garuda Indonesia  CGK Soekarno Hatta International Airport GA-613</v>
          </cell>
          <cell r="N225" t="str">
            <v>OF KIN FAS OP</v>
          </cell>
          <cell r="O225">
            <v>7408341</v>
          </cell>
          <cell r="P225" t="str">
            <v>08/09/2025 13:00:00 - 08/09/2025 14:25:00</v>
          </cell>
          <cell r="Q225">
            <v>2347100</v>
          </cell>
        </row>
        <row r="226">
          <cell r="A226">
            <v>1282974400</v>
          </cell>
          <cell r="B226" t="str">
            <v>9817018FBY</v>
          </cell>
          <cell r="C226" t="str">
            <v>ANDI DEDE HAFIZULLAH</v>
          </cell>
          <cell r="D226">
            <v>98177609</v>
          </cell>
          <cell r="E226">
            <v>4120177596</v>
          </cell>
          <cell r="F226">
            <v>54</v>
          </cell>
          <cell r="G226" t="str">
            <v>Perjalanan Dinas Non-Diklat</v>
          </cell>
          <cell r="H226" t="str">
            <v>Kab. Bulukumba - Kab. Bone</v>
          </cell>
          <cell r="I226" t="str">
            <v>08/09/2025 - 12/09/2025</v>
          </cell>
          <cell r="J226">
            <v>5</v>
          </cell>
          <cell r="K226" t="str">
            <v>Hotel</v>
          </cell>
          <cell r="L226" t="str">
            <v>08-09-2025 08:01:00</v>
          </cell>
          <cell r="M226" t="str">
            <v xml:space="preserve">Hotel Ayu Sengkang - 0.0 Stars  - </v>
          </cell>
          <cell r="N226" t="str">
            <v>JTC PDKB</v>
          </cell>
          <cell r="O226">
            <v>7409271</v>
          </cell>
          <cell r="P226" t="str">
            <v>08/09/2025 14:00:00 - 09/09/2025 12:00:00</v>
          </cell>
          <cell r="Q226">
            <v>250000</v>
          </cell>
        </row>
        <row r="227">
          <cell r="A227">
            <v>1282845029</v>
          </cell>
          <cell r="B227" t="str">
            <v>9817018FBY</v>
          </cell>
          <cell r="C227" t="str">
            <v>ANDI DEDE HAFIZULLAH</v>
          </cell>
          <cell r="D227">
            <v>98177609</v>
          </cell>
          <cell r="E227">
            <v>4120177596</v>
          </cell>
          <cell r="F227">
            <v>54</v>
          </cell>
          <cell r="G227" t="str">
            <v>Perjalanan Dinas Non-Diklat</v>
          </cell>
          <cell r="H227" t="str">
            <v>Kab. Bulukumba - Kab. Bone</v>
          </cell>
          <cell r="I227" t="str">
            <v>08/09/2025 - 12/09/2025</v>
          </cell>
          <cell r="J227">
            <v>5</v>
          </cell>
          <cell r="K227" t="str">
            <v>Hotel</v>
          </cell>
          <cell r="L227" t="str">
            <v>07-09-2025 14:34:31</v>
          </cell>
          <cell r="M227" t="str">
            <v xml:space="preserve">Hotel Novena - 3.0 Stars  - </v>
          </cell>
          <cell r="N227" t="str">
            <v>JTC PDKB</v>
          </cell>
          <cell r="O227">
            <v>7409271</v>
          </cell>
          <cell r="P227" t="str">
            <v>09/09/2025 14:00:00 - 11/09/2025 12:00:00</v>
          </cell>
          <cell r="Q227">
            <v>1260000</v>
          </cell>
        </row>
        <row r="228">
          <cell r="A228">
            <v>1282850479</v>
          </cell>
          <cell r="B228" t="str">
            <v>9717086FBY</v>
          </cell>
          <cell r="C228" t="str">
            <v>RIVAD YUNUS</v>
          </cell>
          <cell r="D228">
            <v>97177623</v>
          </cell>
          <cell r="E228">
            <v>4120177593</v>
          </cell>
          <cell r="F228">
            <v>54</v>
          </cell>
          <cell r="G228" t="str">
            <v>Perjalanan Dinas Non-Diklat</v>
          </cell>
          <cell r="H228" t="str">
            <v>Kab. Bulukumba - Kab. Bone</v>
          </cell>
          <cell r="I228" t="str">
            <v>08/09/2025 - 12/09/2025</v>
          </cell>
          <cell r="J228">
            <v>5</v>
          </cell>
          <cell r="K228" t="str">
            <v>Hotel</v>
          </cell>
          <cell r="L228" t="str">
            <v>07-09-2025 15:00:26</v>
          </cell>
          <cell r="M228" t="str">
            <v xml:space="preserve">Hotel Novena - 3.0 Stars  - </v>
          </cell>
          <cell r="N228" t="str">
            <v>JTC PDKB</v>
          </cell>
          <cell r="O228">
            <v>7409271</v>
          </cell>
          <cell r="P228" t="str">
            <v>09/09/2025 14:00:00 - 11/09/2025 12:00:00</v>
          </cell>
          <cell r="Q228">
            <v>900000</v>
          </cell>
        </row>
        <row r="229">
          <cell r="A229">
            <v>1282986077</v>
          </cell>
          <cell r="B229" t="str">
            <v>9717086FBY</v>
          </cell>
          <cell r="C229" t="str">
            <v>RIVAD YUNUS</v>
          </cell>
          <cell r="D229">
            <v>97177623</v>
          </cell>
          <cell r="E229">
            <v>4120177593</v>
          </cell>
          <cell r="F229">
            <v>54</v>
          </cell>
          <cell r="G229" t="str">
            <v>Perjalanan Dinas Non-Diklat</v>
          </cell>
          <cell r="H229" t="str">
            <v>Kab. Bulukumba - Kab. Bone</v>
          </cell>
          <cell r="I229" t="str">
            <v>08/09/2025 - 12/09/2025</v>
          </cell>
          <cell r="J229">
            <v>5</v>
          </cell>
          <cell r="K229" t="str">
            <v>Hotel</v>
          </cell>
          <cell r="L229" t="str">
            <v>08-09-2025 09:10:05</v>
          </cell>
          <cell r="M229" t="str">
            <v xml:space="preserve">Hotel Ayu Sengkang - 0.0 Stars  - </v>
          </cell>
          <cell r="N229" t="str">
            <v>JTC PDKB</v>
          </cell>
          <cell r="O229">
            <v>7409271</v>
          </cell>
          <cell r="P229" t="str">
            <v>08/09/2025 14:00:00 - 09/09/2025 12:00:00</v>
          </cell>
          <cell r="Q229">
            <v>250000</v>
          </cell>
        </row>
        <row r="230">
          <cell r="A230">
            <v>1282843869</v>
          </cell>
          <cell r="B230" t="str">
            <v>9617073FBY</v>
          </cell>
          <cell r="C230" t="str">
            <v>MUHAMMAD FATHUR RAYYAN</v>
          </cell>
          <cell r="D230">
            <v>96177621</v>
          </cell>
          <cell r="E230">
            <v>4120177592</v>
          </cell>
          <cell r="F230">
            <v>54</v>
          </cell>
          <cell r="G230" t="str">
            <v>Perjalanan Dinas Non-Diklat</v>
          </cell>
          <cell r="H230" t="str">
            <v>Kab. Bulukumba - Kab. Bone</v>
          </cell>
          <cell r="I230" t="str">
            <v>08/09/2025 - 12/09/2025</v>
          </cell>
          <cell r="J230">
            <v>5</v>
          </cell>
          <cell r="K230" t="str">
            <v>Hotel</v>
          </cell>
          <cell r="L230" t="str">
            <v>07-09-2025 14:28:58</v>
          </cell>
          <cell r="M230" t="str">
            <v xml:space="preserve">Hotel Novena - 3.0 Stars  - </v>
          </cell>
          <cell r="N230" t="str">
            <v>JTC PDKB</v>
          </cell>
          <cell r="O230">
            <v>7409271</v>
          </cell>
          <cell r="P230" t="str">
            <v>09/09/2025 14:00:00 - 11/09/2025 12:00:00</v>
          </cell>
          <cell r="Q230">
            <v>1260000</v>
          </cell>
        </row>
        <row r="231">
          <cell r="A231">
            <v>1282960886</v>
          </cell>
          <cell r="B231" t="str">
            <v>9617073FBY</v>
          </cell>
          <cell r="C231" t="str">
            <v>MUHAMMAD FATHUR RAYYAN</v>
          </cell>
          <cell r="D231">
            <v>96177621</v>
          </cell>
          <cell r="E231">
            <v>4120177592</v>
          </cell>
          <cell r="F231">
            <v>54</v>
          </cell>
          <cell r="G231" t="str">
            <v>Perjalanan Dinas Non-Diklat</v>
          </cell>
          <cell r="H231" t="str">
            <v>Kab. Bulukumba - Kab. Bone</v>
          </cell>
          <cell r="I231" t="str">
            <v>08/09/2025 - 12/09/2025</v>
          </cell>
          <cell r="J231">
            <v>5</v>
          </cell>
          <cell r="K231" t="str">
            <v>Hotel</v>
          </cell>
          <cell r="L231" t="str">
            <v>08-09-2025 05:21:24</v>
          </cell>
          <cell r="M231" t="str">
            <v xml:space="preserve">Hotel Ayu Sengkang - 0.0 Stars  - </v>
          </cell>
          <cell r="N231" t="str">
            <v>JTC PDKB</v>
          </cell>
          <cell r="O231">
            <v>7409271</v>
          </cell>
          <cell r="P231" t="str">
            <v>08/09/2025 14:00:00 - 09/09/2025 12:00:00</v>
          </cell>
          <cell r="Q231">
            <v>250000</v>
          </cell>
        </row>
        <row r="232">
          <cell r="A232">
            <v>1282984643</v>
          </cell>
          <cell r="B232" t="str">
            <v>9112086FY</v>
          </cell>
          <cell r="C232" t="str">
            <v xml:space="preserve">RUDIANSA </v>
          </cell>
          <cell r="D232">
            <v>91127625</v>
          </cell>
          <cell r="E232">
            <v>4120177598</v>
          </cell>
          <cell r="F232">
            <v>54</v>
          </cell>
          <cell r="G232" t="str">
            <v>Perjalanan Dinas Non-Diklat</v>
          </cell>
          <cell r="H232" t="str">
            <v>Kab. Bulukumba - Kab. Bone</v>
          </cell>
          <cell r="I232" t="str">
            <v>08/09/2025 - 12/09/2025</v>
          </cell>
          <cell r="J232">
            <v>5</v>
          </cell>
          <cell r="K232" t="str">
            <v>Hotel</v>
          </cell>
          <cell r="L232" t="str">
            <v>08-09-2025 09:02:45</v>
          </cell>
          <cell r="M232" t="str">
            <v xml:space="preserve">Hotel Ayu Sengkang - 0.0 Stars  - </v>
          </cell>
          <cell r="N232" t="str">
            <v>TC PDKB</v>
          </cell>
          <cell r="O232">
            <v>7409271</v>
          </cell>
          <cell r="P232" t="str">
            <v>08/09/2025 14:00:00 - 09/09/2025 12:00:00</v>
          </cell>
          <cell r="Q232">
            <v>250000</v>
          </cell>
        </row>
        <row r="233">
          <cell r="A233">
            <v>1282848469</v>
          </cell>
          <cell r="B233" t="str">
            <v>9112086FY</v>
          </cell>
          <cell r="C233" t="str">
            <v xml:space="preserve">RUDIANSA </v>
          </cell>
          <cell r="D233">
            <v>91127625</v>
          </cell>
          <cell r="E233">
            <v>4120177598</v>
          </cell>
          <cell r="F233">
            <v>54</v>
          </cell>
          <cell r="G233" t="str">
            <v>Perjalanan Dinas Non-Diklat</v>
          </cell>
          <cell r="H233" t="str">
            <v>Kab. Bulukumba - Kab. Bone</v>
          </cell>
          <cell r="I233" t="str">
            <v>08/09/2025 - 12/09/2025</v>
          </cell>
          <cell r="J233">
            <v>5</v>
          </cell>
          <cell r="K233" t="str">
            <v>Hotel</v>
          </cell>
          <cell r="L233" t="str">
            <v>07-09-2025 14:51:03</v>
          </cell>
          <cell r="M233" t="str">
            <v xml:space="preserve">Hotel Novena - 3.0 Stars  - </v>
          </cell>
          <cell r="N233" t="str">
            <v>TC PDKB</v>
          </cell>
          <cell r="O233">
            <v>7409271</v>
          </cell>
          <cell r="P233" t="str">
            <v>09/09/2025 14:00:00 - 11/09/2025 12:00:00</v>
          </cell>
          <cell r="Q233">
            <v>900000</v>
          </cell>
        </row>
        <row r="234">
          <cell r="A234">
            <v>1282844804</v>
          </cell>
          <cell r="B234" t="str">
            <v>9616049FY</v>
          </cell>
          <cell r="C234" t="str">
            <v>FERI ARDIANSYAH</v>
          </cell>
          <cell r="D234">
            <v>96167826</v>
          </cell>
          <cell r="E234">
            <v>4120177590</v>
          </cell>
          <cell r="F234">
            <v>54</v>
          </cell>
          <cell r="G234" t="str">
            <v>Perjalanan Dinas Non-Diklat</v>
          </cell>
          <cell r="H234" t="str">
            <v>Kab. Bulukumba - Kab. Bone</v>
          </cell>
          <cell r="I234" t="str">
            <v>08/09/2025 - 12/09/2025</v>
          </cell>
          <cell r="J234">
            <v>5</v>
          </cell>
          <cell r="K234" t="str">
            <v>Hotel</v>
          </cell>
          <cell r="L234" t="str">
            <v>07-09-2025 14:33:29</v>
          </cell>
          <cell r="M234" t="str">
            <v xml:space="preserve">Hotel Novena - 3.0 Stars  - </v>
          </cell>
          <cell r="N234" t="str">
            <v>JTC PDKB</v>
          </cell>
          <cell r="O234">
            <v>7409271</v>
          </cell>
          <cell r="P234" t="str">
            <v>09/09/2025 14:00:00 - 11/09/2025 12:00:00</v>
          </cell>
          <cell r="Q234">
            <v>1260000</v>
          </cell>
        </row>
        <row r="235">
          <cell r="A235">
            <v>1282961062</v>
          </cell>
          <cell r="B235" t="str">
            <v>9616049FY</v>
          </cell>
          <cell r="C235" t="str">
            <v>FERI ARDIANSYAH</v>
          </cell>
          <cell r="D235">
            <v>96167826</v>
          </cell>
          <cell r="E235">
            <v>4120177590</v>
          </cell>
          <cell r="F235">
            <v>54</v>
          </cell>
          <cell r="G235" t="str">
            <v>Perjalanan Dinas Non-Diklat</v>
          </cell>
          <cell r="H235" t="str">
            <v>Kab. Bulukumba - Kab. Bone</v>
          </cell>
          <cell r="I235" t="str">
            <v>08/09/2025 - 12/09/2025</v>
          </cell>
          <cell r="J235">
            <v>5</v>
          </cell>
          <cell r="K235" t="str">
            <v>Hotel</v>
          </cell>
          <cell r="L235" t="str">
            <v>08-09-2025 05:25:27</v>
          </cell>
          <cell r="M235" t="str">
            <v xml:space="preserve">Hotel Ayu Sengkang - 0.0 Stars  - </v>
          </cell>
          <cell r="N235" t="str">
            <v>JTC PDKB</v>
          </cell>
          <cell r="O235">
            <v>7409271</v>
          </cell>
          <cell r="P235" t="str">
            <v>08/09/2025 14:00:00 - 09/09/2025 12:00:00</v>
          </cell>
          <cell r="Q235">
            <v>250000</v>
          </cell>
        </row>
        <row r="236">
          <cell r="A236">
            <v>1282769219</v>
          </cell>
          <cell r="B236" t="str">
            <v>9014123ZY</v>
          </cell>
          <cell r="C236" t="str">
            <v>BAHAGIA KASPAR MONGAN</v>
          </cell>
          <cell r="D236">
            <v>90148000</v>
          </cell>
          <cell r="E236">
            <v>4120177605</v>
          </cell>
          <cell r="F236">
            <v>54</v>
          </cell>
          <cell r="G236" t="str">
            <v>Perjalanan Dinas Non-Diklat</v>
          </cell>
          <cell r="H236" t="str">
            <v>Kota Makassar - Kota Bogor</v>
          </cell>
          <cell r="I236" t="str">
            <v>05/09/2025 - 08/09/2025</v>
          </cell>
          <cell r="J236">
            <v>4</v>
          </cell>
          <cell r="K236" t="str">
            <v>Flight One Way</v>
          </cell>
          <cell r="L236" t="str">
            <v>07-09-2025 08:39:15</v>
          </cell>
          <cell r="M236" t="str">
            <v>Garuda Indonesia  CGK Soekarno Hatta International Airport GA-616 - Garuda Indonesia Domestic UPG Hasanuddin GA-616</v>
          </cell>
          <cell r="N236" t="str">
            <v>SOF LAKS DAN</v>
          </cell>
          <cell r="O236">
            <v>7412000</v>
          </cell>
          <cell r="P236" t="str">
            <v>08/09/2025 16:45:00 - 08/09/2025 20:20:00</v>
          </cell>
          <cell r="Q236">
            <v>2395700</v>
          </cell>
        </row>
        <row r="237">
          <cell r="A237">
            <v>1282172316</v>
          </cell>
          <cell r="B237" t="str">
            <v>8812081ZY</v>
          </cell>
          <cell r="C237" t="str">
            <v>SATRIA PRASAMYA</v>
          </cell>
          <cell r="D237">
            <v>88127601</v>
          </cell>
          <cell r="E237">
            <v>4120177604</v>
          </cell>
          <cell r="F237">
            <v>54</v>
          </cell>
          <cell r="G237" t="str">
            <v>Perjalanan Dinas Non-Diklat</v>
          </cell>
          <cell r="H237" t="str">
            <v>Kota Makassar - Kota Bogor</v>
          </cell>
          <cell r="I237" t="str">
            <v>05/09/2025 - 08/09/2025</v>
          </cell>
          <cell r="J237">
            <v>4</v>
          </cell>
          <cell r="K237" t="str">
            <v>Hotel</v>
          </cell>
          <cell r="L237" t="str">
            <v>04-09-2025 21:36:28</v>
          </cell>
          <cell r="M237" t="str">
            <v xml:space="preserve">HARRIS Hotel &amp; Convention Cibinong City Bogor - 4.0 Stars  - </v>
          </cell>
          <cell r="N237" t="str">
            <v>MAN REN DAN</v>
          </cell>
          <cell r="O237">
            <v>7412000</v>
          </cell>
          <cell r="P237" t="str">
            <v>05/09/2025 14:00:00 - 08/09/2025 12:00:00</v>
          </cell>
          <cell r="Q237">
            <v>4380000</v>
          </cell>
        </row>
        <row r="238">
          <cell r="A238">
            <v>1282156176</v>
          </cell>
          <cell r="B238" t="str">
            <v>8812081ZY</v>
          </cell>
          <cell r="C238" t="str">
            <v>SATRIA PRASAMYA</v>
          </cell>
          <cell r="D238">
            <v>88127601</v>
          </cell>
          <cell r="E238">
            <v>4120177604</v>
          </cell>
          <cell r="F238">
            <v>54</v>
          </cell>
          <cell r="G238" t="str">
            <v>Perjalanan Dinas Non-Diklat</v>
          </cell>
          <cell r="H238" t="str">
            <v>Kota Makassar - Kota Bogor</v>
          </cell>
          <cell r="I238" t="str">
            <v>05/09/2025 - 08/09/2025</v>
          </cell>
          <cell r="J238">
            <v>4</v>
          </cell>
          <cell r="K238" t="str">
            <v>Flight One Way</v>
          </cell>
          <cell r="L238" t="str">
            <v>04-09-2025 20:40:21</v>
          </cell>
          <cell r="M238" t="str">
            <v>Garuda Indonesia Domestic UPG Hasanuddin GA-641 - Garuda Indonesia  CGK Soekarno Hatta International Airport GA-641</v>
          </cell>
          <cell r="N238" t="str">
            <v>MAN REN DAN</v>
          </cell>
          <cell r="O238">
            <v>7412000</v>
          </cell>
          <cell r="P238" t="str">
            <v>05/09/2025 12:15:00 - 05/09/2025 13:40:00</v>
          </cell>
          <cell r="Q238">
            <v>2335900</v>
          </cell>
        </row>
        <row r="239">
          <cell r="A239">
            <v>1282776518</v>
          </cell>
          <cell r="B239" t="str">
            <v>8812081ZY</v>
          </cell>
          <cell r="C239" t="str">
            <v>SATRIA PRASAMYA</v>
          </cell>
          <cell r="D239">
            <v>88127601</v>
          </cell>
          <cell r="E239">
            <v>4120177604</v>
          </cell>
          <cell r="F239">
            <v>54</v>
          </cell>
          <cell r="G239" t="str">
            <v>Perjalanan Dinas Non-Diklat</v>
          </cell>
          <cell r="H239" t="str">
            <v>Kota Makassar - Kota Bogor</v>
          </cell>
          <cell r="I239" t="str">
            <v>05/09/2025 - 08/09/2025</v>
          </cell>
          <cell r="J239">
            <v>4</v>
          </cell>
          <cell r="K239" t="str">
            <v>Flight One Way</v>
          </cell>
          <cell r="L239" t="str">
            <v>07-09-2025 09:20:10</v>
          </cell>
          <cell r="M239" t="str">
            <v>Garuda Indonesia  CGK Soekarno Hatta International Airport GA-612 - Garuda Indonesia Domestic UPG Hasanuddin GA-612</v>
          </cell>
          <cell r="N239" t="str">
            <v>MAN REN DAN</v>
          </cell>
          <cell r="O239">
            <v>7412000</v>
          </cell>
          <cell r="P239" t="str">
            <v>08/09/2025 14:25:00 - 08/09/2025 18:00:00</v>
          </cell>
          <cell r="Q239">
            <v>2395700</v>
          </cell>
        </row>
        <row r="240">
          <cell r="A240">
            <v>1282904319</v>
          </cell>
          <cell r="B240" t="str">
            <v>8509300Z</v>
          </cell>
          <cell r="C240" t="str">
            <v>AGUS HARI WIBOWO</v>
          </cell>
          <cell r="D240">
            <v>85097602</v>
          </cell>
          <cell r="E240">
            <v>4120177603</v>
          </cell>
          <cell r="F240">
            <v>54</v>
          </cell>
          <cell r="G240" t="str">
            <v>Perjalanan Dinas Non-Diklat</v>
          </cell>
          <cell r="H240" t="str">
            <v>Kota Makassar - Kota Bogor</v>
          </cell>
          <cell r="I240" t="str">
            <v>05/09/2025 - 08/09/2025</v>
          </cell>
          <cell r="J240">
            <v>4</v>
          </cell>
          <cell r="K240" t="str">
            <v>Hotel</v>
          </cell>
          <cell r="L240" t="str">
            <v>07-09-2025 19:31:10</v>
          </cell>
          <cell r="M240" t="str">
            <v xml:space="preserve">JS Luwansa Hotel And Convention Center - 4.0 Stars  - </v>
          </cell>
          <cell r="N240" t="str">
            <v>SOF REN SIS KELIST</v>
          </cell>
          <cell r="O240">
            <v>7412112</v>
          </cell>
          <cell r="P240" t="str">
            <v>07/09/2025 14:00:00 - 08/09/2025 12:00:00</v>
          </cell>
          <cell r="Q240">
            <v>965925</v>
          </cell>
        </row>
        <row r="241">
          <cell r="A241">
            <v>1282758201</v>
          </cell>
          <cell r="B241" t="str">
            <v>8509300Z</v>
          </cell>
          <cell r="C241" t="str">
            <v>AGUS HARI WIBOWO</v>
          </cell>
          <cell r="D241">
            <v>85097602</v>
          </cell>
          <cell r="E241">
            <v>4120177603</v>
          </cell>
          <cell r="F241">
            <v>54</v>
          </cell>
          <cell r="G241" t="str">
            <v>Perjalanan Dinas Non-Diklat</v>
          </cell>
          <cell r="H241" t="str">
            <v>Kota Makassar - Kota Bogor</v>
          </cell>
          <cell r="I241" t="str">
            <v>05/09/2025 - 08/09/2025</v>
          </cell>
          <cell r="J241">
            <v>4</v>
          </cell>
          <cell r="K241" t="str">
            <v>Flight One Way</v>
          </cell>
          <cell r="L241" t="str">
            <v>07-09-2025 07:19:18</v>
          </cell>
          <cell r="M241" t="str">
            <v>Pelita Air 3 CGK Soekarno Hatta International Airport IP-808 - Pelita Air  UPG Hasanuddin IP-808</v>
          </cell>
          <cell r="N241" t="str">
            <v>SOF REN SIS KELIST</v>
          </cell>
          <cell r="O241">
            <v>7412112</v>
          </cell>
          <cell r="P241" t="str">
            <v>08/09/2025 10:55:00 - 08/09/2025 14:20:00</v>
          </cell>
          <cell r="Q241">
            <v>1752500</v>
          </cell>
        </row>
        <row r="242">
          <cell r="A242">
            <v>1282169844</v>
          </cell>
          <cell r="B242" t="str">
            <v>8509300Z</v>
          </cell>
          <cell r="C242" t="str">
            <v>AGUS HARI WIBOWO</v>
          </cell>
          <cell r="D242">
            <v>85097602</v>
          </cell>
          <cell r="E242">
            <v>4120177603</v>
          </cell>
          <cell r="F242">
            <v>54</v>
          </cell>
          <cell r="G242" t="str">
            <v>Perjalanan Dinas Non-Diklat</v>
          </cell>
          <cell r="H242" t="str">
            <v>Kota Makassar - Kota Bogor</v>
          </cell>
          <cell r="I242" t="str">
            <v>05/09/2025 - 08/09/2025</v>
          </cell>
          <cell r="J242">
            <v>4</v>
          </cell>
          <cell r="K242" t="str">
            <v>Flight One Way</v>
          </cell>
          <cell r="L242" t="str">
            <v>04-09-2025 21:28:07</v>
          </cell>
          <cell r="M242" t="str">
            <v>Batik Air Domestic UPG Hasanuddin ID-6293 - Batik Air 2D CGK Soekarno Hatta International Airport ID-6293</v>
          </cell>
          <cell r="N242" t="str">
            <v>SOF REN SIS KELIST</v>
          </cell>
          <cell r="O242">
            <v>7412112</v>
          </cell>
          <cell r="P242" t="str">
            <v>05/09/2025 18:00:00 - 05/09/2025 19:20:00</v>
          </cell>
          <cell r="Q242">
            <v>1140600</v>
          </cell>
        </row>
        <row r="243">
          <cell r="A243">
            <v>1284005588</v>
          </cell>
          <cell r="B243" t="str">
            <v>8509300Z</v>
          </cell>
          <cell r="C243" t="str">
            <v>AGUS HARI WIBOWO</v>
          </cell>
          <cell r="D243">
            <v>85097602</v>
          </cell>
          <cell r="E243">
            <v>4120177603</v>
          </cell>
          <cell r="F243">
            <v>54</v>
          </cell>
          <cell r="G243" t="str">
            <v>Perjalanan Dinas Non-Diklat</v>
          </cell>
          <cell r="H243" t="str">
            <v>KotaMakassar-KotaBogor-Jakarta</v>
          </cell>
          <cell r="I243" t="str">
            <v>05/09/2025 - 13/09/2025</v>
          </cell>
          <cell r="J243">
            <v>9</v>
          </cell>
          <cell r="K243" t="str">
            <v>Hotel</v>
          </cell>
          <cell r="L243" t="str">
            <v>12-09-2025 10:21:16</v>
          </cell>
          <cell r="M243" t="str">
            <v xml:space="preserve">Days Hotel and Suites Jakarta airport - 3.0 Stars  - </v>
          </cell>
          <cell r="N243" t="str">
            <v>SOF REN SIS KELIST</v>
          </cell>
          <cell r="O243">
            <v>7412112</v>
          </cell>
          <cell r="P243" t="str">
            <v>12/09/2025 14:00:00 - 13/09/2025 12:00:00</v>
          </cell>
          <cell r="Q243">
            <v>700000</v>
          </cell>
        </row>
        <row r="244">
          <cell r="A244">
            <v>1283857365</v>
          </cell>
          <cell r="B244" t="str">
            <v>8509300Z</v>
          </cell>
          <cell r="C244" t="str">
            <v>AGUS HARI WIBOWO</v>
          </cell>
          <cell r="D244">
            <v>85097602</v>
          </cell>
          <cell r="E244">
            <v>4120177603</v>
          </cell>
          <cell r="F244">
            <v>54</v>
          </cell>
          <cell r="G244" t="str">
            <v>Perjalanan Dinas Non-Diklat</v>
          </cell>
          <cell r="H244" t="str">
            <v>KotaMakassar-KotaBogor-Jakarta</v>
          </cell>
          <cell r="I244" t="str">
            <v>05/09/2025 - 13/09/2025</v>
          </cell>
          <cell r="J244">
            <v>9</v>
          </cell>
          <cell r="K244" t="str">
            <v>Hotel</v>
          </cell>
          <cell r="L244" t="str">
            <v>11-09-2025 16:50:32</v>
          </cell>
          <cell r="M244" t="str">
            <v xml:space="preserve">Swiss-Belresidences Rasuna Epicentrum - 4.0 Stars  - </v>
          </cell>
          <cell r="N244" t="str">
            <v>SOF REN SIS KELIST</v>
          </cell>
          <cell r="O244">
            <v>7412112</v>
          </cell>
          <cell r="P244" t="str">
            <v>11/09/2025 14:00:00 - 12/09/2025 12:00:00</v>
          </cell>
          <cell r="Q244">
            <v>735000</v>
          </cell>
        </row>
        <row r="245">
          <cell r="A245">
            <v>1282465156</v>
          </cell>
          <cell r="B245" t="str">
            <v>7905002N</v>
          </cell>
          <cell r="C245" t="str">
            <v>RULI RIZALUDDIN</v>
          </cell>
          <cell r="D245">
            <v>79055400</v>
          </cell>
          <cell r="E245">
            <v>4120177600</v>
          </cell>
          <cell r="F245">
            <v>54</v>
          </cell>
          <cell r="G245" t="str">
            <v>Perjalanan Dinas Non-Diklat</v>
          </cell>
          <cell r="H245" t="str">
            <v>Kota Makassar - Kota Bogor</v>
          </cell>
          <cell r="I245" t="str">
            <v>05/09/2025 - 08/09/2025</v>
          </cell>
          <cell r="J245">
            <v>4</v>
          </cell>
          <cell r="K245" t="str">
            <v>Hotel</v>
          </cell>
          <cell r="L245" t="str">
            <v>05-09-2025 22:08:04</v>
          </cell>
          <cell r="M245" t="str">
            <v xml:space="preserve">HARRIS Hotel &amp; Convention Cibinong City Bogor - 4.0 Stars  - </v>
          </cell>
          <cell r="N245" t="str">
            <v>MUP UP2K (PROV SULSEL)</v>
          </cell>
          <cell r="O245">
            <v>7412000</v>
          </cell>
          <cell r="P245" t="str">
            <v>05/09/2025 14:00:00 - 07/09/2025 12:00:00</v>
          </cell>
          <cell r="Q245">
            <v>2820000</v>
          </cell>
        </row>
        <row r="246">
          <cell r="A246">
            <v>1283475142</v>
          </cell>
          <cell r="B246" t="str">
            <v>7905002N</v>
          </cell>
          <cell r="C246" t="str">
            <v>RULI RIZALUDDIN</v>
          </cell>
          <cell r="D246">
            <v>79055400</v>
          </cell>
          <cell r="E246">
            <v>4120177600</v>
          </cell>
          <cell r="F246">
            <v>54</v>
          </cell>
          <cell r="G246" t="str">
            <v>Perjalanan Dinas Non-Diklat</v>
          </cell>
          <cell r="H246" t="str">
            <v>Kota Makassar - Kota Bogor</v>
          </cell>
          <cell r="I246" t="str">
            <v>05/09/2025 - 13/09/2025</v>
          </cell>
          <cell r="J246">
            <v>9</v>
          </cell>
          <cell r="K246" t="str">
            <v>Hotel</v>
          </cell>
          <cell r="L246" t="str">
            <v>10-09-2025 06:00:54</v>
          </cell>
          <cell r="M246" t="str">
            <v xml:space="preserve">JS Luwansa Hotel And Convention Center - 4.0 Stars  - </v>
          </cell>
          <cell r="N246" t="str">
            <v>MUP UP2K (PROV SULSEL)</v>
          </cell>
          <cell r="O246">
            <v>7412000</v>
          </cell>
          <cell r="P246" t="str">
            <v>10/09/2025 14:00:00 - 11/09/2025 12:00:00</v>
          </cell>
          <cell r="Q246">
            <v>1237500</v>
          </cell>
        </row>
        <row r="247">
          <cell r="A247">
            <v>1283374037</v>
          </cell>
          <cell r="B247" t="str">
            <v>7905002N</v>
          </cell>
          <cell r="C247" t="str">
            <v>RULI RIZALUDDIN</v>
          </cell>
          <cell r="D247">
            <v>79055400</v>
          </cell>
          <cell r="E247">
            <v>4120177600</v>
          </cell>
          <cell r="F247">
            <v>54</v>
          </cell>
          <cell r="G247" t="str">
            <v>Perjalanan Dinas Non-Diklat</v>
          </cell>
          <cell r="H247" t="str">
            <v>Kota Makassar - Kota Bogor</v>
          </cell>
          <cell r="I247" t="str">
            <v>05/09/2025 - 13/09/2025</v>
          </cell>
          <cell r="J247">
            <v>9</v>
          </cell>
          <cell r="K247" t="str">
            <v>Hotel</v>
          </cell>
          <cell r="L247" t="str">
            <v>09-09-2025 17:45:19</v>
          </cell>
          <cell r="M247" t="str">
            <v xml:space="preserve">JS Luwansa Hotel And Convention Center - 4.0 Stars  - </v>
          </cell>
          <cell r="N247" t="str">
            <v>MUP UP2K (PROV SULSEL)</v>
          </cell>
          <cell r="O247">
            <v>7412000</v>
          </cell>
          <cell r="P247" t="str">
            <v>09/09/2025 14:00:00 - 10/09/2025 12:00:00</v>
          </cell>
          <cell r="Q247">
            <v>1237500</v>
          </cell>
        </row>
        <row r="248">
          <cell r="A248">
            <v>1283724037</v>
          </cell>
          <cell r="B248" t="str">
            <v>7905002N</v>
          </cell>
          <cell r="C248" t="str">
            <v>RULI RIZALUDDIN</v>
          </cell>
          <cell r="D248">
            <v>79055400</v>
          </cell>
          <cell r="E248">
            <v>4120177600</v>
          </cell>
          <cell r="F248">
            <v>54</v>
          </cell>
          <cell r="G248" t="str">
            <v>Perjalanan Dinas Non-Diklat</v>
          </cell>
          <cell r="H248" t="str">
            <v>Kota Makassar - Kota Bogor</v>
          </cell>
          <cell r="I248" t="str">
            <v>05/09/2025 - 13/09/2025</v>
          </cell>
          <cell r="J248">
            <v>9</v>
          </cell>
          <cell r="K248" t="str">
            <v>Hotel</v>
          </cell>
          <cell r="L248" t="str">
            <v>11-09-2025 06:36:15</v>
          </cell>
          <cell r="M248" t="str">
            <v xml:space="preserve">JS Luwansa Hotel And Convention Center - 4.0 Stars  - </v>
          </cell>
          <cell r="N248" t="str">
            <v>MUP UP2K (PROV SULSEL)</v>
          </cell>
          <cell r="O248">
            <v>7412000</v>
          </cell>
          <cell r="P248" t="str">
            <v>11/09/2025 14:00:00 - 12/09/2025 12:00:00</v>
          </cell>
          <cell r="Q248">
            <v>1237500</v>
          </cell>
        </row>
        <row r="249">
          <cell r="A249">
            <v>1283956711</v>
          </cell>
          <cell r="B249" t="str">
            <v>7905002N</v>
          </cell>
          <cell r="C249" t="str">
            <v>RULI RIZALUDDIN</v>
          </cell>
          <cell r="D249">
            <v>79055400</v>
          </cell>
          <cell r="E249">
            <v>4120177600</v>
          </cell>
          <cell r="F249">
            <v>54</v>
          </cell>
          <cell r="G249" t="str">
            <v>Perjalanan Dinas Non-Diklat</v>
          </cell>
          <cell r="H249" t="str">
            <v>Kota Makassar - Kota Bogor</v>
          </cell>
          <cell r="I249" t="str">
            <v>05/09/2025 - 13/09/2025</v>
          </cell>
          <cell r="J249">
            <v>9</v>
          </cell>
          <cell r="K249" t="str">
            <v>Flight One Way</v>
          </cell>
          <cell r="L249" t="str">
            <v>12-09-2025 03:47:46</v>
          </cell>
          <cell r="M249" t="str">
            <v>Garuda Indonesia  CGK Soekarno Hatta International Airport GA-616 - Garuda Indonesia Domestic UPG Hasanuddin GA-616</v>
          </cell>
          <cell r="N249" t="str">
            <v>MUP UP2K (PROV SULSEL)</v>
          </cell>
          <cell r="O249">
            <v>7412000</v>
          </cell>
          <cell r="P249" t="str">
            <v>12/09/2025 16:45:00 - 12/09/2025 20:20:00</v>
          </cell>
          <cell r="Q249">
            <v>1933200</v>
          </cell>
        </row>
        <row r="250">
          <cell r="A250">
            <v>1282219412</v>
          </cell>
          <cell r="B250" t="str">
            <v>7905002N</v>
          </cell>
          <cell r="C250" t="str">
            <v>RULI RIZALUDDIN</v>
          </cell>
          <cell r="D250">
            <v>79055400</v>
          </cell>
          <cell r="E250">
            <v>4120177600</v>
          </cell>
          <cell r="F250">
            <v>54</v>
          </cell>
          <cell r="G250" t="str">
            <v>Perjalanan Dinas Non-Diklat</v>
          </cell>
          <cell r="H250" t="str">
            <v>Kota Makassar - Kota Bogor</v>
          </cell>
          <cell r="I250" t="str">
            <v>05/09/2025 - 08/09/2025</v>
          </cell>
          <cell r="J250">
            <v>4</v>
          </cell>
          <cell r="K250" t="str">
            <v>Flight One Way</v>
          </cell>
          <cell r="L250" t="str">
            <v>05-09-2025 04:49:55</v>
          </cell>
          <cell r="M250" t="str">
            <v>Garuda Indonesia Domestic UPG Hasanuddin GA-609 - Garuda Indonesia  CGK Soekarno Hatta International Airport GA-609</v>
          </cell>
          <cell r="N250" t="str">
            <v>MUP UP2K (PROV SULSEL)</v>
          </cell>
          <cell r="O250">
            <v>7412000</v>
          </cell>
          <cell r="P250" t="str">
            <v>05/09/2025 18:05:00 - 05/09/2025 19:30:00</v>
          </cell>
          <cell r="Q250">
            <v>2347100</v>
          </cell>
        </row>
        <row r="251">
          <cell r="A251">
            <v>1282904682</v>
          </cell>
          <cell r="B251" t="str">
            <v>7905002N</v>
          </cell>
          <cell r="C251" t="str">
            <v>RULI RIZALUDDIN</v>
          </cell>
          <cell r="D251">
            <v>79055400</v>
          </cell>
          <cell r="E251">
            <v>4120177600</v>
          </cell>
          <cell r="F251">
            <v>54</v>
          </cell>
          <cell r="G251" t="str">
            <v>Perjalanan Dinas Non-Diklat</v>
          </cell>
          <cell r="H251" t="str">
            <v>Kota Makassar - Kota Bogor</v>
          </cell>
          <cell r="I251" t="str">
            <v>05/09/2025 - 08/09/2025</v>
          </cell>
          <cell r="J251">
            <v>4</v>
          </cell>
          <cell r="K251" t="str">
            <v>Hotel</v>
          </cell>
          <cell r="L251" t="str">
            <v>07-09-2025 19:32:49</v>
          </cell>
          <cell r="M251" t="str">
            <v xml:space="preserve">JS Luwansa Hotel And Convention Center - 4.0 Stars  - </v>
          </cell>
          <cell r="N251" t="str">
            <v>MUP UP2K (PROV SULSEL)</v>
          </cell>
          <cell r="O251">
            <v>7412000</v>
          </cell>
          <cell r="P251" t="str">
            <v>07/09/2025 14:00:00 - 08/09/2025 12:00:00</v>
          </cell>
          <cell r="Q251">
            <v>1073250</v>
          </cell>
        </row>
        <row r="252">
          <cell r="A252">
            <v>1282745845</v>
          </cell>
          <cell r="B252" t="str">
            <v>8908087F</v>
          </cell>
          <cell r="C252" t="str">
            <v xml:space="preserve">ARJINOFALTIN </v>
          </cell>
          <cell r="D252">
            <v>89087605</v>
          </cell>
          <cell r="E252">
            <v>4120177578</v>
          </cell>
          <cell r="F252">
            <v>54</v>
          </cell>
          <cell r="G252" t="str">
            <v>Perjalanan Dinas Non-Diklat</v>
          </cell>
          <cell r="H252" t="str">
            <v>Kota Makassar - Kab. Bombana</v>
          </cell>
          <cell r="I252" t="str">
            <v>08/09/2025 - 10/09/2025</v>
          </cell>
          <cell r="J252">
            <v>3</v>
          </cell>
          <cell r="K252" t="str">
            <v>Hotel</v>
          </cell>
          <cell r="L252" t="str">
            <v>07-09-2025 03:52:29</v>
          </cell>
          <cell r="M252" t="str">
            <v xml:space="preserve">CLARO Kendari - 4.0 Stars  - </v>
          </cell>
          <cell r="N252" t="str">
            <v>ASMAN MUM</v>
          </cell>
          <cell r="O252">
            <v>7412164</v>
          </cell>
          <cell r="P252" t="str">
            <v>08/09/2025 14:00:00 - 10/09/2025 12:00:00</v>
          </cell>
          <cell r="Q252">
            <v>1750000</v>
          </cell>
        </row>
        <row r="253">
          <cell r="A253">
            <v>1282156267</v>
          </cell>
          <cell r="B253" t="str">
            <v>8908087F</v>
          </cell>
          <cell r="C253" t="str">
            <v xml:space="preserve">ARJINOFALTIN </v>
          </cell>
          <cell r="D253">
            <v>89087605</v>
          </cell>
          <cell r="E253">
            <v>4120177578</v>
          </cell>
          <cell r="F253">
            <v>54</v>
          </cell>
          <cell r="G253" t="str">
            <v>Perjalanan Dinas Non-Diklat</v>
          </cell>
          <cell r="H253" t="str">
            <v>Kota Makassar - Kab. Bombana</v>
          </cell>
          <cell r="I253" t="str">
            <v>08/09/2025 - 10/09/2025</v>
          </cell>
          <cell r="J253">
            <v>3</v>
          </cell>
          <cell r="K253" t="str">
            <v>Flight One Way</v>
          </cell>
          <cell r="L253" t="str">
            <v>04-09-2025 20:40:39</v>
          </cell>
          <cell r="M253" t="str">
            <v>Garuda Indonesia  KDI Haluoleo GA-605 - Garuda Indonesia Domestic UPG Hasanuddin GA-605</v>
          </cell>
          <cell r="N253" t="str">
            <v>ASMAN MUM</v>
          </cell>
          <cell r="O253">
            <v>7412164</v>
          </cell>
          <cell r="P253" t="str">
            <v>10/09/2025 09:10:00 - 10/09/2025 10:10:00</v>
          </cell>
          <cell r="Q253">
            <v>939600</v>
          </cell>
        </row>
        <row r="254">
          <cell r="A254">
            <v>1282125756</v>
          </cell>
          <cell r="B254" t="str">
            <v>7293022F</v>
          </cell>
          <cell r="C254" t="str">
            <v>EKO WAHYU PRASONGKO</v>
          </cell>
          <cell r="D254">
            <v>72937606</v>
          </cell>
          <cell r="E254">
            <v>4120177577</v>
          </cell>
          <cell r="F254">
            <v>54</v>
          </cell>
          <cell r="G254" t="str">
            <v>Perjalanan Dinas Non-Diklat</v>
          </cell>
          <cell r="H254" t="str">
            <v>Kota Makassar - Kab. Bombana</v>
          </cell>
          <cell r="I254" t="str">
            <v>08/09/2025 - 10/09/2025</v>
          </cell>
          <cell r="J254">
            <v>3</v>
          </cell>
          <cell r="K254" t="str">
            <v>Hotel</v>
          </cell>
          <cell r="L254" t="str">
            <v>04-09-2025 18:59:22</v>
          </cell>
          <cell r="M254" t="str">
            <v xml:space="preserve">CLARO Kendari - 4.0 Stars  - </v>
          </cell>
          <cell r="N254" t="str">
            <v>SPC KIN KEU, KOM, DAN MUM</v>
          </cell>
          <cell r="O254">
            <v>7412150</v>
          </cell>
          <cell r="P254" t="str">
            <v>08/09/2025 14:00:00 - 10/09/2025 12:00:00</v>
          </cell>
          <cell r="Q254">
            <v>1600000</v>
          </cell>
        </row>
        <row r="255">
          <cell r="A255">
            <v>1282123254</v>
          </cell>
          <cell r="B255" t="str">
            <v>7293022F</v>
          </cell>
          <cell r="C255" t="str">
            <v>EKO WAHYU PRASONGKO</v>
          </cell>
          <cell r="D255">
            <v>72937606</v>
          </cell>
          <cell r="E255">
            <v>4120177577</v>
          </cell>
          <cell r="F255">
            <v>54</v>
          </cell>
          <cell r="G255" t="str">
            <v>Perjalanan Dinas Non-Diklat</v>
          </cell>
          <cell r="H255" t="str">
            <v>Kota Makassar - Kab. Bombana</v>
          </cell>
          <cell r="I255" t="str">
            <v>08/09/2025 - 10/09/2025</v>
          </cell>
          <cell r="J255">
            <v>3</v>
          </cell>
          <cell r="K255" t="str">
            <v>Flight One Way</v>
          </cell>
          <cell r="L255" t="str">
            <v>04-09-2025 18:51:07</v>
          </cell>
          <cell r="M255" t="str">
            <v>Garuda Indonesia Domestic UPG Hasanuddin GA-604 - Garuda Indonesia  KDI Haluoleo GA-604</v>
          </cell>
          <cell r="N255" t="str">
            <v>SPC KIN KEU, KOM, DAN MUM</v>
          </cell>
          <cell r="O255">
            <v>7412150</v>
          </cell>
          <cell r="P255" t="str">
            <v>08/09/2025 07:25:00 - 08/09/2025 08:25:00</v>
          </cell>
          <cell r="Q255">
            <v>975800</v>
          </cell>
        </row>
        <row r="256">
          <cell r="A256">
            <v>1282745592</v>
          </cell>
          <cell r="B256" t="str">
            <v>7293022F</v>
          </cell>
          <cell r="C256" t="str">
            <v>EKO WAHYU PRASONGKO</v>
          </cell>
          <cell r="D256">
            <v>72937606</v>
          </cell>
          <cell r="E256">
            <v>4120177577</v>
          </cell>
          <cell r="F256">
            <v>54</v>
          </cell>
          <cell r="G256" t="str">
            <v>Perjalanan Dinas Non-Diklat</v>
          </cell>
          <cell r="H256" t="str">
            <v>Kota Makassar - Kab. Bombana</v>
          </cell>
          <cell r="I256" t="str">
            <v>08/09/2025 - 10/09/2025</v>
          </cell>
          <cell r="J256">
            <v>3</v>
          </cell>
          <cell r="K256" t="str">
            <v>Flight One Way</v>
          </cell>
          <cell r="L256" t="str">
            <v>07-09-2025 03:41:30</v>
          </cell>
          <cell r="M256" t="str">
            <v>Garuda Indonesia  KDI Haluoleo GA-605 - Garuda Indonesia Domestic UPG Hasanuddin GA-605</v>
          </cell>
          <cell r="N256" t="str">
            <v>SPC KIN KEU, KOM, DAN MUM</v>
          </cell>
          <cell r="O256">
            <v>7412150</v>
          </cell>
          <cell r="P256" t="str">
            <v>10/09/2025 09:10:00 - 10/09/2025 10:10:00</v>
          </cell>
          <cell r="Q256">
            <v>939600</v>
          </cell>
        </row>
        <row r="257">
          <cell r="A257">
            <v>1284086504</v>
          </cell>
          <cell r="B257" t="str">
            <v>9110052F</v>
          </cell>
          <cell r="C257" t="str">
            <v>ANGGA SETIAWAN</v>
          </cell>
          <cell r="D257">
            <v>91107608</v>
          </cell>
          <cell r="E257">
            <v>4120177599</v>
          </cell>
          <cell r="F257">
            <v>54</v>
          </cell>
          <cell r="G257" t="str">
            <v>Perjalanan Dinas Diklat</v>
          </cell>
          <cell r="H257" t="str">
            <v>Kota Makassar - Kota Cilegon</v>
          </cell>
          <cell r="I257" t="str">
            <v>07/09/2025 - 12/09/2025</v>
          </cell>
          <cell r="J257">
            <v>6</v>
          </cell>
          <cell r="K257" t="str">
            <v>Flight One Way</v>
          </cell>
          <cell r="L257" t="str">
            <v>12-09-2025 14:28:35</v>
          </cell>
          <cell r="M257" t="str">
            <v>Garuda Indonesia  CGK Soekarno Hatta International Airport GA-618 - Garuda Indonesia Domestic UPG Hasanuddin GA-618</v>
          </cell>
          <cell r="N257" t="str">
            <v>OF REN LISDES</v>
          </cell>
          <cell r="O257">
            <v>7412000</v>
          </cell>
          <cell r="P257" t="str">
            <v>12/09/2025 20:15:00 - 12/09/2025 23:50:00</v>
          </cell>
          <cell r="Q257">
            <v>1844400</v>
          </cell>
        </row>
        <row r="258">
          <cell r="A258">
            <v>1282117420</v>
          </cell>
          <cell r="B258" t="str">
            <v>9110052F</v>
          </cell>
          <cell r="C258" t="str">
            <v>ANGGA SETIAWAN</v>
          </cell>
          <cell r="D258">
            <v>91107608</v>
          </cell>
          <cell r="E258">
            <v>4120177599</v>
          </cell>
          <cell r="F258">
            <v>54</v>
          </cell>
          <cell r="G258" t="str">
            <v>Perjalanan Dinas Diklat</v>
          </cell>
          <cell r="H258" t="str">
            <v>Kota Makassar - Kota Cilegon</v>
          </cell>
          <cell r="I258" t="str">
            <v>07/09/2025 - 12/09/2025</v>
          </cell>
          <cell r="J258">
            <v>6</v>
          </cell>
          <cell r="K258" t="str">
            <v>Flight One Way</v>
          </cell>
          <cell r="L258" t="str">
            <v>04-09-2025 18:31:17</v>
          </cell>
          <cell r="M258" t="str">
            <v>Garuda Indonesia Domestic UPG Hasanuddin GA-641 - Garuda Indonesia  CGK Soekarno Hatta International Airport GA-641</v>
          </cell>
          <cell r="N258" t="str">
            <v>OF REN LISDES</v>
          </cell>
          <cell r="O258">
            <v>7412000</v>
          </cell>
          <cell r="P258" t="str">
            <v>07/09/2025 12:15:00 - 07/09/2025 13:40:00</v>
          </cell>
          <cell r="Q258">
            <v>2350900</v>
          </cell>
        </row>
        <row r="259">
          <cell r="A259">
            <v>1283349572</v>
          </cell>
          <cell r="B259" t="str">
            <v>9114965ZY</v>
          </cell>
          <cell r="C259" t="str">
            <v>I WAYAN EDY PURNAMA ARSA</v>
          </cell>
          <cell r="D259">
            <v>91147609</v>
          </cell>
          <cell r="E259">
            <v>4120177586</v>
          </cell>
          <cell r="F259">
            <v>54</v>
          </cell>
          <cell r="G259" t="str">
            <v>Perjalanan Dinas Non-Diklat</v>
          </cell>
          <cell r="H259" t="str">
            <v>Kota Makassar - Kab. Konawe Utara</v>
          </cell>
          <cell r="I259" t="str">
            <v>08/09/2025 - 10/09/2025</v>
          </cell>
          <cell r="J259">
            <v>3</v>
          </cell>
          <cell r="K259" t="str">
            <v>Flight One Way</v>
          </cell>
          <cell r="L259" t="str">
            <v>09-09-2025 16:08:51</v>
          </cell>
          <cell r="M259" t="str">
            <v>Batik Air  KDI Haluoleo ID-6750 - Batik Air Domestic UPG Hasanuddin ID-6750</v>
          </cell>
          <cell r="N259" t="str">
            <v>OF PR AE</v>
          </cell>
          <cell r="O259">
            <v>7411140</v>
          </cell>
          <cell r="P259" t="str">
            <v>10/09/2025 10:15:00 - 10/09/2025 11:10:00</v>
          </cell>
          <cell r="Q259">
            <v>857400</v>
          </cell>
        </row>
        <row r="260">
          <cell r="A260">
            <v>1283348481</v>
          </cell>
          <cell r="B260" t="str">
            <v>9114965ZY</v>
          </cell>
          <cell r="C260" t="str">
            <v>I WAYAN EDY PURNAMA ARSA</v>
          </cell>
          <cell r="D260">
            <v>91147609</v>
          </cell>
          <cell r="E260">
            <v>4120177586</v>
          </cell>
          <cell r="F260">
            <v>54</v>
          </cell>
          <cell r="G260" t="str">
            <v>Perjalanan Dinas Non-Diklat</v>
          </cell>
          <cell r="H260" t="str">
            <v>Kota Makassar - Kab. Konawe Utara</v>
          </cell>
          <cell r="I260" t="str">
            <v>08/09/2025 - 10/09/2025</v>
          </cell>
          <cell r="J260">
            <v>3</v>
          </cell>
          <cell r="K260" t="str">
            <v>Hotel</v>
          </cell>
          <cell r="L260" t="str">
            <v>09-09-2025 16:01:30</v>
          </cell>
          <cell r="M260" t="str">
            <v xml:space="preserve">Parade inn kendari - 0.0 Stars  - </v>
          </cell>
          <cell r="N260" t="str">
            <v>OF PR AE</v>
          </cell>
          <cell r="O260">
            <v>7411140</v>
          </cell>
          <cell r="P260" t="str">
            <v>09/09/2025 14:00:00 - 10/09/2025 12:00:00</v>
          </cell>
          <cell r="Q260">
            <v>641026</v>
          </cell>
        </row>
        <row r="261">
          <cell r="A261">
            <v>1282410613</v>
          </cell>
          <cell r="B261" t="str">
            <v>9114965ZY</v>
          </cell>
          <cell r="C261" t="str">
            <v>I WAYAN EDY PURNAMA ARSA</v>
          </cell>
          <cell r="D261">
            <v>91147609</v>
          </cell>
          <cell r="E261">
            <v>4120177586</v>
          </cell>
          <cell r="F261">
            <v>54</v>
          </cell>
          <cell r="G261" t="str">
            <v>Perjalanan Dinas Non-Diklat</v>
          </cell>
          <cell r="H261" t="str">
            <v>Kota Makassar - Kab. Konawe Utara</v>
          </cell>
          <cell r="I261" t="str">
            <v>08/09/2025 - 10/09/2025</v>
          </cell>
          <cell r="J261">
            <v>3</v>
          </cell>
          <cell r="K261" t="str">
            <v>Flight One Way</v>
          </cell>
          <cell r="L261" t="str">
            <v>05-09-2025 18:27:09</v>
          </cell>
          <cell r="M261" t="str">
            <v>Batik Air Domestic UPG Hasanuddin ID-6751 - Batik Air  KDI Haluoleo ID-6751</v>
          </cell>
          <cell r="N261" t="str">
            <v>OF PR AE</v>
          </cell>
          <cell r="O261">
            <v>7411140</v>
          </cell>
          <cell r="P261" t="str">
            <v>08/09/2025 08:30:00 - 08/09/2025 09:35:00</v>
          </cell>
          <cell r="Q261">
            <v>864200</v>
          </cell>
        </row>
        <row r="262">
          <cell r="A262">
            <v>1282067546</v>
          </cell>
          <cell r="B262" t="str">
            <v>7594035F</v>
          </cell>
          <cell r="C262" t="str">
            <v>AGUS SALIM</v>
          </cell>
          <cell r="D262">
            <v>75947601</v>
          </cell>
          <cell r="E262">
            <v>4120177585</v>
          </cell>
          <cell r="F262">
            <v>54</v>
          </cell>
          <cell r="G262" t="str">
            <v>Perjalanan Dinas Non-Diklat</v>
          </cell>
          <cell r="H262" t="str">
            <v>Kota Makassar - Kota Kendari</v>
          </cell>
          <cell r="I262" t="str">
            <v>08/09/2025 - 10/09/2025</v>
          </cell>
          <cell r="J262">
            <v>3</v>
          </cell>
          <cell r="K262" t="str">
            <v>Flight One Way</v>
          </cell>
          <cell r="L262" t="str">
            <v>04-09-2025 15:33:35</v>
          </cell>
          <cell r="M262" t="str">
            <v>Garuda Indonesia Domestic UPG Hasanuddin GA-604 - Garuda Indonesia  KDI Haluoleo GA-604</v>
          </cell>
          <cell r="N262" t="str">
            <v>ASMAN K3 DAN KAM</v>
          </cell>
          <cell r="O262">
            <v>7412000</v>
          </cell>
          <cell r="P262" t="str">
            <v>08/09/2025 07:25:00 - 08/09/2025 08:25:00</v>
          </cell>
          <cell r="Q262">
            <v>990700</v>
          </cell>
        </row>
        <row r="263">
          <cell r="A263">
            <v>1283212092</v>
          </cell>
          <cell r="B263" t="str">
            <v>7594035F</v>
          </cell>
          <cell r="C263" t="str">
            <v>AGUS SALIM</v>
          </cell>
          <cell r="D263">
            <v>75947601</v>
          </cell>
          <cell r="E263">
            <v>4120177585</v>
          </cell>
          <cell r="F263">
            <v>54</v>
          </cell>
          <cell r="G263" t="str">
            <v>Perjalanan Dinas Non-Diklat</v>
          </cell>
          <cell r="H263" t="str">
            <v>Kota Makassar - Kota Kendari</v>
          </cell>
          <cell r="I263" t="str">
            <v>08/09/2025 - 10/09/2025</v>
          </cell>
          <cell r="J263">
            <v>3</v>
          </cell>
          <cell r="K263" t="str">
            <v>Flight One Way</v>
          </cell>
          <cell r="L263" t="str">
            <v>09-09-2025 06:16:37</v>
          </cell>
          <cell r="M263" t="str">
            <v>Garuda Indonesia  KDI Haluoleo GA-605 - Garuda Indonesia Domestic UPG Hasanuddin GA-605</v>
          </cell>
          <cell r="N263" t="str">
            <v>ASMAN K3 DAN KAM</v>
          </cell>
          <cell r="O263">
            <v>7412000</v>
          </cell>
          <cell r="P263" t="str">
            <v>10/09/2025 09:10:00 - 10/09/2025 10:10:00</v>
          </cell>
          <cell r="Q263">
            <v>861400</v>
          </cell>
        </row>
        <row r="264">
          <cell r="A264">
            <v>1282127514</v>
          </cell>
          <cell r="B264" t="str">
            <v>9619978ZY</v>
          </cell>
          <cell r="C264" t="str">
            <v>BAYU BASKORO</v>
          </cell>
          <cell r="D264">
            <v>96197613</v>
          </cell>
          <cell r="E264">
            <v>4120177567</v>
          </cell>
          <cell r="F264">
            <v>54</v>
          </cell>
          <cell r="G264" t="str">
            <v>Perjalanan Dinas Non-Diklat</v>
          </cell>
          <cell r="H264" t="str">
            <v>Kota Makassar - Jakarta Pusat</v>
          </cell>
          <cell r="I264" t="str">
            <v>08/09/2025 - 09/09/2025</v>
          </cell>
          <cell r="J264">
            <v>2</v>
          </cell>
          <cell r="K264" t="str">
            <v>Hotel</v>
          </cell>
          <cell r="L264" t="str">
            <v>04-09-2025 19:05:33</v>
          </cell>
          <cell r="M264" t="str">
            <v xml:space="preserve">MaxOneHotels Premier Melawai - 3.0 Stars  - </v>
          </cell>
          <cell r="N264" t="str">
            <v>TC HAR DIST</v>
          </cell>
          <cell r="O264">
            <v>74092707</v>
          </cell>
          <cell r="P264" t="str">
            <v>08/09/2025 14:00:00 - 09/09/2025 12:00:00</v>
          </cell>
          <cell r="Q264">
            <v>810000</v>
          </cell>
        </row>
        <row r="265">
          <cell r="A265">
            <v>1282131581</v>
          </cell>
          <cell r="B265" t="str">
            <v>9619978ZY</v>
          </cell>
          <cell r="C265" t="str">
            <v>BAYU BASKORO</v>
          </cell>
          <cell r="D265">
            <v>96197613</v>
          </cell>
          <cell r="E265">
            <v>4120177567</v>
          </cell>
          <cell r="F265">
            <v>54</v>
          </cell>
          <cell r="G265" t="str">
            <v>Perjalanan Dinas Non-Diklat</v>
          </cell>
          <cell r="H265" t="str">
            <v>Kota Makassar - Jakarta Pusat</v>
          </cell>
          <cell r="I265" t="str">
            <v>08/09/2025 - 09/09/2025</v>
          </cell>
          <cell r="J265">
            <v>2</v>
          </cell>
          <cell r="K265" t="str">
            <v>Flight One Way</v>
          </cell>
          <cell r="L265" t="str">
            <v>04-09-2025 19:19:18</v>
          </cell>
          <cell r="M265" t="str">
            <v>Garuda Indonesia  CGK Soekarno Hatta International Airport GA-618 - Garuda Indonesia Domestic UPG Hasanuddin GA-618</v>
          </cell>
          <cell r="N265" t="str">
            <v>TC HAR DIST</v>
          </cell>
          <cell r="O265">
            <v>74092707</v>
          </cell>
          <cell r="P265" t="str">
            <v>09/09/2025 20:15:00 - 09/09/2025 23:50:00</v>
          </cell>
          <cell r="Q265">
            <v>1874200</v>
          </cell>
        </row>
        <row r="266">
          <cell r="A266">
            <v>1282121674</v>
          </cell>
          <cell r="B266" t="str">
            <v>9619978ZY</v>
          </cell>
          <cell r="C266" t="str">
            <v>BAYU BASKORO</v>
          </cell>
          <cell r="D266">
            <v>96197613</v>
          </cell>
          <cell r="E266">
            <v>4120177567</v>
          </cell>
          <cell r="F266">
            <v>54</v>
          </cell>
          <cell r="G266" t="str">
            <v>Perjalanan Dinas Non-Diklat</v>
          </cell>
          <cell r="H266" t="str">
            <v>Kota Makassar - Jakarta Pusat</v>
          </cell>
          <cell r="I266" t="str">
            <v>08/09/2025 - 09/09/2025</v>
          </cell>
          <cell r="J266">
            <v>2</v>
          </cell>
          <cell r="K266" t="str">
            <v>Flight One Way</v>
          </cell>
          <cell r="L266" t="str">
            <v>04-09-2025 18:45:42</v>
          </cell>
          <cell r="M266" t="str">
            <v>Garuda Indonesia Domestic UPG Hasanuddin GA-611 - Garuda Indonesia  CGK Soekarno Hatta International Airport GA-611</v>
          </cell>
          <cell r="N266" t="str">
            <v>TC HAR DIST</v>
          </cell>
          <cell r="O266">
            <v>74092707</v>
          </cell>
          <cell r="P266" t="str">
            <v>08/09/2025 11:20:00 - 08/09/2025 12:45:00</v>
          </cell>
          <cell r="Q266">
            <v>2289800</v>
          </cell>
        </row>
        <row r="267">
          <cell r="A267">
            <v>1282128832</v>
          </cell>
          <cell r="B267" t="str">
            <v>7095015F</v>
          </cell>
          <cell r="C267" t="str">
            <v xml:space="preserve">EDYANSYAH </v>
          </cell>
          <cell r="D267">
            <v>70957602</v>
          </cell>
          <cell r="E267">
            <v>4120177579</v>
          </cell>
          <cell r="F267">
            <v>54</v>
          </cell>
          <cell r="G267" t="str">
            <v>Perjalanan Dinas Non-Diklat</v>
          </cell>
          <cell r="H267" t="str">
            <v>Kota Makassar - Kab. Bombana - Jakarta Pusat</v>
          </cell>
          <cell r="I267" t="str">
            <v>08/09/2025 - 12/09/2025</v>
          </cell>
          <cell r="J267">
            <v>5</v>
          </cell>
          <cell r="K267" t="str">
            <v>Hotel</v>
          </cell>
          <cell r="L267" t="str">
            <v>04-09-2025 19:09:56</v>
          </cell>
          <cell r="M267" t="str">
            <v xml:space="preserve">CLARO Kendari - 4.0 Stars  - </v>
          </cell>
          <cell r="N267" t="str">
            <v>GM</v>
          </cell>
          <cell r="O267">
            <v>7412000</v>
          </cell>
          <cell r="P267" t="str">
            <v>08/09/2025 14:00:00 - 10/09/2025 12:00:00</v>
          </cell>
          <cell r="Q267">
            <v>1600000</v>
          </cell>
        </row>
        <row r="268">
          <cell r="A268">
            <v>1282745804</v>
          </cell>
          <cell r="B268" t="str">
            <v>7095015F</v>
          </cell>
          <cell r="C268" t="str">
            <v xml:space="preserve">EDYANSYAH </v>
          </cell>
          <cell r="D268">
            <v>70957602</v>
          </cell>
          <cell r="E268">
            <v>4120177579</v>
          </cell>
          <cell r="F268">
            <v>54</v>
          </cell>
          <cell r="G268" t="str">
            <v>Perjalanan Dinas Non-Diklat</v>
          </cell>
          <cell r="H268" t="str">
            <v>Kota Makassar - Kab. Bombana - Jakarta Pusat</v>
          </cell>
          <cell r="I268" t="str">
            <v>08/09/2025 - 12/09/2025</v>
          </cell>
          <cell r="J268">
            <v>5</v>
          </cell>
          <cell r="K268" t="str">
            <v>Flight One Way</v>
          </cell>
          <cell r="L268" t="str">
            <v>07-09-2025 03:49:56</v>
          </cell>
          <cell r="M268" t="str">
            <v>Batik Air  KDI Haluoleo ID-6723 - Batik Air 2D CGK Soekarno Hatta International Airport ID-6723</v>
          </cell>
          <cell r="N268" t="str">
            <v>GM</v>
          </cell>
          <cell r="O268">
            <v>7412000</v>
          </cell>
          <cell r="P268" t="str">
            <v>10/09/2025 08:00:00 - 10/09/2025 09:40:00</v>
          </cell>
          <cell r="Q268">
            <v>1618300</v>
          </cell>
        </row>
        <row r="269">
          <cell r="A269">
            <v>1282019059</v>
          </cell>
          <cell r="B269" t="str">
            <v>7095015F</v>
          </cell>
          <cell r="C269" t="str">
            <v xml:space="preserve">EDYANSYAH </v>
          </cell>
          <cell r="D269">
            <v>70957602</v>
          </cell>
          <cell r="E269">
            <v>4120177579</v>
          </cell>
          <cell r="F269">
            <v>54</v>
          </cell>
          <cell r="G269" t="str">
            <v>Perjalanan Dinas Non-Diklat</v>
          </cell>
          <cell r="H269" t="str">
            <v>Kota Makassar - Kab. Bombana - Jakarta Pusat</v>
          </cell>
          <cell r="I269" t="str">
            <v>08/09/2025 - 12/09/2025</v>
          </cell>
          <cell r="J269">
            <v>5</v>
          </cell>
          <cell r="K269" t="str">
            <v>Flight One Way</v>
          </cell>
          <cell r="L269" t="str">
            <v>04-09-2025 12:53:20</v>
          </cell>
          <cell r="M269" t="str">
            <v>Garuda Indonesia Domestic UPG Hasanuddin GA-604 - Garuda Indonesia  KDI Haluoleo GA-604</v>
          </cell>
          <cell r="N269" t="str">
            <v>GM</v>
          </cell>
          <cell r="O269">
            <v>7412000</v>
          </cell>
          <cell r="P269" t="str">
            <v>08/09/2025 07:25:00 - 08/09/2025 08:25:00</v>
          </cell>
          <cell r="Q269">
            <v>915000</v>
          </cell>
        </row>
        <row r="270">
          <cell r="A270">
            <v>1281427064</v>
          </cell>
          <cell r="B270" t="str">
            <v>8609651Z</v>
          </cell>
          <cell r="C270" t="str">
            <v>KOMANG YEHUDA PRAWIRA</v>
          </cell>
          <cell r="D270">
            <v>86098203</v>
          </cell>
          <cell r="E270">
            <v>4120177539</v>
          </cell>
          <cell r="F270">
            <v>54</v>
          </cell>
          <cell r="G270" t="str">
            <v>Perjalanan Dinas Non-Diklat</v>
          </cell>
          <cell r="H270" t="str">
            <v>Kota Makassar - Kab. Mamuju</v>
          </cell>
          <cell r="I270" t="str">
            <v>03/09/2025 - 05/09/2025</v>
          </cell>
          <cell r="J270">
            <v>3</v>
          </cell>
          <cell r="K270" t="str">
            <v>Flight Round-Trip</v>
          </cell>
          <cell r="L270" t="str">
            <v>02-09-2025 09:26:40</v>
          </cell>
          <cell r="M270" t="str">
            <v>Batik Air Domestic UPG Hasanuddin ID-6788 - Batik Air  MJU Tampa Padang ID-6788</v>
          </cell>
          <cell r="N270" t="str">
            <v>MAN STR SAR</v>
          </cell>
          <cell r="O270">
            <v>7411143</v>
          </cell>
          <cell r="P270" t="str">
            <v>03/09/2025 10:00:00 - 03/09/2025 10:55:00</v>
          </cell>
          <cell r="Q270">
            <v>1651900</v>
          </cell>
        </row>
        <row r="271">
          <cell r="A271">
            <v>1281413447</v>
          </cell>
          <cell r="B271" t="str">
            <v>8609336Z</v>
          </cell>
          <cell r="C271" t="str">
            <v>RATHY SHINTA UTAMI</v>
          </cell>
          <cell r="D271">
            <v>86093800</v>
          </cell>
          <cell r="E271">
            <v>4120177479</v>
          </cell>
          <cell r="F271">
            <v>54</v>
          </cell>
          <cell r="G271" t="str">
            <v>Perjalanan Dinas Non-Diklat</v>
          </cell>
          <cell r="H271" t="str">
            <v>Kota Makassar - Kab. Mamuju</v>
          </cell>
          <cell r="I271" t="str">
            <v>31/08/2025 - 03/09/2025</v>
          </cell>
          <cell r="J271">
            <v>4</v>
          </cell>
          <cell r="K271" t="str">
            <v>Flight One Way</v>
          </cell>
          <cell r="L271" t="str">
            <v>02-09-2025 08:12:42</v>
          </cell>
          <cell r="M271" t="str">
            <v>Batik Air Domestic UPG Hasanuddin ID-6788 - Batik Air  MJU Tampa Padang ID-6788</v>
          </cell>
          <cell r="N271" t="str">
            <v>SPC KIN DIST</v>
          </cell>
          <cell r="O271">
            <v>7412000</v>
          </cell>
          <cell r="P271" t="str">
            <v>03/09/2025 10:00:00 - 03/09/2025 10:55:00</v>
          </cell>
          <cell r="Q271">
            <v>873400</v>
          </cell>
        </row>
        <row r="272">
          <cell r="A272">
            <v>1281531139</v>
          </cell>
          <cell r="B272" t="str">
            <v>8609336Z</v>
          </cell>
          <cell r="C272" t="str">
            <v>RATHY SHINTA UTAMI</v>
          </cell>
          <cell r="D272">
            <v>86093800</v>
          </cell>
          <cell r="E272">
            <v>4120177479</v>
          </cell>
          <cell r="F272">
            <v>54</v>
          </cell>
          <cell r="G272" t="str">
            <v>Perjalanan Dinas Non-Diklat</v>
          </cell>
          <cell r="H272" t="str">
            <v>Kota Makassar - Kab. Mamuju</v>
          </cell>
          <cell r="I272" t="str">
            <v>03/09/2025 - 05/09/2025</v>
          </cell>
          <cell r="J272">
            <v>3</v>
          </cell>
          <cell r="K272" t="str">
            <v>Flight One Way</v>
          </cell>
          <cell r="L272" t="str">
            <v>02-09-2025 16:34:00</v>
          </cell>
          <cell r="M272" t="str">
            <v>Batik Air  MJU Tampa Padang ID-6789 - Batik Air Domestic UPG Hasanuddin ID-6789</v>
          </cell>
          <cell r="N272" t="str">
            <v>SPC KIN DIST</v>
          </cell>
          <cell r="O272">
            <v>7412000</v>
          </cell>
          <cell r="P272" t="str">
            <v>05/09/2025 11:35:00 - 05/09/2025 12:30:00</v>
          </cell>
          <cell r="Q272">
            <v>778500</v>
          </cell>
        </row>
        <row r="273">
          <cell r="A273">
            <v>1281517448</v>
          </cell>
          <cell r="B273" t="str">
            <v>9110047F</v>
          </cell>
          <cell r="C273" t="str">
            <v>ANDY JUNIWASTIAR</v>
          </cell>
          <cell r="D273">
            <v>91107606</v>
          </cell>
          <cell r="E273">
            <v>4120177526</v>
          </cell>
          <cell r="F273">
            <v>54</v>
          </cell>
          <cell r="G273" t="str">
            <v>Perjalanan Dinas Diklat</v>
          </cell>
          <cell r="H273" t="str">
            <v>Kota Makassar - Kota Yogyakarta</v>
          </cell>
          <cell r="I273" t="str">
            <v>01/09/2025 - 05/09/2025</v>
          </cell>
          <cell r="J273">
            <v>5</v>
          </cell>
          <cell r="K273" t="str">
            <v>Flight One Way</v>
          </cell>
          <cell r="L273" t="str">
            <v>02-09-2025 15:36:17</v>
          </cell>
          <cell r="M273" t="str">
            <v>Lion Air  YIA Yogyakarta International Airport JT-644 - Lion Air Domestic UPG Hasanuddin JT-644</v>
          </cell>
          <cell r="N273" t="str">
            <v>TL K3L DAN KAM</v>
          </cell>
          <cell r="O273">
            <v>74092701</v>
          </cell>
          <cell r="P273" t="str">
            <v>05/09/2025 15:40:00 - 05/09/2025 18:35:00</v>
          </cell>
          <cell r="Q273">
            <v>1134200</v>
          </cell>
        </row>
        <row r="274">
          <cell r="A274">
            <v>1280775598</v>
          </cell>
          <cell r="B274" t="str">
            <v>9110047F</v>
          </cell>
          <cell r="C274" t="str">
            <v>ANDY JUNIWASTIAR</v>
          </cell>
          <cell r="D274">
            <v>91107606</v>
          </cell>
          <cell r="E274">
            <v>4120177526</v>
          </cell>
          <cell r="F274">
            <v>54</v>
          </cell>
          <cell r="G274" t="str">
            <v>Perjalanan Dinas Diklat</v>
          </cell>
          <cell r="H274" t="str">
            <v>Kota Makassar - Kota Yogyakarta</v>
          </cell>
          <cell r="I274" t="str">
            <v>01/09/2025 - 05/09/2025</v>
          </cell>
          <cell r="J274">
            <v>5</v>
          </cell>
          <cell r="K274" t="str">
            <v>Flight One Way</v>
          </cell>
          <cell r="L274" t="str">
            <v>30-08-2025 09:07:15</v>
          </cell>
          <cell r="M274" t="str">
            <v>Lion Air Domestic UPG Hasanuddin JT-641 - Lion Air  YIA Yogyakarta International Airport JT-641</v>
          </cell>
          <cell r="N274" t="str">
            <v>TL K3L DAN KAM</v>
          </cell>
          <cell r="O274">
            <v>74092701</v>
          </cell>
          <cell r="P274" t="str">
            <v>01/09/2025 08:40:00 - 01/09/2025 09:35:00</v>
          </cell>
          <cell r="Q274">
            <v>1330000</v>
          </cell>
        </row>
        <row r="275">
          <cell r="A275">
            <v>1280636942</v>
          </cell>
          <cell r="B275" t="str">
            <v>9615052FY</v>
          </cell>
          <cell r="C275" t="str">
            <v>AGUS RIANTO WIBOWO</v>
          </cell>
          <cell r="D275">
            <v>96137735</v>
          </cell>
          <cell r="E275">
            <v>4120177497</v>
          </cell>
          <cell r="F275">
            <v>54</v>
          </cell>
          <cell r="G275" t="str">
            <v>Perjalanan Dinas Non-Diklat</v>
          </cell>
          <cell r="H275" t="str">
            <v>Kota Kendari - Kota Makassar</v>
          </cell>
          <cell r="I275" t="str">
            <v>02/09/2025 - 05/09/2025</v>
          </cell>
          <cell r="J275">
            <v>4</v>
          </cell>
          <cell r="K275" t="str">
            <v>Flight One Way</v>
          </cell>
          <cell r="L275" t="str">
            <v>29-08-2025 16:25:49</v>
          </cell>
          <cell r="M275" t="str">
            <v>Garuda Indonesia  KDI Haluoleo GA-605 - Garuda Indonesia Domestic UPG Hasanuddin GA-605</v>
          </cell>
          <cell r="N275" t="str">
            <v>JOF ADM MUM</v>
          </cell>
          <cell r="O275">
            <v>7412240</v>
          </cell>
          <cell r="P275" t="str">
            <v>02/09/2025 09:10:00 - 02/09/2025 10:10:00</v>
          </cell>
          <cell r="Q275">
            <v>970800</v>
          </cell>
        </row>
        <row r="276">
          <cell r="A276">
            <v>1281674926</v>
          </cell>
          <cell r="B276" t="str">
            <v>8512119ZY</v>
          </cell>
          <cell r="C276" t="str">
            <v>MUHAMMAD ROYAN BUDI RINALDY</v>
          </cell>
          <cell r="D276">
            <v>85128000</v>
          </cell>
          <cell r="E276">
            <v>4120177521</v>
          </cell>
          <cell r="F276">
            <v>54</v>
          </cell>
          <cell r="G276" t="str">
            <v>Perjalanan Dinas Diklat</v>
          </cell>
          <cell r="H276" t="str">
            <v>Kota Makassar - Kota Yogyakarta</v>
          </cell>
          <cell r="I276" t="str">
            <v>01/09/2025 - 05/09/2025</v>
          </cell>
          <cell r="J276">
            <v>5</v>
          </cell>
          <cell r="K276" t="str">
            <v>Flight One Way</v>
          </cell>
          <cell r="L276" t="str">
            <v>03-09-2025 09:08:12</v>
          </cell>
          <cell r="M276" t="str">
            <v>Lion Air  YIA Yogyakarta International Airport JT-644 - Lion Air Domestic UPG Hasanuddin JT-644</v>
          </cell>
          <cell r="N276" t="str">
            <v>ASMAN LING</v>
          </cell>
          <cell r="O276">
            <v>7412000</v>
          </cell>
          <cell r="P276" t="str">
            <v>05/09/2025 15:40:00 - 05/09/2025 18:35:00</v>
          </cell>
          <cell r="Q276">
            <v>1134200</v>
          </cell>
        </row>
        <row r="277">
          <cell r="A277">
            <v>1280756627</v>
          </cell>
          <cell r="B277" t="str">
            <v>8512119ZY</v>
          </cell>
          <cell r="C277" t="str">
            <v>MUHAMMAD ROYAN BUDI RINALDY</v>
          </cell>
          <cell r="D277">
            <v>85128000</v>
          </cell>
          <cell r="E277">
            <v>4120177521</v>
          </cell>
          <cell r="F277">
            <v>54</v>
          </cell>
          <cell r="G277" t="str">
            <v>Perjalanan Dinas Diklat</v>
          </cell>
          <cell r="H277" t="str">
            <v>Kota Makassar - Kota Yogyakarta</v>
          </cell>
          <cell r="I277" t="str">
            <v>01/09/2025 - 05/09/2025</v>
          </cell>
          <cell r="J277">
            <v>5</v>
          </cell>
          <cell r="K277" t="str">
            <v>Flight One Way</v>
          </cell>
          <cell r="L277" t="str">
            <v>30-08-2025 06:58:55</v>
          </cell>
          <cell r="M277" t="str">
            <v>Lion Air Domestic UPG Hasanuddin JT-641 - Lion Air  YIA Yogyakarta International Airport JT-641</v>
          </cell>
          <cell r="N277" t="str">
            <v>ASMAN LING</v>
          </cell>
          <cell r="O277">
            <v>7412000</v>
          </cell>
          <cell r="P277" t="str">
            <v>01/09/2025 08:40:00 - 01/09/2025 09:35:00</v>
          </cell>
          <cell r="Q277">
            <v>1330000</v>
          </cell>
        </row>
        <row r="278">
          <cell r="A278">
            <v>1280770841</v>
          </cell>
          <cell r="B278" t="str">
            <v>9110014F</v>
          </cell>
          <cell r="C278" t="str">
            <v>RESJAN MANAYA SAMBARA</v>
          </cell>
          <cell r="D278">
            <v>91107603</v>
          </cell>
          <cell r="E278">
            <v>4120177507</v>
          </cell>
          <cell r="F278">
            <v>54</v>
          </cell>
          <cell r="G278" t="str">
            <v>Perjalanan Dinas Diklat</v>
          </cell>
          <cell r="H278" t="str">
            <v>Kota Makassar - Kota Yogyakarta</v>
          </cell>
          <cell r="I278" t="str">
            <v>01/09/2025 - 05/09/2025</v>
          </cell>
          <cell r="J278">
            <v>5</v>
          </cell>
          <cell r="K278" t="str">
            <v>Flight One Way</v>
          </cell>
          <cell r="L278" t="str">
            <v>30-08-2025 08:40:25</v>
          </cell>
          <cell r="M278" t="str">
            <v>Lion Air Domestic UPG Hasanuddin JT-641 - Lion Air  YIA Yogyakarta International Airport JT-641</v>
          </cell>
          <cell r="N278" t="str">
            <v>TL K3L DAN KAM</v>
          </cell>
          <cell r="O278">
            <v>74092801</v>
          </cell>
          <cell r="P278" t="str">
            <v>01/09/2025 08:40:00 - 01/09/2025 09:35:00</v>
          </cell>
          <cell r="Q278">
            <v>1330000</v>
          </cell>
        </row>
        <row r="279">
          <cell r="A279">
            <v>1281513970</v>
          </cell>
          <cell r="B279" t="str">
            <v>9110014F</v>
          </cell>
          <cell r="C279" t="str">
            <v>RESJAN MANAYA SAMBARA</v>
          </cell>
          <cell r="D279">
            <v>91107603</v>
          </cell>
          <cell r="E279">
            <v>4120177507</v>
          </cell>
          <cell r="F279">
            <v>54</v>
          </cell>
          <cell r="G279" t="str">
            <v>Perjalanan Dinas Diklat</v>
          </cell>
          <cell r="H279" t="str">
            <v>Kota Makassar - Kota Yogyakarta</v>
          </cell>
          <cell r="I279" t="str">
            <v>01/09/2025 - 05/09/2025</v>
          </cell>
          <cell r="J279">
            <v>5</v>
          </cell>
          <cell r="K279" t="str">
            <v>Flight One Way</v>
          </cell>
          <cell r="L279" t="str">
            <v>02-09-2025 15:22:01</v>
          </cell>
          <cell r="M279" t="str">
            <v>Lion Air  YIA Yogyakarta International Airport JT-644 - Lion Air Domestic UPG Hasanuddin JT-644</v>
          </cell>
          <cell r="N279" t="str">
            <v>TL K3L DAN KAM</v>
          </cell>
          <cell r="O279">
            <v>74092801</v>
          </cell>
          <cell r="P279" t="str">
            <v>05/09/2025 15:40:00 - 05/09/2025 18:35:00</v>
          </cell>
          <cell r="Q279">
            <v>1134200</v>
          </cell>
        </row>
        <row r="280">
          <cell r="A280">
            <v>1280637841</v>
          </cell>
          <cell r="B280" t="str">
            <v>9618005FBY</v>
          </cell>
          <cell r="C280" t="str">
            <v>MUH. RIYAN MIFTA</v>
          </cell>
          <cell r="D280">
            <v>96187604</v>
          </cell>
          <cell r="E280">
            <v>4120177502</v>
          </cell>
          <cell r="F280">
            <v>54</v>
          </cell>
          <cell r="G280" t="str">
            <v>Perjalanan Dinas Diklat</v>
          </cell>
          <cell r="H280" t="str">
            <v>Kab. Mamuju - Kota Cilegon</v>
          </cell>
          <cell r="I280" t="str">
            <v>31/08/2025 - 05/09/2025</v>
          </cell>
          <cell r="J280">
            <v>6</v>
          </cell>
          <cell r="K280" t="str">
            <v>Flight One Way</v>
          </cell>
          <cell r="L280" t="str">
            <v>29-08-2025 16:29:55</v>
          </cell>
          <cell r="M280" t="str">
            <v>Batik Air  MJU Tampa Padang ID-6789 - Batik Air 1A CGK Soekarno Hatta International Airport ID-6789</v>
          </cell>
          <cell r="N280" t="str">
            <v>JTC KONS LISDES</v>
          </cell>
          <cell r="O280">
            <v>7412290</v>
          </cell>
          <cell r="P280" t="str">
            <v>31/08/2025 11:35:00 - 31/08/2025 14:45:00</v>
          </cell>
          <cell r="Q280">
            <v>2643000</v>
          </cell>
        </row>
        <row r="281">
          <cell r="A281">
            <v>1280738301</v>
          </cell>
          <cell r="B281" t="str">
            <v>9618005FBY</v>
          </cell>
          <cell r="C281" t="str">
            <v>MUH. RIYAN MIFTA</v>
          </cell>
          <cell r="D281">
            <v>96187604</v>
          </cell>
          <cell r="E281">
            <v>4120177502</v>
          </cell>
          <cell r="F281">
            <v>54</v>
          </cell>
          <cell r="G281" t="str">
            <v>Perjalanan Dinas Diklat</v>
          </cell>
          <cell r="H281" t="str">
            <v>Kab. Mamuju - Kota Cilegon</v>
          </cell>
          <cell r="I281" t="str">
            <v>31/08/2025 - 05/09/2025</v>
          </cell>
          <cell r="J281">
            <v>6</v>
          </cell>
          <cell r="K281" t="str">
            <v>Flight One Way</v>
          </cell>
          <cell r="L281" t="str">
            <v>30-08-2025 00:33:58</v>
          </cell>
          <cell r="M281" t="str">
            <v>Batik Air  MJU Tampa Padang ID-6789 - Batik Air 1A CGK Soekarno Hatta International Airport ID-6789</v>
          </cell>
          <cell r="N281" t="str">
            <v>JTC KONS LISDES</v>
          </cell>
          <cell r="O281">
            <v>7412290</v>
          </cell>
          <cell r="P281" t="str">
            <v>31/08/2025 11:35:00 - 31/08/2025 14:45:00</v>
          </cell>
          <cell r="Q281">
            <v>2595600</v>
          </cell>
        </row>
        <row r="282">
          <cell r="A282">
            <v>1281853254</v>
          </cell>
          <cell r="B282" t="str">
            <v>9618005FBY</v>
          </cell>
          <cell r="C282" t="str">
            <v>MUH. RIYAN MIFTA</v>
          </cell>
          <cell r="D282">
            <v>96187604</v>
          </cell>
          <cell r="E282">
            <v>4120177502</v>
          </cell>
          <cell r="F282">
            <v>54</v>
          </cell>
          <cell r="G282" t="str">
            <v>Perjalanan Dinas Diklat</v>
          </cell>
          <cell r="H282" t="str">
            <v>Kab. Mamuju - Kota Cilegon</v>
          </cell>
          <cell r="I282" t="str">
            <v>31/08/2025 - 05/09/2025</v>
          </cell>
          <cell r="J282">
            <v>6</v>
          </cell>
          <cell r="K282" t="str">
            <v>Flight One Way</v>
          </cell>
          <cell r="L282" t="str">
            <v>03-09-2025 20:33:33</v>
          </cell>
          <cell r="M282" t="str">
            <v>Garuda Indonesia  CGK Soekarno Hatta International Airport GA-604 - Garuda Indonesia Domestic UPG Hasanuddin GA-604</v>
          </cell>
          <cell r="N282" t="str">
            <v>JTC KONS LISDES</v>
          </cell>
          <cell r="O282">
            <v>7412290</v>
          </cell>
          <cell r="P282" t="str">
            <v>05/09/2025 02:50:00 - 05/09/2025 06:25:00</v>
          </cell>
          <cell r="Q282">
            <v>2371200</v>
          </cell>
        </row>
        <row r="283">
          <cell r="A283">
            <v>1280750410</v>
          </cell>
          <cell r="B283" t="str">
            <v>8808064F</v>
          </cell>
          <cell r="C283" t="str">
            <v>ARMAN ARIF</v>
          </cell>
          <cell r="D283">
            <v>88087610</v>
          </cell>
          <cell r="E283">
            <v>4120177516</v>
          </cell>
          <cell r="F283">
            <v>54</v>
          </cell>
          <cell r="G283" t="str">
            <v>Perjalanan Dinas Diklat</v>
          </cell>
          <cell r="H283" t="str">
            <v>Kota Palopo - Jakarta Barat</v>
          </cell>
          <cell r="I283" t="str">
            <v>30/08/2025 - 06/09/2025</v>
          </cell>
          <cell r="J283">
            <v>8</v>
          </cell>
          <cell r="K283" t="str">
            <v>Flight Round-Trip</v>
          </cell>
          <cell r="L283" t="str">
            <v>30-08-2025 05:46:47</v>
          </cell>
          <cell r="M283" t="str">
            <v>Sriwijaya Air Domestic UPG Hasanuddin SJ-581 - Sriwijaya Air 1A CGK Soekarno Hatta International Airport SJ-581</v>
          </cell>
          <cell r="N283" t="str">
            <v>TL K3L DAN KAM</v>
          </cell>
          <cell r="O283">
            <v>7412260</v>
          </cell>
          <cell r="P283" t="str">
            <v>31/08/2025 12:10:00 - 31/08/2025 13:25:00</v>
          </cell>
          <cell r="Q283">
            <v>3724700</v>
          </cell>
        </row>
        <row r="284">
          <cell r="A284">
            <v>1281744423</v>
          </cell>
          <cell r="B284" t="str">
            <v>9616062FY</v>
          </cell>
          <cell r="C284" t="str">
            <v>MUHAMMAD REZKI NEHRU</v>
          </cell>
          <cell r="D284">
            <v>96167812</v>
          </cell>
          <cell r="E284">
            <v>4120177486</v>
          </cell>
          <cell r="F284">
            <v>54</v>
          </cell>
          <cell r="G284" t="str">
            <v>Perjalanan Dinas Diklat</v>
          </cell>
          <cell r="H284" t="str">
            <v>Kota Makassar - Kota Cilegon</v>
          </cell>
          <cell r="I284" t="str">
            <v>31/08/2025 - 05/09/2025</v>
          </cell>
          <cell r="J284">
            <v>6</v>
          </cell>
          <cell r="K284" t="str">
            <v>Flight One Way</v>
          </cell>
          <cell r="L284" t="str">
            <v>03-09-2025 13:34:57</v>
          </cell>
          <cell r="M284" t="str">
            <v>Garuda Indonesia  CGK Soekarno Hatta International Airport GA-604 - Garuda Indonesia Domestic UPG Hasanuddin GA-604</v>
          </cell>
          <cell r="N284" t="str">
            <v>JTC KONS LISDES</v>
          </cell>
          <cell r="O284">
            <v>7412000</v>
          </cell>
          <cell r="P284" t="str">
            <v>05/09/2025 02:50:00 - 05/09/2025 06:25:00</v>
          </cell>
          <cell r="Q284">
            <v>1431600</v>
          </cell>
        </row>
        <row r="285">
          <cell r="A285">
            <v>1280620370</v>
          </cell>
          <cell r="B285" t="str">
            <v>9616062FY</v>
          </cell>
          <cell r="C285" t="str">
            <v>MUHAMMAD REZKI NEHRU</v>
          </cell>
          <cell r="D285">
            <v>96167812</v>
          </cell>
          <cell r="E285">
            <v>4120177486</v>
          </cell>
          <cell r="F285">
            <v>54</v>
          </cell>
          <cell r="G285" t="str">
            <v>Perjalanan Dinas Diklat</v>
          </cell>
          <cell r="H285" t="str">
            <v>Kota Makassar - Kota Cilegon</v>
          </cell>
          <cell r="I285" t="str">
            <v>31/08/2025 - 05/09/2025</v>
          </cell>
          <cell r="J285">
            <v>6</v>
          </cell>
          <cell r="K285" t="str">
            <v>Flight One Way</v>
          </cell>
          <cell r="L285" t="str">
            <v>29-08-2025 15:19:01</v>
          </cell>
          <cell r="M285" t="str">
            <v>Garuda Indonesia Domestic UPG Hasanuddin GA-605 - Garuda Indonesia  CGK Soekarno Hatta International Airport GA-605</v>
          </cell>
          <cell r="N285" t="str">
            <v>JTC KONS LISDES</v>
          </cell>
          <cell r="O285">
            <v>7412000</v>
          </cell>
          <cell r="P285" t="str">
            <v>31/08/2025 10:55:00 - 31/08/2025 12:25:00</v>
          </cell>
          <cell r="Q285">
            <v>2349600</v>
          </cell>
        </row>
        <row r="286">
          <cell r="A286">
            <v>1280599920</v>
          </cell>
          <cell r="B286" t="str">
            <v>9518699ZY</v>
          </cell>
          <cell r="C286" t="str">
            <v>RISKY ASWARA ASWIN</v>
          </cell>
          <cell r="D286">
            <v>95187604</v>
          </cell>
          <cell r="E286">
            <v>4120177519</v>
          </cell>
          <cell r="F286">
            <v>54</v>
          </cell>
          <cell r="G286" t="str">
            <v>Perjalanan Dinas Diklat</v>
          </cell>
          <cell r="H286" t="str">
            <v>Kota Makassar - Kota Yogyakarta</v>
          </cell>
          <cell r="I286" t="str">
            <v>01/09/2025 - 05/09/2025</v>
          </cell>
          <cell r="J286">
            <v>5</v>
          </cell>
          <cell r="K286" t="str">
            <v>Flight Round-Trip</v>
          </cell>
          <cell r="L286" t="str">
            <v>29-08-2025 13:59:33</v>
          </cell>
          <cell r="M286" t="str">
            <v>Lion Air Domestic UPG Hasanuddin JT-641 - Lion Air  YIA Yogyakarta International Airport JT-641</v>
          </cell>
          <cell r="N286" t="str">
            <v>OF LING</v>
          </cell>
          <cell r="O286">
            <v>7412000</v>
          </cell>
          <cell r="P286" t="str">
            <v>01/09/2025 08:40:00 - 01/09/2025 09:35:00</v>
          </cell>
          <cell r="Q286">
            <v>2329800</v>
          </cell>
        </row>
        <row r="287">
          <cell r="A287">
            <v>1280628422</v>
          </cell>
          <cell r="B287" t="str">
            <v>9317719ZY</v>
          </cell>
          <cell r="C287" t="str">
            <v>NUR LAYLA SARI HS</v>
          </cell>
          <cell r="D287">
            <v>93177609</v>
          </cell>
          <cell r="E287">
            <v>4120177518</v>
          </cell>
          <cell r="F287">
            <v>54</v>
          </cell>
          <cell r="G287" t="str">
            <v>Perjalanan Dinas Diklat</v>
          </cell>
          <cell r="H287" t="str">
            <v>Kota Makassar - Jakarta Barat</v>
          </cell>
          <cell r="I287" t="str">
            <v>30/08/2025 - 06/09/2025</v>
          </cell>
          <cell r="J287">
            <v>8</v>
          </cell>
          <cell r="K287" t="str">
            <v>Flight Round-Trip</v>
          </cell>
          <cell r="L287" t="str">
            <v>29-08-2025 15:50:54</v>
          </cell>
          <cell r="M287" t="str">
            <v>Garuda Indonesia Domestic UPG Hasanuddin GA-615 - Garuda Indonesia  CGK Soekarno Hatta International Airport GA-615</v>
          </cell>
          <cell r="N287" t="str">
            <v>OF K3 DAN KAM</v>
          </cell>
          <cell r="O287">
            <v>7412000</v>
          </cell>
          <cell r="P287" t="str">
            <v>30/08/2025 19:00:00 - 30/08/2025 20:25:00</v>
          </cell>
          <cell r="Q287">
            <v>4735300</v>
          </cell>
        </row>
        <row r="288">
          <cell r="A288">
            <v>1282311288</v>
          </cell>
          <cell r="B288" t="str">
            <v>9317719ZY</v>
          </cell>
          <cell r="C288" t="str">
            <v>NUR LAYLA SARI HS</v>
          </cell>
          <cell r="D288">
            <v>93177609</v>
          </cell>
          <cell r="E288">
            <v>4120177518</v>
          </cell>
          <cell r="F288">
            <v>54</v>
          </cell>
          <cell r="G288" t="str">
            <v>Perjalanan Dinas Diklat</v>
          </cell>
          <cell r="H288" t="str">
            <v>Kota Makassar - Jakarta Barat</v>
          </cell>
          <cell r="I288" t="str">
            <v>30/08/2025 - 06/09/2025</v>
          </cell>
          <cell r="J288">
            <v>8</v>
          </cell>
          <cell r="K288" t="str">
            <v>Hotel</v>
          </cell>
          <cell r="L288" t="str">
            <v>05-09-2025 12:13:41</v>
          </cell>
          <cell r="M288" t="str">
            <v xml:space="preserve">ibis Styles Jakarta Airport - 3.0 Stars  - </v>
          </cell>
          <cell r="N288" t="str">
            <v>OF K3 DAN KAM</v>
          </cell>
          <cell r="O288">
            <v>7412000</v>
          </cell>
          <cell r="P288" t="str">
            <v>05/09/2025 14:00:00 - 06/09/2025 12:00:00</v>
          </cell>
          <cell r="Q288">
            <v>841192</v>
          </cell>
        </row>
        <row r="289">
          <cell r="A289">
            <v>1280897809</v>
          </cell>
          <cell r="B289" t="str">
            <v>9619392ZY</v>
          </cell>
          <cell r="C289" t="str">
            <v>YOGA YUNIAR B M</v>
          </cell>
          <cell r="D289">
            <v>96196205</v>
          </cell>
          <cell r="E289">
            <v>4120177517</v>
          </cell>
          <cell r="F289">
            <v>54</v>
          </cell>
          <cell r="G289" t="str">
            <v>Perjalanan Dinas Diklat</v>
          </cell>
          <cell r="H289" t="str">
            <v>Kab. Pinrang - Jakarta Barat</v>
          </cell>
          <cell r="I289" t="str">
            <v>30/08/2025 - 06/09/2025</v>
          </cell>
          <cell r="J289">
            <v>8</v>
          </cell>
          <cell r="K289" t="str">
            <v>Hotel</v>
          </cell>
          <cell r="L289" t="str">
            <v>30-08-2025 18:33:41</v>
          </cell>
          <cell r="M289" t="str">
            <v xml:space="preserve">Royal Palm Hotel &amp; Conference Center Cengkareng - 4.0 Stars  - </v>
          </cell>
          <cell r="N289" t="str">
            <v>TL K3L DAN KAM</v>
          </cell>
          <cell r="O289">
            <v>7412250</v>
          </cell>
          <cell r="P289" t="str">
            <v>30/08/2025 14:00:00 - 31/08/2025 12:00:00</v>
          </cell>
          <cell r="Q289">
            <v>637338</v>
          </cell>
        </row>
        <row r="290">
          <cell r="A290">
            <v>1280580127</v>
          </cell>
          <cell r="B290" t="str">
            <v>9619392ZY</v>
          </cell>
          <cell r="C290" t="str">
            <v>YOGA YUNIAR B M</v>
          </cell>
          <cell r="D290">
            <v>96196205</v>
          </cell>
          <cell r="E290">
            <v>4120177517</v>
          </cell>
          <cell r="F290">
            <v>54</v>
          </cell>
          <cell r="G290" t="str">
            <v>Perjalanan Dinas Diklat</v>
          </cell>
          <cell r="H290" t="str">
            <v>Kab. Pinrang - Jakarta Barat</v>
          </cell>
          <cell r="I290" t="str">
            <v>30/08/2025 - 06/09/2025</v>
          </cell>
          <cell r="J290">
            <v>8</v>
          </cell>
          <cell r="K290" t="str">
            <v>Flight One Way</v>
          </cell>
          <cell r="L290" t="str">
            <v>29-08-2025 12:41:50</v>
          </cell>
          <cell r="M290" t="str">
            <v>Citilink Domestic UPG Hasanuddin QG-427 - Citilink 1B CGK Soekarno Hatta International Airport QG-427</v>
          </cell>
          <cell r="N290" t="str">
            <v>TL K3L DAN KAM</v>
          </cell>
          <cell r="O290">
            <v>7412250</v>
          </cell>
          <cell r="P290" t="str">
            <v>30/08/2025 22:10:00 - 30/08/2025 23:30:00</v>
          </cell>
          <cell r="Q290">
            <v>1547700</v>
          </cell>
        </row>
        <row r="291">
          <cell r="A291">
            <v>1281656532</v>
          </cell>
          <cell r="B291" t="str">
            <v>9619392ZY</v>
          </cell>
          <cell r="C291" t="str">
            <v>YOGA YUNIAR B M</v>
          </cell>
          <cell r="D291">
            <v>96196205</v>
          </cell>
          <cell r="E291">
            <v>4120177517</v>
          </cell>
          <cell r="F291">
            <v>54</v>
          </cell>
          <cell r="G291" t="str">
            <v>Perjalanan Dinas Diklat</v>
          </cell>
          <cell r="H291" t="str">
            <v>Kab. Pinrang - Jakarta Barat</v>
          </cell>
          <cell r="I291" t="str">
            <v>30/08/2025 - 06/09/2025</v>
          </cell>
          <cell r="J291">
            <v>8</v>
          </cell>
          <cell r="K291" t="str">
            <v>Flight One Way</v>
          </cell>
          <cell r="L291" t="str">
            <v>03-09-2025 07:23:08</v>
          </cell>
          <cell r="M291" t="str">
            <v>Garuda Indonesia  CGK Soekarno Hatta International Airport GA-618 - Garuda Indonesia Domestic UPG Hasanuddin GA-618</v>
          </cell>
          <cell r="N291" t="str">
            <v>TL K3L DAN KAM</v>
          </cell>
          <cell r="O291">
            <v>7412250</v>
          </cell>
          <cell r="P291" t="str">
            <v>06/09/2025 20:15:00 - 06/09/2025 23:50:00</v>
          </cell>
          <cell r="Q291">
            <v>1431600</v>
          </cell>
        </row>
        <row r="292">
          <cell r="A292">
            <v>1282237861</v>
          </cell>
          <cell r="B292" t="str">
            <v>9619392ZY</v>
          </cell>
          <cell r="C292" t="str">
            <v>YOGA YUNIAR B M</v>
          </cell>
          <cell r="D292">
            <v>96196205</v>
          </cell>
          <cell r="E292">
            <v>4120177517</v>
          </cell>
          <cell r="F292">
            <v>54</v>
          </cell>
          <cell r="G292" t="str">
            <v>Perjalanan Dinas Diklat</v>
          </cell>
          <cell r="H292" t="str">
            <v>Kab. Pinrang - Jakarta Barat</v>
          </cell>
          <cell r="I292" t="str">
            <v>30/08/2025 - 06/09/2025</v>
          </cell>
          <cell r="J292">
            <v>8</v>
          </cell>
          <cell r="K292" t="str">
            <v>Hotel</v>
          </cell>
          <cell r="L292" t="str">
            <v>05-09-2025 07:36:39</v>
          </cell>
          <cell r="M292" t="str">
            <v xml:space="preserve">Arosa Hotel Jakarta - 3.0 Stars  - </v>
          </cell>
          <cell r="N292" t="str">
            <v>TL K3L DAN KAM</v>
          </cell>
          <cell r="O292">
            <v>7412250</v>
          </cell>
          <cell r="P292" t="str">
            <v>05/09/2025 14:00:00 - 06/09/2025 12:00:00</v>
          </cell>
          <cell r="Q292">
            <v>641250</v>
          </cell>
        </row>
        <row r="293">
          <cell r="A293">
            <v>1280548362</v>
          </cell>
          <cell r="B293" t="str">
            <v>9619975ZY</v>
          </cell>
          <cell r="C293" t="str">
            <v>SEKARWATI CIPTOROSO</v>
          </cell>
          <cell r="D293">
            <v>96197610</v>
          </cell>
          <cell r="E293">
            <v>4120177514</v>
          </cell>
          <cell r="F293">
            <v>54</v>
          </cell>
          <cell r="G293" t="str">
            <v>Perjalanan Dinas Non-Diklat</v>
          </cell>
          <cell r="H293" t="str">
            <v>Kota Baubau - Kota Makassar</v>
          </cell>
          <cell r="I293" t="str">
            <v>02/09/2025 - 05/09/2025</v>
          </cell>
          <cell r="J293">
            <v>4</v>
          </cell>
          <cell r="K293" t="str">
            <v>Flight One Way</v>
          </cell>
          <cell r="L293" t="str">
            <v>29-08-2025 10:35:44</v>
          </cell>
          <cell r="M293" t="str">
            <v>Super Air Jet  BUW Betoambari IU-573 - Super Air Jet  UPG Hasanuddin IU-573</v>
          </cell>
          <cell r="N293" t="str">
            <v>OF KIN KEU DAN MUM</v>
          </cell>
          <cell r="O293">
            <v>7412280</v>
          </cell>
          <cell r="P293" t="str">
            <v>02/09/2025 15:35:00 - 02/09/2025 16:20:00</v>
          </cell>
          <cell r="Q293">
            <v>744200</v>
          </cell>
        </row>
        <row r="294">
          <cell r="A294">
            <v>1280558996</v>
          </cell>
          <cell r="B294" t="str">
            <v>9619975ZY</v>
          </cell>
          <cell r="C294" t="str">
            <v>SEKARWATI CIPTOROSO</v>
          </cell>
          <cell r="D294">
            <v>96197610</v>
          </cell>
          <cell r="E294">
            <v>4120177514</v>
          </cell>
          <cell r="F294">
            <v>54</v>
          </cell>
          <cell r="G294" t="str">
            <v>Perjalanan Dinas Non-Diklat</v>
          </cell>
          <cell r="H294" t="str">
            <v>Kota Baubau - Kota Makassar</v>
          </cell>
          <cell r="I294" t="str">
            <v>02/09/2025 - 05/09/2025</v>
          </cell>
          <cell r="J294">
            <v>4</v>
          </cell>
          <cell r="K294" t="str">
            <v>Hotel</v>
          </cell>
          <cell r="L294" t="str">
            <v>29-08-2025 11:16:47</v>
          </cell>
          <cell r="M294" t="str">
            <v xml:space="preserve">Vasaka Hotel Makassar Managed By Dafam - 3.5 Stars  - </v>
          </cell>
          <cell r="N294" t="str">
            <v>OF KIN KEU DAN MUM</v>
          </cell>
          <cell r="O294">
            <v>7412280</v>
          </cell>
          <cell r="P294" t="str">
            <v>02/09/2025 14:00:00 - 05/09/2025 12:00:00</v>
          </cell>
          <cell r="Q294">
            <v>1738800</v>
          </cell>
        </row>
        <row r="295">
          <cell r="A295">
            <v>1280376865</v>
          </cell>
          <cell r="B295" t="str">
            <v>9112002FY</v>
          </cell>
          <cell r="C295" t="str">
            <v>ABDUL RAIS</v>
          </cell>
          <cell r="D295">
            <v>91127600</v>
          </cell>
          <cell r="E295">
            <v>4120177506</v>
          </cell>
          <cell r="F295">
            <v>54</v>
          </cell>
          <cell r="G295" t="str">
            <v>Perjalanan Dinas Diklat</v>
          </cell>
          <cell r="H295" t="str">
            <v>Kota Baubau - Kota Yogyakarta</v>
          </cell>
          <cell r="I295" t="str">
            <v>01/09/2025 - 05/09/2025</v>
          </cell>
          <cell r="J295">
            <v>5</v>
          </cell>
          <cell r="K295" t="str">
            <v>Flight Round-Trip</v>
          </cell>
          <cell r="L295" t="str">
            <v>28-08-2025 16:20:35</v>
          </cell>
          <cell r="M295" t="str">
            <v>Lion Air Domestic UPG Hasanuddin JT-641 - Lion Air  YIA Yogyakarta International Airport JT-641</v>
          </cell>
          <cell r="N295" t="str">
            <v>TL K3 DAN KAM LAY GAN</v>
          </cell>
          <cell r="O295">
            <v>7409650</v>
          </cell>
          <cell r="P295" t="str">
            <v>01/09/2025 08:40:00 - 01/09/2025 09:35:00</v>
          </cell>
          <cell r="Q295">
            <v>2598500</v>
          </cell>
        </row>
        <row r="296">
          <cell r="A296">
            <v>1280344826</v>
          </cell>
          <cell r="B296" t="str">
            <v>94171599ZY</v>
          </cell>
          <cell r="C296" t="str">
            <v>MUHAMMAD IQBAAL MS</v>
          </cell>
          <cell r="D296">
            <v>94177619</v>
          </cell>
          <cell r="E296">
            <v>4120177496</v>
          </cell>
          <cell r="F296">
            <v>54</v>
          </cell>
          <cell r="G296" t="str">
            <v>Perjalanan Dinas Diklat</v>
          </cell>
          <cell r="H296" t="str">
            <v>Kota Baubau - Kota Yogyakarta</v>
          </cell>
          <cell r="I296" t="str">
            <v>01/09/2025 - 05/09/2025</v>
          </cell>
          <cell r="J296">
            <v>5</v>
          </cell>
          <cell r="K296" t="str">
            <v>Flight One Way</v>
          </cell>
          <cell r="L296" t="str">
            <v>28-08-2025 14:15:47</v>
          </cell>
          <cell r="M296" t="str">
            <v>Wings Air  BUW Betoambari IW-1305 - Wings Air 2D CGK Soekarno Hatta International Airport IW-1305</v>
          </cell>
          <cell r="N296" t="str">
            <v>TL K3L DAN KAM</v>
          </cell>
          <cell r="O296">
            <v>7412280</v>
          </cell>
          <cell r="P296" t="str">
            <v>01/09/2025 06:30:00 - 01/09/2025 13:35:00</v>
          </cell>
          <cell r="Q296">
            <v>3247100</v>
          </cell>
        </row>
        <row r="297">
          <cell r="A297">
            <v>1280346724</v>
          </cell>
          <cell r="B297" t="str">
            <v>94171599ZY</v>
          </cell>
          <cell r="C297" t="str">
            <v>MUHAMMAD IQBAAL MS</v>
          </cell>
          <cell r="D297">
            <v>94177619</v>
          </cell>
          <cell r="E297">
            <v>4120177496</v>
          </cell>
          <cell r="F297">
            <v>54</v>
          </cell>
          <cell r="G297" t="str">
            <v>Perjalanan Dinas Diklat</v>
          </cell>
          <cell r="H297" t="str">
            <v>Kota Baubau - Kota Yogyakarta</v>
          </cell>
          <cell r="I297" t="str">
            <v>01/09/2025 - 05/09/2025</v>
          </cell>
          <cell r="J297">
            <v>5</v>
          </cell>
          <cell r="K297" t="str">
            <v>Flight One Way</v>
          </cell>
          <cell r="L297" t="str">
            <v>28-08-2025 14:22:48</v>
          </cell>
          <cell r="M297" t="str">
            <v>Wings Air  BUW Betoambari IW-1305 - Wings Air  YIA Yogyakarta International Airport IW-1305</v>
          </cell>
          <cell r="N297" t="str">
            <v>TL K3L DAN KAM</v>
          </cell>
          <cell r="O297">
            <v>7412280</v>
          </cell>
          <cell r="P297" t="str">
            <v>01/09/2025 06:30:00 - 01/09/2025 09:35:00</v>
          </cell>
          <cell r="Q297">
            <v>2827000</v>
          </cell>
        </row>
        <row r="298">
          <cell r="A298">
            <v>1280615523</v>
          </cell>
          <cell r="B298" t="str">
            <v>8808035F</v>
          </cell>
          <cell r="C298" t="str">
            <v>M. JABAL NOOR</v>
          </cell>
          <cell r="D298">
            <v>88087601</v>
          </cell>
          <cell r="E298">
            <v>4120177501</v>
          </cell>
          <cell r="F298">
            <v>54</v>
          </cell>
          <cell r="G298" t="str">
            <v>Perjalanan Dinas Diklat</v>
          </cell>
          <cell r="H298" t="str">
            <v>Kota Kendari - Jakarta Barat</v>
          </cell>
          <cell r="I298" t="str">
            <v>30/08/2025 - 06/09/2025</v>
          </cell>
          <cell r="J298">
            <v>8</v>
          </cell>
          <cell r="K298" t="str">
            <v>Flight One Way</v>
          </cell>
          <cell r="L298" t="str">
            <v>29-08-2025 14:59:44</v>
          </cell>
          <cell r="M298" t="str">
            <v>Pelita Air  KDI Haluoleo IP-811 - Pelita Air 3 CGK Soekarno Hatta International Airport IP-811</v>
          </cell>
          <cell r="N298" t="str">
            <v>TL K3L DAN KAM</v>
          </cell>
          <cell r="O298">
            <v>7412240</v>
          </cell>
          <cell r="P298" t="str">
            <v>31/08/2025 10:35:00 - 31/08/2025 12:20:00</v>
          </cell>
          <cell r="Q298">
            <v>2422000</v>
          </cell>
        </row>
        <row r="299">
          <cell r="A299">
            <v>1280628483</v>
          </cell>
          <cell r="B299" t="str">
            <v>8808035F</v>
          </cell>
          <cell r="C299" t="str">
            <v>M. JABAL NOOR</v>
          </cell>
          <cell r="D299">
            <v>88087601</v>
          </cell>
          <cell r="E299">
            <v>4120177501</v>
          </cell>
          <cell r="F299">
            <v>54</v>
          </cell>
          <cell r="G299" t="str">
            <v>Perjalanan Dinas Diklat</v>
          </cell>
          <cell r="H299" t="str">
            <v>Kota Kendari - Jakarta Barat</v>
          </cell>
          <cell r="I299" t="str">
            <v>30/08/2025 - 06/09/2025</v>
          </cell>
          <cell r="J299">
            <v>8</v>
          </cell>
          <cell r="K299" t="str">
            <v>Flight One Way</v>
          </cell>
          <cell r="L299" t="str">
            <v>29-08-2025 15:51:03</v>
          </cell>
          <cell r="M299" t="str">
            <v>Citilink 1B CGK Soekarno Hatta International Airport QG-330 - Citilink  KDI Haluoleo QG-330</v>
          </cell>
          <cell r="N299" t="str">
            <v>TL K3L DAN KAM</v>
          </cell>
          <cell r="O299">
            <v>7412240</v>
          </cell>
          <cell r="P299" t="str">
            <v>06/09/2025 13:00:00 - 06/09/2025 16:55:00</v>
          </cell>
          <cell r="Q299">
            <v>1881500</v>
          </cell>
        </row>
        <row r="300">
          <cell r="A300">
            <v>1280640250</v>
          </cell>
          <cell r="B300" t="str">
            <v>90112386Z</v>
          </cell>
          <cell r="C300" t="str">
            <v>ISWANTO HAKIM</v>
          </cell>
          <cell r="D300">
            <v>90117611</v>
          </cell>
          <cell r="E300">
            <v>4120177480</v>
          </cell>
          <cell r="F300">
            <v>54</v>
          </cell>
          <cell r="G300" t="str">
            <v>Perjalanan Dinas Non-Diklat</v>
          </cell>
          <cell r="H300" t="str">
            <v>Kab. Muna - Kota Baubau</v>
          </cell>
          <cell r="I300" t="str">
            <v>28/08/2025 - 30/08/2025</v>
          </cell>
          <cell r="J300">
            <v>3</v>
          </cell>
          <cell r="K300" t="str">
            <v>Hotel</v>
          </cell>
          <cell r="L300" t="str">
            <v>29-08-2025 16:39:50</v>
          </cell>
          <cell r="M300" t="str">
            <v>Zenith Premiere Hotel Baubau - 3.0 Stars  - Superior Twin</v>
          </cell>
          <cell r="N300" t="str">
            <v>MUL ULP (RAHA)</v>
          </cell>
          <cell r="O300">
            <v>7409651</v>
          </cell>
          <cell r="P300" t="str">
            <v>29/08/2025 14:00:00 - 30/08/2025 12:00:00</v>
          </cell>
          <cell r="Q300">
            <v>782655</v>
          </cell>
        </row>
        <row r="301">
          <cell r="A301">
            <v>1280308209</v>
          </cell>
          <cell r="B301" t="str">
            <v>91151479ZY</v>
          </cell>
          <cell r="C301" t="str">
            <v>RICKY TITIN TRIPUTRA</v>
          </cell>
          <cell r="D301">
            <v>91157612</v>
          </cell>
          <cell r="E301">
            <v>4120177487</v>
          </cell>
          <cell r="F301">
            <v>54</v>
          </cell>
          <cell r="G301" t="str">
            <v>Perjalanan Dinas Non-Diklat</v>
          </cell>
          <cell r="H301" t="str">
            <v>Kab. Wakatobi - Kota Baubau</v>
          </cell>
          <cell r="I301" t="str">
            <v>28/08/2025 - 30/08/2025</v>
          </cell>
          <cell r="J301">
            <v>3</v>
          </cell>
          <cell r="K301" t="str">
            <v>Hotel</v>
          </cell>
          <cell r="L301" t="str">
            <v>28-08-2025 11:53:53</v>
          </cell>
          <cell r="M301" t="str">
            <v xml:space="preserve">Zenith Premiere Hotel Baubau - 3.0 Stars  - </v>
          </cell>
          <cell r="N301" t="str">
            <v>MUL</v>
          </cell>
          <cell r="O301">
            <v>7409652</v>
          </cell>
          <cell r="P301" t="str">
            <v>29/08/2025 14:00:00 - 30/08/2025 12:00:00</v>
          </cell>
          <cell r="Q301">
            <v>789920</v>
          </cell>
        </row>
        <row r="302">
          <cell r="A302">
            <v>1280299982</v>
          </cell>
          <cell r="B302" t="str">
            <v>93151297ZY</v>
          </cell>
          <cell r="C302" t="str">
            <v>APRIZAL ARIF AMIR</v>
          </cell>
          <cell r="D302">
            <v>93157607</v>
          </cell>
          <cell r="E302">
            <v>4120177481</v>
          </cell>
          <cell r="F302">
            <v>54</v>
          </cell>
          <cell r="G302" t="str">
            <v>Perjalanan Dinas Non-Diklat</v>
          </cell>
          <cell r="H302" t="str">
            <v>Kab. Buton Tengah - Kota Baubau</v>
          </cell>
          <cell r="I302" t="str">
            <v>29/08/2025 - 30/08/2025</v>
          </cell>
          <cell r="J302">
            <v>2</v>
          </cell>
          <cell r="K302" t="str">
            <v>Hotel</v>
          </cell>
          <cell r="L302" t="str">
            <v>28-08-2025 11:23:34</v>
          </cell>
          <cell r="M302" t="str">
            <v xml:space="preserve">Zenith Premiere Hotel Baubau - 3.0 Stars  - </v>
          </cell>
          <cell r="N302" t="str">
            <v>MUL ULP (MAWASANGKA)</v>
          </cell>
          <cell r="O302">
            <v>7409654</v>
          </cell>
          <cell r="P302" t="str">
            <v>29/08/2025 14:00:00 - 30/08/2025 12:00:00</v>
          </cell>
          <cell r="Q302">
            <v>784120</v>
          </cell>
        </row>
        <row r="303">
          <cell r="A303">
            <v>1280387742</v>
          </cell>
          <cell r="B303" t="str">
            <v>9823328ZY</v>
          </cell>
          <cell r="C303" t="str">
            <v>ANDI FAUZAN ALIM</v>
          </cell>
          <cell r="D303">
            <v>98237600</v>
          </cell>
          <cell r="E303">
            <v>4120177484</v>
          </cell>
          <cell r="F303">
            <v>54</v>
          </cell>
          <cell r="G303" t="str">
            <v>Perjalanan Dinas Non-Diklat</v>
          </cell>
          <cell r="H303" t="str">
            <v>Kab. Bulukumba - Kota Makassar</v>
          </cell>
          <cell r="I303" t="str">
            <v>28/08/2025 - 29/08/2025</v>
          </cell>
          <cell r="J303">
            <v>2</v>
          </cell>
          <cell r="K303" t="str">
            <v>Hotel</v>
          </cell>
          <cell r="L303" t="str">
            <v>28-08-2025 17:05:21</v>
          </cell>
          <cell r="M303" t="str">
            <v xml:space="preserve">Gammara Hotel Makassar - 4.0 Stars  - </v>
          </cell>
          <cell r="N303" t="str">
            <v>TC DAL SUSUT</v>
          </cell>
          <cell r="O303">
            <v>7411273</v>
          </cell>
          <cell r="P303" t="str">
            <v>28/08/2025 14:00:00 - 29/08/2025 12:00:00</v>
          </cell>
          <cell r="Q303">
            <v>628625</v>
          </cell>
        </row>
        <row r="304">
          <cell r="A304">
            <v>1280196454</v>
          </cell>
          <cell r="B304" t="str">
            <v>96191275ZY</v>
          </cell>
          <cell r="C304" t="str">
            <v>BAMA RUSMALI</v>
          </cell>
          <cell r="D304">
            <v>96197617</v>
          </cell>
          <cell r="E304">
            <v>4120177473</v>
          </cell>
          <cell r="F304">
            <v>54</v>
          </cell>
          <cell r="G304" t="str">
            <v>Perjalanan Dinas Non-Diklat</v>
          </cell>
          <cell r="H304" t="str">
            <v>Kota Makassar - Jakarta Pusat</v>
          </cell>
          <cell r="I304" t="str">
            <v>28/08/2025 - 29/08/2025</v>
          </cell>
          <cell r="J304">
            <v>2</v>
          </cell>
          <cell r="K304" t="str">
            <v>Flight One Way</v>
          </cell>
          <cell r="L304" t="str">
            <v>27-08-2025 21:34:26</v>
          </cell>
          <cell r="M304" t="str">
            <v>Garuda Indonesia Domestic UPG Hasanuddin GA-611 - Garuda Indonesia  CGK Soekarno Hatta International Airport GA-611</v>
          </cell>
          <cell r="N304" t="str">
            <v>OF REN LIST PERDESAAN</v>
          </cell>
          <cell r="O304">
            <v>7412000</v>
          </cell>
          <cell r="P304" t="str">
            <v>28/08/2025 11:20:00 - 28/08/2025 12:45:00</v>
          </cell>
          <cell r="Q304">
            <v>2301000</v>
          </cell>
        </row>
        <row r="305">
          <cell r="A305">
            <v>1280210256</v>
          </cell>
          <cell r="B305" t="str">
            <v>96191275ZY</v>
          </cell>
          <cell r="C305" t="str">
            <v>BAMA RUSMALI</v>
          </cell>
          <cell r="D305">
            <v>96197617</v>
          </cell>
          <cell r="E305">
            <v>4120177473</v>
          </cell>
          <cell r="F305">
            <v>54</v>
          </cell>
          <cell r="G305" t="str">
            <v>Perjalanan Dinas Non-Diklat</v>
          </cell>
          <cell r="H305" t="str">
            <v>Kota Makassar - Jakarta Pusat</v>
          </cell>
          <cell r="I305" t="str">
            <v>28/08/2025 - 29/08/2025</v>
          </cell>
          <cell r="J305">
            <v>2</v>
          </cell>
          <cell r="K305" t="str">
            <v>Hotel</v>
          </cell>
          <cell r="L305" t="str">
            <v>27-08-2025 22:37:23</v>
          </cell>
          <cell r="M305" t="str">
            <v xml:space="preserve">Holiday Inn Express JAKARTA WAHID HASYIM by IHG, an IHG Hotel - 3.0 Stars  - </v>
          </cell>
          <cell r="N305" t="str">
            <v>OF REN LIST PERDESAAN</v>
          </cell>
          <cell r="O305">
            <v>7412000</v>
          </cell>
          <cell r="P305" t="str">
            <v>28/08/2025 14:00:00 - 29/08/2025 12:00:00</v>
          </cell>
          <cell r="Q305">
            <v>848038</v>
          </cell>
        </row>
        <row r="306">
          <cell r="A306">
            <v>1280140394</v>
          </cell>
          <cell r="B306" t="str">
            <v>8309472Z</v>
          </cell>
          <cell r="C306" t="str">
            <v>WAWANG WIRATAMA</v>
          </cell>
          <cell r="D306">
            <v>83098401</v>
          </cell>
          <cell r="E306">
            <v>4120177463</v>
          </cell>
          <cell r="F306">
            <v>54</v>
          </cell>
          <cell r="G306" t="str">
            <v>Perjalanan Dinas Non-Diklat</v>
          </cell>
          <cell r="H306" t="str">
            <v>Kota Makassar - Kab. Bone</v>
          </cell>
          <cell r="I306" t="str">
            <v>27/08/2025 - 29/08/2025</v>
          </cell>
          <cell r="J306">
            <v>3</v>
          </cell>
          <cell r="K306" t="str">
            <v>Hotel</v>
          </cell>
          <cell r="L306" t="str">
            <v>27-08-2025 17:43:50</v>
          </cell>
          <cell r="M306" t="str">
            <v xml:space="preserve">Helios Hotel and Convention - 3.0 Stars  - </v>
          </cell>
          <cell r="N306" t="str">
            <v>MAN PNGMANAN PDPT</v>
          </cell>
          <cell r="O306">
            <v>7411141</v>
          </cell>
          <cell r="P306" t="str">
            <v>27/08/2025 14:00:00 - 29/08/2025 12:00:00</v>
          </cell>
          <cell r="Q306">
            <v>1566360</v>
          </cell>
        </row>
        <row r="307">
          <cell r="A307">
            <v>1280049268</v>
          </cell>
          <cell r="B307" t="str">
            <v>7493078F</v>
          </cell>
          <cell r="C307" t="str">
            <v>MUHAMMAD IMRAN SARBIN AR</v>
          </cell>
          <cell r="D307">
            <v>74937604</v>
          </cell>
          <cell r="E307">
            <v>4120177476</v>
          </cell>
          <cell r="F307">
            <v>54</v>
          </cell>
          <cell r="G307" t="str">
            <v>Perjalanan Dinas Non-Diklat</v>
          </cell>
          <cell r="H307" t="str">
            <v>Kota Makassar - Jakarta Pusat</v>
          </cell>
          <cell r="I307" t="str">
            <v>27/08/2025 - 30/08/2025</v>
          </cell>
          <cell r="J307">
            <v>4</v>
          </cell>
          <cell r="K307" t="str">
            <v>Flight One Way</v>
          </cell>
          <cell r="L307" t="str">
            <v>27-08-2025 11:35:35</v>
          </cell>
          <cell r="M307" t="str">
            <v>Garuda Indonesia  CGK Soekarno Hatta International Airport GA-616 - Garuda Indonesia Domestic UPG Hasanuddin GA-616</v>
          </cell>
          <cell r="N307" t="str">
            <v>SOF PAT MAN</v>
          </cell>
          <cell r="O307">
            <v>74092801</v>
          </cell>
          <cell r="P307" t="str">
            <v>30/08/2025 16:45:00 - 30/08/2025 20:20:00</v>
          </cell>
          <cell r="Q307">
            <v>1870200</v>
          </cell>
        </row>
        <row r="308">
          <cell r="A308">
            <v>1280052318</v>
          </cell>
          <cell r="B308" t="str">
            <v>7493078F</v>
          </cell>
          <cell r="C308" t="str">
            <v>MUHAMMAD IMRAN SARBIN AR</v>
          </cell>
          <cell r="D308">
            <v>74937604</v>
          </cell>
          <cell r="E308">
            <v>4120177476</v>
          </cell>
          <cell r="F308">
            <v>54</v>
          </cell>
          <cell r="G308" t="str">
            <v>Perjalanan Dinas Non-Diklat</v>
          </cell>
          <cell r="H308" t="str">
            <v>Kota Makassar - Jakarta Pusat</v>
          </cell>
          <cell r="I308" t="str">
            <v>27/08/2025 - 30/08/2025</v>
          </cell>
          <cell r="J308">
            <v>4</v>
          </cell>
          <cell r="K308" t="str">
            <v>Hotel</v>
          </cell>
          <cell r="L308" t="str">
            <v>27-08-2025 11:47:05</v>
          </cell>
          <cell r="M308" t="str">
            <v xml:space="preserve">Juno Tanah Abang Jakarta - 3.0 Stars  - </v>
          </cell>
          <cell r="N308" t="str">
            <v>SOF PAT MAN</v>
          </cell>
          <cell r="O308">
            <v>74092801</v>
          </cell>
          <cell r="P308" t="str">
            <v>27/08/2025 14:00:00 - 30/08/2025 12:00:00</v>
          </cell>
          <cell r="Q308">
            <v>2298909</v>
          </cell>
        </row>
        <row r="309">
          <cell r="A309">
            <v>1280149341</v>
          </cell>
          <cell r="B309" t="str">
            <v>8406680Z</v>
          </cell>
          <cell r="C309" t="str">
            <v>EKO HANGGORO WICAKSONO</v>
          </cell>
          <cell r="D309">
            <v>84067601</v>
          </cell>
          <cell r="E309">
            <v>4120177475</v>
          </cell>
          <cell r="F309">
            <v>54</v>
          </cell>
          <cell r="G309" t="str">
            <v>Perjalanan Dinas Non-Diklat</v>
          </cell>
          <cell r="H309" t="str">
            <v>Kota Makassar - Kota Sukabumi</v>
          </cell>
          <cell r="I309" t="str">
            <v>28/08/2025 - 30/08/2025</v>
          </cell>
          <cell r="J309">
            <v>3</v>
          </cell>
          <cell r="K309" t="str">
            <v>Hotel</v>
          </cell>
          <cell r="L309" t="str">
            <v>27-08-2025 18:23:28</v>
          </cell>
          <cell r="M309" t="str">
            <v xml:space="preserve">Grand Savero Hotel Bogor - 4.0 Stars  - </v>
          </cell>
          <cell r="N309" t="str">
            <v>ASMAN REN</v>
          </cell>
          <cell r="O309">
            <v>7412340</v>
          </cell>
          <cell r="P309" t="str">
            <v>28/08/2025 14:00:00 - 29/08/2025 12:00:00</v>
          </cell>
          <cell r="Q309">
            <v>929280</v>
          </cell>
        </row>
        <row r="310">
          <cell r="A310">
            <v>1280451961</v>
          </cell>
          <cell r="B310" t="str">
            <v>8406680Z</v>
          </cell>
          <cell r="C310" t="str">
            <v>EKO HANGGORO WICAKSONO</v>
          </cell>
          <cell r="D310">
            <v>84067601</v>
          </cell>
          <cell r="E310">
            <v>4120177475</v>
          </cell>
          <cell r="F310">
            <v>54</v>
          </cell>
          <cell r="G310" t="str">
            <v>Perjalanan Dinas Non-Diklat</v>
          </cell>
          <cell r="H310" t="str">
            <v>Kota Makassar - Kota Sukabumi</v>
          </cell>
          <cell r="I310" t="str">
            <v>28/08/2025 - 30/08/2025</v>
          </cell>
          <cell r="J310">
            <v>3</v>
          </cell>
          <cell r="K310" t="str">
            <v>Hotel</v>
          </cell>
          <cell r="L310" t="str">
            <v>28-08-2025 21:12:25</v>
          </cell>
          <cell r="M310" t="str">
            <v xml:space="preserve">Hotel Orchardz Bandara - 3.0 Stars  - </v>
          </cell>
          <cell r="N310" t="str">
            <v>ASMAN REN</v>
          </cell>
          <cell r="O310">
            <v>7412340</v>
          </cell>
          <cell r="P310" t="str">
            <v>29/08/2025 14:00:00 - 30/08/2025 12:00:00</v>
          </cell>
          <cell r="Q310">
            <v>746975</v>
          </cell>
        </row>
        <row r="311">
          <cell r="A311">
            <v>1280132670</v>
          </cell>
          <cell r="B311" t="str">
            <v>8406680Z</v>
          </cell>
          <cell r="C311" t="str">
            <v>EKO HANGGORO WICAKSONO</v>
          </cell>
          <cell r="D311">
            <v>84067601</v>
          </cell>
          <cell r="E311">
            <v>4120177475</v>
          </cell>
          <cell r="F311">
            <v>54</v>
          </cell>
          <cell r="G311" t="str">
            <v>Perjalanan Dinas Non-Diklat</v>
          </cell>
          <cell r="H311" t="str">
            <v>Kota Makassar - Kota Sukabumi</v>
          </cell>
          <cell r="I311" t="str">
            <v>28/08/2025 - 30/08/2025</v>
          </cell>
          <cell r="J311">
            <v>3</v>
          </cell>
          <cell r="K311" t="str">
            <v>Flight Round-Trip</v>
          </cell>
          <cell r="L311" t="str">
            <v>27-08-2025 17:10:45</v>
          </cell>
          <cell r="M311" t="str">
            <v>Garuda Indonesia Domestic UPG Hasanuddin GA-605 - Garuda Indonesia  CGK Soekarno Hatta International Airport GA-605</v>
          </cell>
          <cell r="N311" t="str">
            <v>ASMAN REN</v>
          </cell>
          <cell r="O311">
            <v>7412340</v>
          </cell>
          <cell r="P311" t="str">
            <v>28/08/2025 10:55:00 - 28/08/2025 12:25:00</v>
          </cell>
          <cell r="Q311">
            <v>3962600</v>
          </cell>
        </row>
        <row r="312">
          <cell r="A312">
            <v>1280356009</v>
          </cell>
          <cell r="B312" t="str">
            <v>9719688ZY</v>
          </cell>
          <cell r="C312" t="str">
            <v>FORTUNATUS YOSANTONINO SETYONO PUTRA</v>
          </cell>
          <cell r="D312">
            <v>97196206</v>
          </cell>
          <cell r="E312">
            <v>4120177433</v>
          </cell>
          <cell r="F312">
            <v>54</v>
          </cell>
          <cell r="G312" t="str">
            <v>Perjalanan Dinas Non-Diklat</v>
          </cell>
          <cell r="H312" t="str">
            <v>Kota Kendari - Kota Kendari</v>
          </cell>
          <cell r="I312" t="str">
            <v>27/08/2025 - 30/08/2025</v>
          </cell>
          <cell r="J312">
            <v>4</v>
          </cell>
          <cell r="K312" t="str">
            <v>Hotel</v>
          </cell>
          <cell r="L312" t="str">
            <v>28-08-2025 14:58:36</v>
          </cell>
          <cell r="M312" t="str">
            <v xml:space="preserve">Hotel Zenith Kendari - 3.0 Stars  - </v>
          </cell>
          <cell r="N312" t="str">
            <v>TL TEKNIK LAY GAN</v>
          </cell>
          <cell r="O312">
            <v>7409654</v>
          </cell>
          <cell r="P312" t="str">
            <v>28/08/2025 14:00:00 - 30/08/2025 12:00:00</v>
          </cell>
          <cell r="Q312">
            <v>1084339</v>
          </cell>
        </row>
        <row r="313">
          <cell r="A313">
            <v>1280006203</v>
          </cell>
          <cell r="B313" t="str">
            <v>7293060F</v>
          </cell>
          <cell r="C313" t="str">
            <v xml:space="preserve">LALLA </v>
          </cell>
          <cell r="D313">
            <v>72937616</v>
          </cell>
          <cell r="E313">
            <v>4120177468</v>
          </cell>
          <cell r="F313">
            <v>54</v>
          </cell>
          <cell r="G313" t="str">
            <v>Perjalanan Dinas Non-Diklat</v>
          </cell>
          <cell r="H313" t="str">
            <v>Kota Makassar - Kota Manado</v>
          </cell>
          <cell r="I313" t="str">
            <v>28/08/2025 - 30/08/2025</v>
          </cell>
          <cell r="J313">
            <v>3</v>
          </cell>
          <cell r="K313" t="str">
            <v>Hotel</v>
          </cell>
          <cell r="L313" t="str">
            <v>27-08-2025 08:40:11</v>
          </cell>
          <cell r="M313" t="str">
            <v xml:space="preserve">Four Points by Sheraton Manado - 4.0 Stars  - </v>
          </cell>
          <cell r="N313" t="str">
            <v>MUP UP2D (MAKASSAR)</v>
          </cell>
          <cell r="O313">
            <v>7412340</v>
          </cell>
          <cell r="P313" t="str">
            <v>28/08/2025 14:00:00 - 30/08/2025 12:00:00</v>
          </cell>
          <cell r="Q313">
            <v>2929898</v>
          </cell>
        </row>
        <row r="314">
          <cell r="A314">
            <v>1280007159</v>
          </cell>
          <cell r="B314" t="str">
            <v>7293060F</v>
          </cell>
          <cell r="C314" t="str">
            <v xml:space="preserve">LALLA </v>
          </cell>
          <cell r="D314">
            <v>72937616</v>
          </cell>
          <cell r="E314">
            <v>4120177468</v>
          </cell>
          <cell r="F314">
            <v>54</v>
          </cell>
          <cell r="G314" t="str">
            <v>Perjalanan Dinas Non-Diklat</v>
          </cell>
          <cell r="H314" t="str">
            <v>Kota Makassar - Kota Manado</v>
          </cell>
          <cell r="I314" t="str">
            <v>28/08/2025 - 30/08/2025</v>
          </cell>
          <cell r="J314">
            <v>3</v>
          </cell>
          <cell r="K314" t="str">
            <v>Flight One Way</v>
          </cell>
          <cell r="L314" t="str">
            <v>27-08-2025 08:45:09</v>
          </cell>
          <cell r="M314" t="str">
            <v>Batik Air Domestic MDC Sam Ratulangi ID-6763 - Batik Air Domestic UPG Hasanuddin ID-6763</v>
          </cell>
          <cell r="N314" t="str">
            <v>MUP UP2D (MAKASSAR)</v>
          </cell>
          <cell r="O314">
            <v>7412340</v>
          </cell>
          <cell r="P314" t="str">
            <v>30/08/2025 16:45:00 - 30/08/2025 18:25:00</v>
          </cell>
          <cell r="Q314">
            <v>1446900</v>
          </cell>
        </row>
        <row r="315">
          <cell r="A315">
            <v>1279933421</v>
          </cell>
          <cell r="B315" t="str">
            <v>7393048F</v>
          </cell>
          <cell r="C315" t="str">
            <v xml:space="preserve">SULTAN </v>
          </cell>
          <cell r="D315">
            <v>73937614</v>
          </cell>
          <cell r="E315">
            <v>4120177469</v>
          </cell>
          <cell r="F315">
            <v>54</v>
          </cell>
          <cell r="G315" t="str">
            <v>Perjalanan Dinas Non-Diklat</v>
          </cell>
          <cell r="H315" t="str">
            <v>Kota Makassar - Kota Manado</v>
          </cell>
          <cell r="I315" t="str">
            <v>27/08/2025 - 30/08/2025</v>
          </cell>
          <cell r="J315">
            <v>4</v>
          </cell>
          <cell r="K315" t="str">
            <v>Hotel</v>
          </cell>
          <cell r="L315" t="str">
            <v>26-08-2025 21:04:30</v>
          </cell>
          <cell r="M315" t="str">
            <v>Four Points by Sheraton Manado - 4.0 Stars  - 1 King Bed</v>
          </cell>
          <cell r="N315" t="str">
            <v>SPC KIN DIST</v>
          </cell>
          <cell r="O315">
            <v>7412000</v>
          </cell>
          <cell r="P315" t="str">
            <v>28/08/2025 14:00:00 - 30/08/2025 12:00:00</v>
          </cell>
          <cell r="Q315">
            <v>2530598</v>
          </cell>
        </row>
        <row r="316">
          <cell r="A316">
            <v>1279931493</v>
          </cell>
          <cell r="B316" t="str">
            <v>7393048F</v>
          </cell>
          <cell r="C316" t="str">
            <v xml:space="preserve">SULTAN </v>
          </cell>
          <cell r="D316">
            <v>73937614</v>
          </cell>
          <cell r="E316">
            <v>4120177469</v>
          </cell>
          <cell r="F316">
            <v>54</v>
          </cell>
          <cell r="G316" t="str">
            <v>Perjalanan Dinas Non-Diklat</v>
          </cell>
          <cell r="H316" t="str">
            <v>Kota Makassar - Kota Manado</v>
          </cell>
          <cell r="I316" t="str">
            <v>27/08/2025 - 30/08/2025</v>
          </cell>
          <cell r="J316">
            <v>4</v>
          </cell>
          <cell r="K316" t="str">
            <v>Flight Round-Trip</v>
          </cell>
          <cell r="L316" t="str">
            <v>26-08-2025 20:56:35</v>
          </cell>
          <cell r="M316" t="str">
            <v>Lion Air Domestic UPG Hasanuddin JT-742 - Lion Air Domestic MDC Sam Ratulangi JT-742</v>
          </cell>
          <cell r="N316" t="str">
            <v>SPC KIN DIST</v>
          </cell>
          <cell r="O316">
            <v>7412000</v>
          </cell>
          <cell r="P316" t="str">
            <v>28/08/2025 09:10:00 - 28/08/2025 10:55:00</v>
          </cell>
          <cell r="Q316">
            <v>2843500</v>
          </cell>
        </row>
        <row r="317">
          <cell r="A317">
            <v>1279989558</v>
          </cell>
          <cell r="B317" t="str">
            <v>8608555Z</v>
          </cell>
          <cell r="C317" t="str">
            <v xml:space="preserve">ZULFIKRI </v>
          </cell>
          <cell r="D317">
            <v>86088002</v>
          </cell>
          <cell r="E317">
            <v>4120177454</v>
          </cell>
          <cell r="F317">
            <v>54</v>
          </cell>
          <cell r="G317" t="str">
            <v>Perjalanan Dinas Non-Diklat</v>
          </cell>
          <cell r="H317" t="str">
            <v>Kota Makassar - Jakarta Pusat</v>
          </cell>
          <cell r="I317" t="str">
            <v>27/08/2025 - 30/08/2025</v>
          </cell>
          <cell r="J317">
            <v>4</v>
          </cell>
          <cell r="K317" t="str">
            <v>Flight Round-Trip</v>
          </cell>
          <cell r="L317" t="str">
            <v>27-08-2025 06:48:52</v>
          </cell>
          <cell r="M317" t="str">
            <v>Sriwijaya Air Domestic UPG Hasanuddin SJ-599 - Sriwijaya Air 1A CGK Soekarno Hatta International Airport SJ-599</v>
          </cell>
          <cell r="N317" t="str">
            <v>TL LAKS DAN</v>
          </cell>
          <cell r="O317">
            <v>74092801</v>
          </cell>
          <cell r="P317" t="str">
            <v>27/08/2025 14:45:00 - 27/08/2025 16:00:00</v>
          </cell>
          <cell r="Q317">
            <v>2788200</v>
          </cell>
        </row>
        <row r="318">
          <cell r="A318">
            <v>1279972692</v>
          </cell>
          <cell r="B318" t="str">
            <v>8908081F</v>
          </cell>
          <cell r="C318" t="str">
            <v>HESFIALWAN B</v>
          </cell>
          <cell r="D318">
            <v>89087601</v>
          </cell>
          <cell r="E318">
            <v>4120177460</v>
          </cell>
          <cell r="F318">
            <v>54</v>
          </cell>
          <cell r="G318" t="str">
            <v>Perjalanan Dinas Non-Diklat</v>
          </cell>
          <cell r="H318" t="str">
            <v>Kota Makassar - Jakarta Selatan</v>
          </cell>
          <cell r="I318" t="str">
            <v>26/08/2025 - 27/08/2025</v>
          </cell>
          <cell r="J318">
            <v>2</v>
          </cell>
          <cell r="K318" t="str">
            <v>Flight One Way</v>
          </cell>
          <cell r="L318" t="str">
            <v>27-08-2025 00:44:07</v>
          </cell>
          <cell r="M318" t="str">
            <v>Batik Air 2D CGK Soekarno Hatta International Airport ID-6142 - Batik Air Domestic UPG Hasanuddin ID-6142</v>
          </cell>
          <cell r="N318" t="str">
            <v>ASMAN LOLA ASET DIST</v>
          </cell>
          <cell r="O318">
            <v>7412000</v>
          </cell>
          <cell r="P318" t="str">
            <v>27/08/2025 18:30:00 - 27/08/2025 21:50:00</v>
          </cell>
          <cell r="Q318">
            <v>1750000</v>
          </cell>
        </row>
        <row r="319">
          <cell r="A319">
            <v>1279919097</v>
          </cell>
          <cell r="B319" t="str">
            <v>8908081F</v>
          </cell>
          <cell r="C319" t="str">
            <v>HESFIALWAN B</v>
          </cell>
          <cell r="D319">
            <v>89087601</v>
          </cell>
          <cell r="E319">
            <v>4120177460</v>
          </cell>
          <cell r="F319">
            <v>54</v>
          </cell>
          <cell r="G319" t="str">
            <v>Perjalanan Dinas Non-Diklat</v>
          </cell>
          <cell r="H319" t="str">
            <v>Kota Makassar - Jakarta Selatan</v>
          </cell>
          <cell r="I319" t="str">
            <v>26/08/2025 - 27/08/2025</v>
          </cell>
          <cell r="J319">
            <v>2</v>
          </cell>
          <cell r="K319" t="str">
            <v>Hotel</v>
          </cell>
          <cell r="L319" t="str">
            <v>26-08-2025 20:08:07</v>
          </cell>
          <cell r="M319" t="str">
            <v xml:space="preserve">Swiss-Belresidences Kalibata - 4.0 Stars  - </v>
          </cell>
          <cell r="N319" t="str">
            <v>ASMAN LOLA ASET DIST</v>
          </cell>
          <cell r="O319">
            <v>7412000</v>
          </cell>
          <cell r="P319" t="str">
            <v>26/08/2025 14:00:00 - 27/08/2025 12:00:00</v>
          </cell>
          <cell r="Q319">
            <v>970000</v>
          </cell>
        </row>
        <row r="320">
          <cell r="A320">
            <v>1279864389</v>
          </cell>
          <cell r="B320" t="str">
            <v>8908081F</v>
          </cell>
          <cell r="C320" t="str">
            <v>HESFIALWAN B</v>
          </cell>
          <cell r="D320">
            <v>89087601</v>
          </cell>
          <cell r="E320">
            <v>4120177460</v>
          </cell>
          <cell r="F320">
            <v>54</v>
          </cell>
          <cell r="G320" t="str">
            <v>Perjalanan Dinas Non-Diklat</v>
          </cell>
          <cell r="H320" t="str">
            <v>Kota Makassar - Jakarta Selatan</v>
          </cell>
          <cell r="I320" t="str">
            <v>26/08/2025 - 27/08/2025</v>
          </cell>
          <cell r="J320">
            <v>2</v>
          </cell>
          <cell r="K320" t="str">
            <v>Flight One Way</v>
          </cell>
          <cell r="L320" t="str">
            <v>26-08-2025 16:23:35</v>
          </cell>
          <cell r="M320" t="str">
            <v>Citilink Domestic UPG Hasanuddin QG-427 - Citilink 1B CGK Soekarno Hatta International Airport QG-427</v>
          </cell>
          <cell r="N320" t="str">
            <v>ASMAN LOLA ASET DIST</v>
          </cell>
          <cell r="O320">
            <v>7412000</v>
          </cell>
          <cell r="P320" t="str">
            <v>26/08/2025 21:35:00 - 26/08/2025 22:55:00</v>
          </cell>
          <cell r="Q320">
            <v>1186600</v>
          </cell>
        </row>
        <row r="321">
          <cell r="A321">
            <v>1280139102</v>
          </cell>
          <cell r="B321" t="str">
            <v>7805001M</v>
          </cell>
          <cell r="C321" t="str">
            <v>ALAMSYAH ANWAR</v>
          </cell>
          <cell r="D321">
            <v>78050000</v>
          </cell>
          <cell r="E321">
            <v>4120177456</v>
          </cell>
          <cell r="F321">
            <v>54</v>
          </cell>
          <cell r="G321" t="str">
            <v>Perjalanan Dinas Non-Diklat</v>
          </cell>
          <cell r="H321" t="str">
            <v>Kota Makassar - Kab. Bone</v>
          </cell>
          <cell r="I321" t="str">
            <v>27/08/2025 - 29/08/2025</v>
          </cell>
          <cell r="J321">
            <v>3</v>
          </cell>
          <cell r="K321" t="str">
            <v>Hotel</v>
          </cell>
          <cell r="L321" t="str">
            <v>27-08-2025 17:38:03</v>
          </cell>
          <cell r="M321" t="str">
            <v xml:space="preserve">Helios Hotel and Convention - 3.0 Stars  - </v>
          </cell>
          <cell r="N321" t="str">
            <v>SPC KIN DIST</v>
          </cell>
          <cell r="O321">
            <v>7412000</v>
          </cell>
          <cell r="P321" t="str">
            <v>27/08/2025 14:00:00 - 29/08/2025 12:00:00</v>
          </cell>
          <cell r="Q321">
            <v>1566360</v>
          </cell>
        </row>
        <row r="322">
          <cell r="A322">
            <v>1279996489</v>
          </cell>
          <cell r="B322" t="str">
            <v>8609336Z</v>
          </cell>
          <cell r="C322" t="str">
            <v>RATHY SHINTA UTAMI</v>
          </cell>
          <cell r="D322">
            <v>86093800</v>
          </cell>
          <cell r="E322">
            <v>4120177458</v>
          </cell>
          <cell r="F322">
            <v>54</v>
          </cell>
          <cell r="G322" t="str">
            <v>Perjalanan Dinas Non-Diklat</v>
          </cell>
          <cell r="H322" t="str">
            <v>Kota Makassar - Kota Parepare</v>
          </cell>
          <cell r="I322" t="str">
            <v>27/08/2025 - 29/08/2025</v>
          </cell>
          <cell r="J322">
            <v>3</v>
          </cell>
          <cell r="K322" t="str">
            <v>Hotel</v>
          </cell>
          <cell r="L322" t="str">
            <v>27-08-2025 07:43:35</v>
          </cell>
          <cell r="M322" t="str">
            <v xml:space="preserve">Pare Beach Hotel - 0.0 Stars  - </v>
          </cell>
          <cell r="N322" t="str">
            <v>SPC KIN DIST</v>
          </cell>
          <cell r="O322">
            <v>7412000</v>
          </cell>
          <cell r="P322" t="str">
            <v>27/08/2025 14:00:00 - 29/08/2025 12:00:00</v>
          </cell>
          <cell r="Q322">
            <v>800000</v>
          </cell>
        </row>
        <row r="323">
          <cell r="A323">
            <v>1279995722</v>
          </cell>
          <cell r="B323" t="str">
            <v>92162583ZY</v>
          </cell>
          <cell r="C323" t="str">
            <v xml:space="preserve">SUNARTI </v>
          </cell>
          <cell r="D323">
            <v>92168019</v>
          </cell>
          <cell r="E323">
            <v>4120177461</v>
          </cell>
          <cell r="F323">
            <v>54</v>
          </cell>
          <cell r="G323" t="str">
            <v>Perjalanan Dinas Non-Diklat</v>
          </cell>
          <cell r="H323" t="str">
            <v>Kota Makassar - Kota Parepare - Kab. Pinrang</v>
          </cell>
          <cell r="I323" t="str">
            <v>27/08/2025 - 29/08/2025</v>
          </cell>
          <cell r="J323">
            <v>3</v>
          </cell>
          <cell r="K323" t="str">
            <v>Hotel</v>
          </cell>
          <cell r="L323" t="str">
            <v>27-08-2025 07:38:15</v>
          </cell>
          <cell r="M323" t="str">
            <v xml:space="preserve">Pare Beach Hotel - 0.0 Stars  - </v>
          </cell>
          <cell r="N323" t="str">
            <v>OF PR AE</v>
          </cell>
          <cell r="O323">
            <v>7411140</v>
          </cell>
          <cell r="P323" t="str">
            <v>27/08/2025 14:00:00 - 29/08/2025 12:00:00</v>
          </cell>
          <cell r="Q323">
            <v>1000000</v>
          </cell>
        </row>
        <row r="324">
          <cell r="A324">
            <v>1280674442</v>
          </cell>
          <cell r="B324" t="str">
            <v>8910030F</v>
          </cell>
          <cell r="C324" t="str">
            <v xml:space="preserve">JASMAN </v>
          </cell>
          <cell r="D324">
            <v>89107607</v>
          </cell>
          <cell r="E324">
            <v>4120177447</v>
          </cell>
          <cell r="F324">
            <v>54</v>
          </cell>
          <cell r="G324" t="str">
            <v>Perjalanan Dinas Non-Diklat</v>
          </cell>
          <cell r="H324" t="str">
            <v>Kota Makassar - Jakarta Pusat</v>
          </cell>
          <cell r="I324" t="str">
            <v>27/08/2025 - 30/08/2025</v>
          </cell>
          <cell r="J324">
            <v>4</v>
          </cell>
          <cell r="K324" t="str">
            <v>Flight One Way</v>
          </cell>
          <cell r="L324" t="str">
            <v>29-08-2025 19:04:43</v>
          </cell>
          <cell r="M324" t="str">
            <v>Garuda Indonesia  CGK Soekarno Hatta International Airport GA-616 - Garuda Indonesia Domestic UPG Hasanuddin GA-616</v>
          </cell>
          <cell r="N324" t="str">
            <v>TL LAKS DAN</v>
          </cell>
          <cell r="O324">
            <v>74092701</v>
          </cell>
          <cell r="P324" t="str">
            <v>30/08/2025 16:45:00 - 30/08/2025 20:20:00</v>
          </cell>
          <cell r="Q324">
            <v>1787100</v>
          </cell>
        </row>
        <row r="325">
          <cell r="A325">
            <v>1280602319</v>
          </cell>
          <cell r="B325" t="str">
            <v>8910030F</v>
          </cell>
          <cell r="C325" t="str">
            <v xml:space="preserve">JASMAN </v>
          </cell>
          <cell r="D325">
            <v>89107607</v>
          </cell>
          <cell r="E325">
            <v>4120177447</v>
          </cell>
          <cell r="F325">
            <v>54</v>
          </cell>
          <cell r="G325" t="str">
            <v>Perjalanan Dinas Non-Diklat</v>
          </cell>
          <cell r="H325" t="str">
            <v>Kota Makassar - Jakarta Pusat</v>
          </cell>
          <cell r="I325" t="str">
            <v>27/08/2025 - 30/08/2025</v>
          </cell>
          <cell r="J325">
            <v>4</v>
          </cell>
          <cell r="K325" t="str">
            <v>Hotel</v>
          </cell>
          <cell r="L325" t="str">
            <v>29-08-2025 14:09:12</v>
          </cell>
          <cell r="M325" t="str">
            <v xml:space="preserve">Swiss-Belinn Simatupang Jakarta - 3.0 Stars  - </v>
          </cell>
          <cell r="N325" t="str">
            <v>TL LAKS DAN</v>
          </cell>
          <cell r="O325">
            <v>74092701</v>
          </cell>
          <cell r="P325" t="str">
            <v>29/08/2025 14:00:00 - 30/08/2025 12:00:00</v>
          </cell>
          <cell r="Q325">
            <v>750000</v>
          </cell>
        </row>
        <row r="326">
          <cell r="A326">
            <v>1279949244</v>
          </cell>
          <cell r="B326" t="str">
            <v>8910030F</v>
          </cell>
          <cell r="C326" t="str">
            <v xml:space="preserve">JASMAN </v>
          </cell>
          <cell r="D326">
            <v>89107607</v>
          </cell>
          <cell r="E326">
            <v>4120177447</v>
          </cell>
          <cell r="F326">
            <v>54</v>
          </cell>
          <cell r="G326" t="str">
            <v>Perjalanan Dinas Non-Diklat</v>
          </cell>
          <cell r="H326" t="str">
            <v>Kota Makassar - Jakarta Pusat</v>
          </cell>
          <cell r="I326" t="str">
            <v>27/08/2025 - 30/08/2025</v>
          </cell>
          <cell r="J326">
            <v>4</v>
          </cell>
          <cell r="K326" t="str">
            <v>Flight One Way</v>
          </cell>
          <cell r="L326" t="str">
            <v>26-08-2025 22:06:28</v>
          </cell>
          <cell r="M326" t="str">
            <v>Batik Air Domestic UPG Hasanuddin ID-6143 - Batik Air 2D CGK Soekarno Hatta International Airport ID-6143</v>
          </cell>
          <cell r="N326" t="str">
            <v>TL LAKS DAN</v>
          </cell>
          <cell r="O326">
            <v>74092701</v>
          </cell>
          <cell r="P326" t="str">
            <v>27/08/2025 16:45:00 - 27/08/2025 18:05:00</v>
          </cell>
          <cell r="Q326">
            <v>2222200</v>
          </cell>
        </row>
        <row r="327">
          <cell r="A327">
            <v>1280371861</v>
          </cell>
          <cell r="B327" t="str">
            <v>8712617ZY</v>
          </cell>
          <cell r="C327" t="str">
            <v>M. LUKMAN HAKIM</v>
          </cell>
          <cell r="D327">
            <v>87127603</v>
          </cell>
          <cell r="E327">
            <v>4120177453</v>
          </cell>
          <cell r="F327">
            <v>54</v>
          </cell>
          <cell r="G327" t="str">
            <v>Perjalanan Dinas Non-Diklat</v>
          </cell>
          <cell r="H327" t="str">
            <v>Kota Makassar - Kab. Bulukumba</v>
          </cell>
          <cell r="I327" t="str">
            <v>27/08/2025 - 29/08/2025</v>
          </cell>
          <cell r="J327">
            <v>3</v>
          </cell>
          <cell r="K327" t="str">
            <v>Hotel</v>
          </cell>
          <cell r="L327" t="str">
            <v>28-08-2025 16:00:12</v>
          </cell>
          <cell r="M327" t="str">
            <v xml:space="preserve">Riltree Hotel - 0.0 Stars  - </v>
          </cell>
          <cell r="N327" t="str">
            <v>ASMAN DIG SERVICE DAN CUST EX</v>
          </cell>
          <cell r="O327">
            <v>7411140</v>
          </cell>
          <cell r="P327" t="str">
            <v>28/08/2025 14:00:00 - 29/08/2025 12:00:00</v>
          </cell>
          <cell r="Q327">
            <v>405000</v>
          </cell>
        </row>
        <row r="328">
          <cell r="A328">
            <v>1279880270</v>
          </cell>
          <cell r="B328" t="str">
            <v>94171795ZY</v>
          </cell>
          <cell r="C328" t="str">
            <v>BONILISA SA'PANG RANTEBALIK</v>
          </cell>
          <cell r="D328">
            <v>94170108</v>
          </cell>
          <cell r="E328">
            <v>4120177450</v>
          </cell>
          <cell r="F328">
            <v>54</v>
          </cell>
          <cell r="G328" t="str">
            <v>Perjalanan Dinas Non-Diklat</v>
          </cell>
          <cell r="H328" t="str">
            <v>Kota Makassar - Jakarta Pusat</v>
          </cell>
          <cell r="I328" t="str">
            <v>27/08/2025 - 30/08/2025</v>
          </cell>
          <cell r="J328">
            <v>4</v>
          </cell>
          <cell r="K328" t="str">
            <v>Flight One Way</v>
          </cell>
          <cell r="L328" t="str">
            <v>26-08-2025 17:28:44</v>
          </cell>
          <cell r="M328" t="str">
            <v>Super Air Jet  UPG Hasanuddin IU-245 - Super Air Jet 2E CGK Soekarno Hatta International Airport IU-245</v>
          </cell>
          <cell r="N328" t="str">
            <v>OF REN PNGUSHAN DAN KIN</v>
          </cell>
          <cell r="O328">
            <v>7412111</v>
          </cell>
          <cell r="P328" t="str">
            <v>27/08/2025 17:00:00 - 27/08/2025 18:20:00</v>
          </cell>
          <cell r="Q328">
            <v>1246600</v>
          </cell>
        </row>
        <row r="329">
          <cell r="A329">
            <v>1279945762</v>
          </cell>
          <cell r="B329" t="str">
            <v>8610308Z</v>
          </cell>
          <cell r="C329" t="str">
            <v xml:space="preserve">FATMAWATI </v>
          </cell>
          <cell r="D329">
            <v>86104000</v>
          </cell>
          <cell r="E329">
            <v>4120177452</v>
          </cell>
          <cell r="F329">
            <v>54</v>
          </cell>
          <cell r="G329" t="str">
            <v>Perjalanan Dinas Non-Diklat</v>
          </cell>
          <cell r="H329" t="str">
            <v>Kota Makassar - Jakarta Pusat</v>
          </cell>
          <cell r="I329" t="str">
            <v>27/08/2025 - 30/08/2025</v>
          </cell>
          <cell r="J329">
            <v>4</v>
          </cell>
          <cell r="K329" t="str">
            <v>Flight One Way</v>
          </cell>
          <cell r="L329" t="str">
            <v>26-08-2025 21:52:17</v>
          </cell>
          <cell r="M329" t="str">
            <v>Batik Air Domestic UPG Hasanuddin ID-6143 - Batik Air 2D CGK Soekarno Hatta International Airport ID-6143</v>
          </cell>
          <cell r="N329" t="str">
            <v>OF LAKS DAN</v>
          </cell>
          <cell r="O329">
            <v>7412000</v>
          </cell>
          <cell r="P329" t="str">
            <v>27/08/2025 16:45:00 - 27/08/2025 18:05:00</v>
          </cell>
          <cell r="Q329">
            <v>2156200</v>
          </cell>
        </row>
        <row r="330">
          <cell r="A330">
            <v>1280590472</v>
          </cell>
          <cell r="B330" t="str">
            <v>8610308Z</v>
          </cell>
          <cell r="C330" t="str">
            <v xml:space="preserve">FATMAWATI </v>
          </cell>
          <cell r="D330">
            <v>86104000</v>
          </cell>
          <cell r="E330">
            <v>4120177452</v>
          </cell>
          <cell r="F330">
            <v>54</v>
          </cell>
          <cell r="G330" t="str">
            <v>Perjalanan Dinas Non-Diklat</v>
          </cell>
          <cell r="H330" t="str">
            <v>Kota Makassar - Jakarta Pusat</v>
          </cell>
          <cell r="I330" t="str">
            <v>27/08/2025 - 30/08/2025</v>
          </cell>
          <cell r="J330">
            <v>4</v>
          </cell>
          <cell r="K330" t="str">
            <v>Flight One Way</v>
          </cell>
          <cell r="L330" t="str">
            <v>29-08-2025 13:22:33</v>
          </cell>
          <cell r="M330" t="str">
            <v>Batik Air 2D CGK Soekarno Hatta International Airport ID-6266 - Batik Air Domestic UPG Hasanuddin ID-6266</v>
          </cell>
          <cell r="N330" t="str">
            <v>OF LAKS DAN</v>
          </cell>
          <cell r="O330">
            <v>7412000</v>
          </cell>
          <cell r="P330" t="str">
            <v>30/08/2025 14:30:00 - 30/08/2025 17:50:00</v>
          </cell>
          <cell r="Q330">
            <v>1750000</v>
          </cell>
        </row>
        <row r="331">
          <cell r="A331">
            <v>1280379885</v>
          </cell>
          <cell r="B331" t="str">
            <v>9008084F</v>
          </cell>
          <cell r="C331" t="str">
            <v>ZAKI ASHARI</v>
          </cell>
          <cell r="D331">
            <v>90087607</v>
          </cell>
          <cell r="E331">
            <v>4120177448</v>
          </cell>
          <cell r="F331">
            <v>54</v>
          </cell>
          <cell r="G331" t="str">
            <v>Perjalanan Dinas Non-Diklat</v>
          </cell>
          <cell r="H331" t="str">
            <v>Kota Makassar - Kab. Bulukumba</v>
          </cell>
          <cell r="I331" t="str">
            <v>27/08/2025 - 29/08/2025</v>
          </cell>
          <cell r="J331">
            <v>3</v>
          </cell>
          <cell r="K331" t="str">
            <v>Hotel</v>
          </cell>
          <cell r="L331" t="str">
            <v>28-08-2025 16:33:09</v>
          </cell>
          <cell r="M331" t="str">
            <v xml:space="preserve">Riltree Hotel - 0.0 Stars  - </v>
          </cell>
          <cell r="N331" t="str">
            <v>OF STR SAR</v>
          </cell>
          <cell r="O331">
            <v>7411143</v>
          </cell>
          <cell r="P331" t="str">
            <v>28/08/2025 14:00:00 - 29/08/2025 12:00:00</v>
          </cell>
          <cell r="Q331">
            <v>405000</v>
          </cell>
        </row>
        <row r="332">
          <cell r="A332">
            <v>1279861056</v>
          </cell>
          <cell r="B332" t="str">
            <v>9008084F</v>
          </cell>
          <cell r="C332" t="str">
            <v>ZAKI ASHARI</v>
          </cell>
          <cell r="D332">
            <v>90087607</v>
          </cell>
          <cell r="E332">
            <v>4120177448</v>
          </cell>
          <cell r="F332">
            <v>54</v>
          </cell>
          <cell r="G332" t="str">
            <v>Perjalanan Dinas Non-Diklat</v>
          </cell>
          <cell r="H332" t="str">
            <v>Kota Makassar - Kab. Bulukumba</v>
          </cell>
          <cell r="I332" t="str">
            <v>27/08/2025 - 29/08/2025</v>
          </cell>
          <cell r="J332">
            <v>3</v>
          </cell>
          <cell r="K332" t="str">
            <v>Hotel</v>
          </cell>
          <cell r="L332" t="str">
            <v>26-08-2025 16:10:32</v>
          </cell>
          <cell r="M332" t="str">
            <v xml:space="preserve">Seruni Hotel Bantaeng - 3.0 Stars  - </v>
          </cell>
          <cell r="N332" t="str">
            <v>OF STR SAR</v>
          </cell>
          <cell r="O332">
            <v>7411143</v>
          </cell>
          <cell r="P332" t="str">
            <v>27/08/2025 14:00:00 - 28/08/2025 12:00:00</v>
          </cell>
          <cell r="Q332">
            <v>525000</v>
          </cell>
        </row>
        <row r="333">
          <cell r="A333">
            <v>1279816776</v>
          </cell>
          <cell r="B333" t="str">
            <v>93151397ZY</v>
          </cell>
          <cell r="C333" t="str">
            <v>KIKI RESKI ANDRIANI</v>
          </cell>
          <cell r="D333">
            <v>93153811</v>
          </cell>
          <cell r="E333">
            <v>4120177437</v>
          </cell>
          <cell r="F333">
            <v>54</v>
          </cell>
          <cell r="G333" t="str">
            <v>Perjalanan Dinas Non-Diklat</v>
          </cell>
          <cell r="H333" t="str">
            <v>Kota Makassar - Kota Baubau</v>
          </cell>
          <cell r="I333" t="str">
            <v>27/08/2025 - 30/08/2025</v>
          </cell>
          <cell r="J333">
            <v>4</v>
          </cell>
          <cell r="K333" t="str">
            <v>Flight One Way</v>
          </cell>
          <cell r="L333" t="str">
            <v>26-08-2025 13:22:00</v>
          </cell>
          <cell r="M333" t="str">
            <v>Super Air Jet  UPG Hasanuddin IU-572 - Super Air Jet  BUW Betoambari IU-572</v>
          </cell>
          <cell r="N333" t="str">
            <v>ASMAN ADM GAN</v>
          </cell>
          <cell r="O333">
            <v>7411140</v>
          </cell>
          <cell r="P333" t="str">
            <v>27/08/2025 14:10:00 - 27/08/2025 14:55:00</v>
          </cell>
          <cell r="Q333">
            <v>844100</v>
          </cell>
        </row>
        <row r="334">
          <cell r="A334">
            <v>1280153538</v>
          </cell>
          <cell r="B334" t="str">
            <v>93151397ZY</v>
          </cell>
          <cell r="C334" t="str">
            <v>KIKI RESKI ANDRIANI</v>
          </cell>
          <cell r="D334">
            <v>93153811</v>
          </cell>
          <cell r="E334">
            <v>4120177437</v>
          </cell>
          <cell r="F334">
            <v>54</v>
          </cell>
          <cell r="G334" t="str">
            <v>Perjalanan Dinas Non-Diklat</v>
          </cell>
          <cell r="H334" t="str">
            <v>Kota Makassar - Kota Baubau</v>
          </cell>
          <cell r="I334" t="str">
            <v>27/08/2025 - 30/08/2025</v>
          </cell>
          <cell r="J334">
            <v>4</v>
          </cell>
          <cell r="K334" t="str">
            <v>Flight One Way</v>
          </cell>
          <cell r="L334" t="str">
            <v>27-08-2025 18:42:13</v>
          </cell>
          <cell r="M334" t="str">
            <v>Super Air Jet  BUW Betoambari IU-573 - Super Air Jet  UPG Hasanuddin IU-573</v>
          </cell>
          <cell r="N334" t="str">
            <v>ASMAN ADM GAN</v>
          </cell>
          <cell r="O334">
            <v>7411140</v>
          </cell>
          <cell r="P334" t="str">
            <v>30/08/2025 15:35:00 - 30/08/2025 16:20:00</v>
          </cell>
          <cell r="Q334">
            <v>744200</v>
          </cell>
        </row>
        <row r="335">
          <cell r="A335">
            <v>1279840512</v>
          </cell>
          <cell r="B335" t="str">
            <v>93151397ZY</v>
          </cell>
          <cell r="C335" t="str">
            <v>KIKI RESKI ANDRIANI</v>
          </cell>
          <cell r="D335">
            <v>93153811</v>
          </cell>
          <cell r="E335">
            <v>4120177437</v>
          </cell>
          <cell r="F335">
            <v>54</v>
          </cell>
          <cell r="G335" t="str">
            <v>Perjalanan Dinas Non-Diklat</v>
          </cell>
          <cell r="H335" t="str">
            <v>Kota Makassar - Kota Baubau</v>
          </cell>
          <cell r="I335" t="str">
            <v>27/08/2025 - 30/08/2025</v>
          </cell>
          <cell r="J335">
            <v>4</v>
          </cell>
          <cell r="K335" t="str">
            <v>Hotel</v>
          </cell>
          <cell r="L335" t="str">
            <v>26-08-2025 14:50:55</v>
          </cell>
          <cell r="M335" t="str">
            <v xml:space="preserve">Zenith Premiere Hotel Baubau - 3.0 Stars  - </v>
          </cell>
          <cell r="N335" t="str">
            <v>ASMAN ADM GAN</v>
          </cell>
          <cell r="O335">
            <v>7411140</v>
          </cell>
          <cell r="P335" t="str">
            <v>27/08/2025 14:00:00 - 30/08/2025 12:00:00</v>
          </cell>
          <cell r="Q335">
            <v>2352360</v>
          </cell>
        </row>
        <row r="336">
          <cell r="A336">
            <v>1279813489</v>
          </cell>
          <cell r="B336" t="str">
            <v>9114965ZY</v>
          </cell>
          <cell r="C336" t="str">
            <v>I WAYAN EDY PURNAMA ARSA</v>
          </cell>
          <cell r="D336">
            <v>91147609</v>
          </cell>
          <cell r="E336">
            <v>4120177438</v>
          </cell>
          <cell r="F336">
            <v>54</v>
          </cell>
          <cell r="G336" t="str">
            <v>Perjalanan Dinas Non-Diklat</v>
          </cell>
          <cell r="H336" t="str">
            <v>Kota Makassar - Kota Kendari</v>
          </cell>
          <cell r="I336" t="str">
            <v>27/08/2025 - 30/08/2025</v>
          </cell>
          <cell r="J336">
            <v>4</v>
          </cell>
          <cell r="K336" t="str">
            <v>Flight One Way</v>
          </cell>
          <cell r="L336" t="str">
            <v>26-08-2025 13:09:34</v>
          </cell>
          <cell r="M336" t="str">
            <v>Lion Air Domestic UPG Hasanuddin JT-986 - Lion Air  KDI Haluoleo JT-986</v>
          </cell>
          <cell r="N336" t="str">
            <v>OF PR AE</v>
          </cell>
          <cell r="O336">
            <v>7411140</v>
          </cell>
          <cell r="P336" t="str">
            <v>28/08/2025 07:00:00 - 28/08/2025 08:05:00</v>
          </cell>
          <cell r="Q336">
            <v>718700</v>
          </cell>
        </row>
        <row r="337">
          <cell r="A337">
            <v>1279944100</v>
          </cell>
          <cell r="B337" t="str">
            <v>9114965ZY</v>
          </cell>
          <cell r="C337" t="str">
            <v>I WAYAN EDY PURNAMA ARSA</v>
          </cell>
          <cell r="D337">
            <v>91147609</v>
          </cell>
          <cell r="E337">
            <v>4120177438</v>
          </cell>
          <cell r="F337">
            <v>54</v>
          </cell>
          <cell r="G337" t="str">
            <v>Perjalanan Dinas Non-Diklat</v>
          </cell>
          <cell r="H337" t="str">
            <v>Kota Makassar - Kota Kendari</v>
          </cell>
          <cell r="I337" t="str">
            <v>27/08/2025 - 30/08/2025</v>
          </cell>
          <cell r="J337">
            <v>4</v>
          </cell>
          <cell r="K337" t="str">
            <v>Hotel</v>
          </cell>
          <cell r="L337" t="str">
            <v>26-08-2025 21:45:35</v>
          </cell>
          <cell r="M337" t="str">
            <v xml:space="preserve">Parade inn kendari - 0.0 Stars  - </v>
          </cell>
          <cell r="N337" t="str">
            <v>OF PR AE</v>
          </cell>
          <cell r="O337">
            <v>7411140</v>
          </cell>
          <cell r="P337" t="str">
            <v>28/08/2025 14:00:00 - 30/08/2025 12:00:00</v>
          </cell>
          <cell r="Q337">
            <v>1666668</v>
          </cell>
        </row>
        <row r="338">
          <cell r="A338">
            <v>1279830032</v>
          </cell>
          <cell r="B338" t="str">
            <v>9114965ZY</v>
          </cell>
          <cell r="C338" t="str">
            <v>I WAYAN EDY PURNAMA ARSA</v>
          </cell>
          <cell r="D338">
            <v>91147609</v>
          </cell>
          <cell r="E338">
            <v>4120177438</v>
          </cell>
          <cell r="F338">
            <v>54</v>
          </cell>
          <cell r="G338" t="str">
            <v>Perjalanan Dinas Non-Diklat</v>
          </cell>
          <cell r="H338" t="str">
            <v>Kota Makassar - Kota Kendari</v>
          </cell>
          <cell r="I338" t="str">
            <v>27/08/2025 - 30/08/2025</v>
          </cell>
          <cell r="J338">
            <v>4</v>
          </cell>
          <cell r="K338" t="str">
            <v>Flight One Way</v>
          </cell>
          <cell r="L338" t="str">
            <v>26-08-2025 14:09:51</v>
          </cell>
          <cell r="M338" t="str">
            <v>Garuda Indonesia  KDI Haluoleo GA-605 - Garuda Indonesia Domestic UPG Hasanuddin GA-605</v>
          </cell>
          <cell r="N338" t="str">
            <v>OF PR AE</v>
          </cell>
          <cell r="O338">
            <v>7411140</v>
          </cell>
          <cell r="P338" t="str">
            <v>30/08/2025 09:10:00 - 30/08/2025 10:10:00</v>
          </cell>
          <cell r="Q338">
            <v>965100</v>
          </cell>
        </row>
        <row r="339">
          <cell r="A339">
            <v>1279922897</v>
          </cell>
          <cell r="B339" t="str">
            <v>85111166Z</v>
          </cell>
          <cell r="C339" t="str">
            <v>NURDIANTY MAHYUDDIN</v>
          </cell>
          <cell r="D339">
            <v>85117400</v>
          </cell>
          <cell r="E339">
            <v>4120177436</v>
          </cell>
          <cell r="F339">
            <v>54</v>
          </cell>
          <cell r="G339" t="str">
            <v>Perjalanan Dinas Non-Diklat</v>
          </cell>
          <cell r="H339" t="str">
            <v>Kota Makassar - Kota Palopo</v>
          </cell>
          <cell r="I339" t="str">
            <v>27/08/2025 - 30/08/2025</v>
          </cell>
          <cell r="J339">
            <v>4</v>
          </cell>
          <cell r="K339" t="str">
            <v>Flight One Way</v>
          </cell>
          <cell r="L339" t="str">
            <v>26-08-2025 20:22:49</v>
          </cell>
          <cell r="M339" t="str">
            <v>Wings Air Domestic UPG Hasanuddin IW-1350 - Wings Air  LLO Lagaligo Airport IW-1350</v>
          </cell>
          <cell r="N339" t="str">
            <v>SOF STR SAR</v>
          </cell>
          <cell r="O339">
            <v>7411143</v>
          </cell>
          <cell r="P339" t="str">
            <v>27/08/2025 08:10:00 - 27/08/2025 09:05:00</v>
          </cell>
          <cell r="Q339">
            <v>1455300</v>
          </cell>
        </row>
        <row r="340">
          <cell r="A340">
            <v>1280530544</v>
          </cell>
          <cell r="B340" t="str">
            <v>8609527Z</v>
          </cell>
          <cell r="C340" t="str">
            <v>MUHAMMAD SUSGANDINATA</v>
          </cell>
          <cell r="D340">
            <v>86097601</v>
          </cell>
          <cell r="E340">
            <v>4120177435</v>
          </cell>
          <cell r="F340">
            <v>54</v>
          </cell>
          <cell r="G340" t="str">
            <v>Perjalanan Dinas Non-Diklat</v>
          </cell>
          <cell r="H340" t="str">
            <v>Kota Makassar - Kota Palopo</v>
          </cell>
          <cell r="I340" t="str">
            <v>27/08/2025 - 30/08/2025</v>
          </cell>
          <cell r="J340">
            <v>4</v>
          </cell>
          <cell r="K340" t="str">
            <v>Flight One Way</v>
          </cell>
          <cell r="L340" t="str">
            <v>29-08-2025 09:22:08</v>
          </cell>
          <cell r="M340" t="str">
            <v>Wings Air  LLO Lagaligo Airport IW-1351 - Wings Air Domestic UPG Hasanuddin IW-1351</v>
          </cell>
          <cell r="N340" t="str">
            <v>MAN YAN GAN</v>
          </cell>
          <cell r="O340">
            <v>7411140</v>
          </cell>
          <cell r="P340" t="str">
            <v>30/08/2025 09:40:00 - 30/08/2025 10:35:00</v>
          </cell>
          <cell r="Q340">
            <v>1355400</v>
          </cell>
        </row>
        <row r="341">
          <cell r="A341">
            <v>1279823108</v>
          </cell>
          <cell r="B341" t="str">
            <v>8609527Z</v>
          </cell>
          <cell r="C341" t="str">
            <v>MUHAMMAD SUSGANDINATA</v>
          </cell>
          <cell r="D341">
            <v>86097601</v>
          </cell>
          <cell r="E341">
            <v>4120177435</v>
          </cell>
          <cell r="F341">
            <v>54</v>
          </cell>
          <cell r="G341" t="str">
            <v>Perjalanan Dinas Non-Diklat</v>
          </cell>
          <cell r="H341" t="str">
            <v>Kota Makassar - Kota Palopo</v>
          </cell>
          <cell r="I341" t="str">
            <v>27/08/2025 - 30/08/2025</v>
          </cell>
          <cell r="J341">
            <v>4</v>
          </cell>
          <cell r="K341" t="str">
            <v>Flight One Way</v>
          </cell>
          <cell r="L341" t="str">
            <v>26-08-2025 13:45:01</v>
          </cell>
          <cell r="M341" t="str">
            <v>Wings Air Domestic UPG Hasanuddin IW-1350 - Wings Air  LLO Lagaligo Airport IW-1350</v>
          </cell>
          <cell r="N341" t="str">
            <v>MAN YAN GAN</v>
          </cell>
          <cell r="O341">
            <v>7411140</v>
          </cell>
          <cell r="P341" t="str">
            <v>27/08/2025 08:10:00 - 27/08/2025 09:05:00</v>
          </cell>
          <cell r="Q341">
            <v>1455300</v>
          </cell>
        </row>
        <row r="342">
          <cell r="A342">
            <v>1279813147</v>
          </cell>
          <cell r="B342" t="str">
            <v>8609651Z</v>
          </cell>
          <cell r="C342" t="str">
            <v>KOMANG YEHUDA PRAWIRA</v>
          </cell>
          <cell r="D342">
            <v>86098203</v>
          </cell>
          <cell r="E342">
            <v>4120177439</v>
          </cell>
          <cell r="F342">
            <v>54</v>
          </cell>
          <cell r="G342" t="str">
            <v>Perjalanan Dinas Non-Diklat</v>
          </cell>
          <cell r="H342" t="str">
            <v>Kota Makassar - Kota Kendari</v>
          </cell>
          <cell r="I342" t="str">
            <v>27/08/2025 - 30/08/2025</v>
          </cell>
          <cell r="J342">
            <v>4</v>
          </cell>
          <cell r="K342" t="str">
            <v>Flight Round-Trip</v>
          </cell>
          <cell r="L342" t="str">
            <v>26-08-2025 13:08:17</v>
          </cell>
          <cell r="M342" t="str">
            <v>Lion Air Domestic UPG Hasanuddin JT-986 - Lion Air  KDI Haluoleo JT-986</v>
          </cell>
          <cell r="N342" t="str">
            <v>MAN STR SAR</v>
          </cell>
          <cell r="O342">
            <v>7411143</v>
          </cell>
          <cell r="P342" t="str">
            <v>28/08/2025 07:00:00 - 28/08/2025 08:05:00</v>
          </cell>
          <cell r="Q342">
            <v>1683800</v>
          </cell>
        </row>
        <row r="343">
          <cell r="A343">
            <v>1279923720</v>
          </cell>
          <cell r="B343" t="str">
            <v>8609651Z</v>
          </cell>
          <cell r="C343" t="str">
            <v>KOMANG YEHUDA PRAWIRA</v>
          </cell>
          <cell r="D343">
            <v>86098203</v>
          </cell>
          <cell r="E343">
            <v>4120177439</v>
          </cell>
          <cell r="F343">
            <v>54</v>
          </cell>
          <cell r="G343" t="str">
            <v>Perjalanan Dinas Non-Diklat</v>
          </cell>
          <cell r="H343" t="str">
            <v>Kota Makassar - Kota Kendari</v>
          </cell>
          <cell r="I343" t="str">
            <v>27/08/2025 - 30/08/2025</v>
          </cell>
          <cell r="J343">
            <v>4</v>
          </cell>
          <cell r="K343" t="str">
            <v>Hotel</v>
          </cell>
          <cell r="L343" t="str">
            <v>26-08-2025 20:26:03</v>
          </cell>
          <cell r="M343" t="str">
            <v xml:space="preserve">Sahid Azizah Syariah Hotel &amp; Convention Kendari - 3.0 Stars  - </v>
          </cell>
          <cell r="N343" t="str">
            <v>MAN STR SAR</v>
          </cell>
          <cell r="O343">
            <v>7411143</v>
          </cell>
          <cell r="P343" t="str">
            <v>28/08/2025 14:00:00 - 30/08/2025 12:00:00</v>
          </cell>
          <cell r="Q343">
            <v>1984500</v>
          </cell>
        </row>
        <row r="344">
          <cell r="A344">
            <v>1279841815</v>
          </cell>
          <cell r="B344" t="str">
            <v>93161029ZY</v>
          </cell>
          <cell r="C344" t="str">
            <v xml:space="preserve">ASDARIA </v>
          </cell>
          <cell r="D344">
            <v>93167609</v>
          </cell>
          <cell r="E344">
            <v>4120177432</v>
          </cell>
          <cell r="F344">
            <v>54</v>
          </cell>
          <cell r="G344" t="str">
            <v>Perjalanan Dinas Non-Diklat</v>
          </cell>
          <cell r="H344" t="str">
            <v>Kota Makassar - Kota Baubau</v>
          </cell>
          <cell r="I344" t="str">
            <v>27/08/2025 - 30/08/2025</v>
          </cell>
          <cell r="J344">
            <v>4</v>
          </cell>
          <cell r="K344" t="str">
            <v>Hotel</v>
          </cell>
          <cell r="L344" t="str">
            <v>26-08-2025 14:56:15</v>
          </cell>
          <cell r="M344" t="str">
            <v xml:space="preserve">Zenith Premiere Hotel Baubau - 3.0 Stars  - </v>
          </cell>
          <cell r="N344" t="str">
            <v>OF DIG SERVICE DAN CUST EX</v>
          </cell>
          <cell r="O344">
            <v>7411140</v>
          </cell>
          <cell r="P344" t="str">
            <v>29/08/2025 14:00:00 - 30/08/2025 12:00:00</v>
          </cell>
          <cell r="Q344">
            <v>778611</v>
          </cell>
        </row>
        <row r="345">
          <cell r="A345">
            <v>1280153613</v>
          </cell>
          <cell r="B345" t="str">
            <v>93161029ZY</v>
          </cell>
          <cell r="C345" t="str">
            <v xml:space="preserve">ASDARIA </v>
          </cell>
          <cell r="D345">
            <v>93167609</v>
          </cell>
          <cell r="E345">
            <v>4120177432</v>
          </cell>
          <cell r="F345">
            <v>54</v>
          </cell>
          <cell r="G345" t="str">
            <v>Perjalanan Dinas Non-Diklat</v>
          </cell>
          <cell r="H345" t="str">
            <v>Kota Makassar - Kota Baubau</v>
          </cell>
          <cell r="I345" t="str">
            <v>27/08/2025 - 30/08/2025</v>
          </cell>
          <cell r="J345">
            <v>4</v>
          </cell>
          <cell r="K345" t="str">
            <v>Flight One Way</v>
          </cell>
          <cell r="L345" t="str">
            <v>27-08-2025 18:42:31</v>
          </cell>
          <cell r="M345" t="str">
            <v>Super Air Jet  BUW Betoambari IU-573 - Super Air Jet  UPG Hasanuddin IU-573</v>
          </cell>
          <cell r="N345" t="str">
            <v>OF DIG SERVICE DAN CUST EX</v>
          </cell>
          <cell r="O345">
            <v>7411140</v>
          </cell>
          <cell r="P345" t="str">
            <v>30/08/2025 15:35:00 - 30/08/2025 16:20:00</v>
          </cell>
          <cell r="Q345">
            <v>744200</v>
          </cell>
        </row>
        <row r="346">
          <cell r="A346">
            <v>1279842298</v>
          </cell>
          <cell r="B346" t="str">
            <v>93161029ZY</v>
          </cell>
          <cell r="C346" t="str">
            <v xml:space="preserve">ASDARIA </v>
          </cell>
          <cell r="D346">
            <v>93167609</v>
          </cell>
          <cell r="E346">
            <v>4120177432</v>
          </cell>
          <cell r="F346">
            <v>54</v>
          </cell>
          <cell r="G346" t="str">
            <v>Perjalanan Dinas Non-Diklat</v>
          </cell>
          <cell r="H346" t="str">
            <v>Kota Makassar - Kota Baubau</v>
          </cell>
          <cell r="I346" t="str">
            <v>27/08/2025 - 30/08/2025</v>
          </cell>
          <cell r="J346">
            <v>4</v>
          </cell>
          <cell r="K346" t="str">
            <v>Hotel</v>
          </cell>
          <cell r="L346" t="str">
            <v>26-08-2025 14:58:04</v>
          </cell>
          <cell r="M346" t="str">
            <v xml:space="preserve">Zenith Premiere Hotel Baubau - 3.0 Stars  - </v>
          </cell>
          <cell r="N346" t="str">
            <v>OF DIG SERVICE DAN CUST EX</v>
          </cell>
          <cell r="O346">
            <v>7411140</v>
          </cell>
          <cell r="P346" t="str">
            <v>28/08/2025 14:00:00 - 29/08/2025 12:00:00</v>
          </cell>
          <cell r="Q346">
            <v>771158</v>
          </cell>
        </row>
        <row r="347">
          <cell r="A347">
            <v>1279827915</v>
          </cell>
          <cell r="B347" t="str">
            <v>93161029ZY</v>
          </cell>
          <cell r="C347" t="str">
            <v xml:space="preserve">ASDARIA </v>
          </cell>
          <cell r="D347">
            <v>93167609</v>
          </cell>
          <cell r="E347">
            <v>4120177432</v>
          </cell>
          <cell r="F347">
            <v>54</v>
          </cell>
          <cell r="G347" t="str">
            <v>Perjalanan Dinas Non-Diklat</v>
          </cell>
          <cell r="H347" t="str">
            <v>Kota Makassar - Kota Baubau</v>
          </cell>
          <cell r="I347" t="str">
            <v>27/08/2025 - 30/08/2025</v>
          </cell>
          <cell r="J347">
            <v>4</v>
          </cell>
          <cell r="K347" t="str">
            <v>Flight One Way</v>
          </cell>
          <cell r="L347" t="str">
            <v>26-08-2025 14:02:13</v>
          </cell>
          <cell r="M347" t="str">
            <v>Super Air Jet  UPG Hasanuddin IU-572 - Super Air Jet  BUW Betoambari IU-572</v>
          </cell>
          <cell r="N347" t="str">
            <v>OF DIG SERVICE DAN CUST EX</v>
          </cell>
          <cell r="O347">
            <v>7411140</v>
          </cell>
          <cell r="P347" t="str">
            <v>27/08/2025 14:10:00 - 27/08/2025 14:55:00</v>
          </cell>
          <cell r="Q347">
            <v>844100</v>
          </cell>
        </row>
        <row r="348">
          <cell r="A348">
            <v>1280063887</v>
          </cell>
          <cell r="B348" t="str">
            <v>8106034F</v>
          </cell>
          <cell r="C348" t="str">
            <v>DIAN ADHIRAMA ACHDAR</v>
          </cell>
          <cell r="D348">
            <v>81067606</v>
          </cell>
          <cell r="E348">
            <v>4120177429</v>
          </cell>
          <cell r="F348">
            <v>54</v>
          </cell>
          <cell r="G348" t="str">
            <v>Perjalanan Dinas Non-Diklat</v>
          </cell>
          <cell r="H348" t="str">
            <v>Kota Makassar - Kab. Bulukumba</v>
          </cell>
          <cell r="I348" t="str">
            <v>26/08/2025 - 28/08/2025</v>
          </cell>
          <cell r="J348">
            <v>3</v>
          </cell>
          <cell r="K348" t="str">
            <v>Hotel</v>
          </cell>
          <cell r="L348" t="str">
            <v>27-08-2025 12:33:55</v>
          </cell>
          <cell r="M348" t="str">
            <v xml:space="preserve">Seruni Hotel Bantaeng - 3.0 Stars  - </v>
          </cell>
          <cell r="N348" t="str">
            <v>TC HAR ELEKTRO</v>
          </cell>
          <cell r="O348">
            <v>7412340</v>
          </cell>
          <cell r="P348" t="str">
            <v>27/08/2025 14:00:00 - 28/08/2025 12:00:00</v>
          </cell>
          <cell r="Q348">
            <v>760000</v>
          </cell>
        </row>
        <row r="349">
          <cell r="A349">
            <v>1279784974</v>
          </cell>
          <cell r="B349" t="str">
            <v>8106034F</v>
          </cell>
          <cell r="C349" t="str">
            <v>DIAN ADHIRAMA ACHDAR</v>
          </cell>
          <cell r="D349">
            <v>81067606</v>
          </cell>
          <cell r="E349">
            <v>4120177429</v>
          </cell>
          <cell r="F349">
            <v>54</v>
          </cell>
          <cell r="G349" t="str">
            <v>Perjalanan Dinas Non-Diklat</v>
          </cell>
          <cell r="H349" t="str">
            <v>Kota Makassar - Kab. Bulukumba</v>
          </cell>
          <cell r="I349" t="str">
            <v>26/08/2025 - 28/08/2025</v>
          </cell>
          <cell r="J349">
            <v>3</v>
          </cell>
          <cell r="K349" t="str">
            <v>Hotel</v>
          </cell>
          <cell r="L349" t="str">
            <v>26-08-2025 11:18:45</v>
          </cell>
          <cell r="M349" t="str">
            <v xml:space="preserve">Hotel Agri Bulukumba - 2.0 Stars  - </v>
          </cell>
          <cell r="N349" t="str">
            <v>TC HAR ELEKTRO</v>
          </cell>
          <cell r="O349">
            <v>7412340</v>
          </cell>
          <cell r="P349" t="str">
            <v>26/08/2025 14:00:00 - 27/08/2025 12:00:00</v>
          </cell>
          <cell r="Q349">
            <v>380000</v>
          </cell>
        </row>
        <row r="350">
          <cell r="A350">
            <v>1280238660</v>
          </cell>
          <cell r="B350" t="str">
            <v>9520545ZY</v>
          </cell>
          <cell r="C350" t="str">
            <v>YANUAR MUHAMMAD IQBAL</v>
          </cell>
          <cell r="D350">
            <v>95207604</v>
          </cell>
          <cell r="E350">
            <v>4120177396</v>
          </cell>
          <cell r="F350">
            <v>54</v>
          </cell>
          <cell r="G350" t="str">
            <v>Perjalanan Dinas Non-Diklat</v>
          </cell>
          <cell r="H350" t="str">
            <v>Kab. Bone - Kota Mataram</v>
          </cell>
          <cell r="I350" t="str">
            <v>01/09/2025 - 04/09/2025</v>
          </cell>
          <cell r="J350">
            <v>4</v>
          </cell>
          <cell r="K350" t="str">
            <v>Flight One Way</v>
          </cell>
          <cell r="L350" t="str">
            <v>28-08-2025 05:59:44</v>
          </cell>
          <cell r="M350" t="str">
            <v>Lion Air Domestic UPG Hasanuddin JT-787 - Lion Air Domestic LOP Lombok Praya International Airport JT-787</v>
          </cell>
          <cell r="N350" t="str">
            <v>TL TE LAY GAN</v>
          </cell>
          <cell r="O350">
            <v>7409622</v>
          </cell>
          <cell r="P350" t="str">
            <v>01/09/2025 12:00:00 - 01/09/2025 17:10:00</v>
          </cell>
          <cell r="Q350">
            <v>1879600</v>
          </cell>
        </row>
        <row r="351">
          <cell r="A351">
            <v>1279829955</v>
          </cell>
          <cell r="B351" t="str">
            <v>9520545ZY</v>
          </cell>
          <cell r="C351" t="str">
            <v>YANUAR MUHAMMAD IQBAL</v>
          </cell>
          <cell r="D351">
            <v>95207604</v>
          </cell>
          <cell r="E351">
            <v>4120177396</v>
          </cell>
          <cell r="F351">
            <v>54</v>
          </cell>
          <cell r="G351" t="str">
            <v>Perjalanan Dinas Non-Diklat</v>
          </cell>
          <cell r="H351" t="str">
            <v>Kab. Bone - Kota Mataram</v>
          </cell>
          <cell r="I351" t="str">
            <v>01/09/2025 - 04/09/2025</v>
          </cell>
          <cell r="J351">
            <v>4</v>
          </cell>
          <cell r="K351" t="str">
            <v>Hotel</v>
          </cell>
          <cell r="L351" t="str">
            <v>26-08-2025 14:09:27</v>
          </cell>
          <cell r="M351" t="str">
            <v xml:space="preserve">Aston Inn Mataram - 4.0 Stars  - </v>
          </cell>
          <cell r="N351" t="str">
            <v>TL TE LAY GAN</v>
          </cell>
          <cell r="O351">
            <v>7409622</v>
          </cell>
          <cell r="P351" t="str">
            <v>03/09/2025 14:00:00 - 04/09/2025 12:00:00</v>
          </cell>
          <cell r="Q351">
            <v>832944</v>
          </cell>
        </row>
        <row r="352">
          <cell r="A352">
            <v>1279777435</v>
          </cell>
          <cell r="B352" t="str">
            <v>95191890ZY</v>
          </cell>
          <cell r="C352" t="str">
            <v>BIMA SAKTI MAHARDIKA BUDI</v>
          </cell>
          <cell r="D352">
            <v>95197623</v>
          </cell>
          <cell r="E352">
            <v>4120177430</v>
          </cell>
          <cell r="F352">
            <v>54</v>
          </cell>
          <cell r="G352" t="str">
            <v>Perjalanan Dinas Non-Diklat</v>
          </cell>
          <cell r="H352" t="str">
            <v>Kab. Muna - Kota Kendari</v>
          </cell>
          <cell r="I352" t="str">
            <v>27/08/2025 - 30/08/2025</v>
          </cell>
          <cell r="J352">
            <v>4</v>
          </cell>
          <cell r="K352" t="str">
            <v>Hotel</v>
          </cell>
          <cell r="L352" t="str">
            <v>26-08-2025 10:51:21</v>
          </cell>
          <cell r="M352" t="str">
            <v xml:space="preserve">Wisma Saranani - 3.0 Stars  - </v>
          </cell>
          <cell r="N352" t="str">
            <v>TL TEKNIK LAY GAN</v>
          </cell>
          <cell r="O352">
            <v>7409651</v>
          </cell>
          <cell r="P352" t="str">
            <v>27/08/2025 14:00:00 - 28/08/2025 12:00:00</v>
          </cell>
          <cell r="Q352">
            <v>201691</v>
          </cell>
        </row>
        <row r="353">
          <cell r="A353">
            <v>1279766065</v>
          </cell>
          <cell r="B353" t="str">
            <v>95191890ZY</v>
          </cell>
          <cell r="C353" t="str">
            <v>BIMA SAKTI MAHARDIKA BUDI</v>
          </cell>
          <cell r="D353">
            <v>95197623</v>
          </cell>
          <cell r="E353">
            <v>4120177430</v>
          </cell>
          <cell r="F353">
            <v>54</v>
          </cell>
          <cell r="G353" t="str">
            <v>Perjalanan Dinas Non-Diklat</v>
          </cell>
          <cell r="H353" t="str">
            <v>Kab. Muna - Kota Kendari</v>
          </cell>
          <cell r="I353" t="str">
            <v>27/08/2025 - 30/08/2025</v>
          </cell>
          <cell r="J353">
            <v>4</v>
          </cell>
          <cell r="K353" t="str">
            <v>Hotel</v>
          </cell>
          <cell r="L353" t="str">
            <v>26-08-2025 10:07:42</v>
          </cell>
          <cell r="M353" t="str">
            <v xml:space="preserve">Sahid Azizah Syariah Hotel &amp; Convention Kendari - 3.0 Stars  - </v>
          </cell>
          <cell r="N353" t="str">
            <v>TL TEKNIK LAY GAN</v>
          </cell>
          <cell r="O353">
            <v>7409651</v>
          </cell>
          <cell r="P353" t="str">
            <v>28/08/2025 14:00:00 - 30/08/2025 12:00:00</v>
          </cell>
          <cell r="Q353">
            <v>1885500</v>
          </cell>
        </row>
        <row r="354">
          <cell r="A354">
            <v>1280090086</v>
          </cell>
          <cell r="B354" t="str">
            <v>95191271ZY</v>
          </cell>
          <cell r="C354" t="str">
            <v>WASHILATUL HUDA</v>
          </cell>
          <cell r="D354">
            <v>95197611</v>
          </cell>
          <cell r="E354">
            <v>4120177412</v>
          </cell>
          <cell r="F354">
            <v>54</v>
          </cell>
          <cell r="G354" t="str">
            <v>Perjalanan Dinas Non-Diklat</v>
          </cell>
          <cell r="H354" t="str">
            <v>Kota Makassar - Jakarta Pusat</v>
          </cell>
          <cell r="I354" t="str">
            <v>28/08/2025 - 29/08/2025</v>
          </cell>
          <cell r="J354">
            <v>2</v>
          </cell>
          <cell r="K354" t="str">
            <v>Flight One Way</v>
          </cell>
          <cell r="L354" t="str">
            <v>27-08-2025 14:16:15</v>
          </cell>
          <cell r="M354" t="str">
            <v>Garuda Indonesia Domestic UPG Hasanuddin GA-605 - Garuda Indonesia  CGK Soekarno Hatta International Airport GA-605</v>
          </cell>
          <cell r="N354" t="str">
            <v>OF KEU DAN AKT</v>
          </cell>
          <cell r="O354">
            <v>7409343</v>
          </cell>
          <cell r="P354" t="str">
            <v>28/08/2025 10:55:00 - 28/08/2025 12:25:00</v>
          </cell>
          <cell r="Q354">
            <v>2343100</v>
          </cell>
        </row>
        <row r="355">
          <cell r="A355">
            <v>1280215756</v>
          </cell>
          <cell r="B355" t="str">
            <v>95191271ZY</v>
          </cell>
          <cell r="C355" t="str">
            <v>WASHILATUL HUDA</v>
          </cell>
          <cell r="D355">
            <v>95197611</v>
          </cell>
          <cell r="E355">
            <v>4120177412</v>
          </cell>
          <cell r="F355">
            <v>54</v>
          </cell>
          <cell r="G355" t="str">
            <v>Perjalanan Dinas Non-Diklat</v>
          </cell>
          <cell r="H355" t="str">
            <v>Kota Makassar - Jakarta Pusat</v>
          </cell>
          <cell r="I355" t="str">
            <v>28/08/2025 - 29/08/2025</v>
          </cell>
          <cell r="J355">
            <v>2</v>
          </cell>
          <cell r="K355" t="str">
            <v>Hotel</v>
          </cell>
          <cell r="L355" t="str">
            <v>27-08-2025 23:08:06</v>
          </cell>
          <cell r="M355" t="str">
            <v xml:space="preserve">Yello Hotel Harmoni - 3.0 Stars  - </v>
          </cell>
          <cell r="N355" t="str">
            <v>OF KEU DAN AKT</v>
          </cell>
          <cell r="O355">
            <v>7409343</v>
          </cell>
          <cell r="P355" t="str">
            <v>28/08/2025 14:00:00 - 29/08/2025 12:00:00</v>
          </cell>
          <cell r="Q355">
            <v>736000</v>
          </cell>
        </row>
        <row r="356">
          <cell r="A356">
            <v>1279653136</v>
          </cell>
          <cell r="B356" t="str">
            <v>9318627ZY</v>
          </cell>
          <cell r="C356" t="str">
            <v>HINDARTO RHOMAD NUR WICAKSONO</v>
          </cell>
          <cell r="D356">
            <v>93187610</v>
          </cell>
          <cell r="E356">
            <v>4120177409</v>
          </cell>
          <cell r="F356">
            <v>54</v>
          </cell>
          <cell r="G356" t="str">
            <v>Perjalanan Dinas Non-Diklat</v>
          </cell>
          <cell r="H356" t="str">
            <v>Kota Makassar - Kab. Bogor</v>
          </cell>
          <cell r="I356" t="str">
            <v>26/08/2025 - 28/08/2025</v>
          </cell>
          <cell r="J356">
            <v>3</v>
          </cell>
          <cell r="K356" t="str">
            <v>Hotel</v>
          </cell>
          <cell r="L356" t="str">
            <v>25-08-2025 19:22:23</v>
          </cell>
          <cell r="M356" t="str">
            <v xml:space="preserve">Nemuru Grand Bhuvana Ciawi - 4.0 Stars  - </v>
          </cell>
          <cell r="N356" t="str">
            <v>TL SCADA DAN TEL (MKS)</v>
          </cell>
          <cell r="O356">
            <v>7408341</v>
          </cell>
          <cell r="P356" t="str">
            <v>26/08/2025 14:00:00 - 27/08/2025 12:00:00</v>
          </cell>
          <cell r="Q356">
            <v>725760</v>
          </cell>
        </row>
        <row r="357">
          <cell r="A357">
            <v>1279647652</v>
          </cell>
          <cell r="B357" t="str">
            <v>9318627ZY</v>
          </cell>
          <cell r="C357" t="str">
            <v>HINDARTO RHOMAD NUR WICAKSONO</v>
          </cell>
          <cell r="D357">
            <v>93187610</v>
          </cell>
          <cell r="E357">
            <v>4120177409</v>
          </cell>
          <cell r="F357">
            <v>54</v>
          </cell>
          <cell r="G357" t="str">
            <v>Perjalanan Dinas Non-Diklat</v>
          </cell>
          <cell r="H357" t="str">
            <v>Kota Makassar - Kab. Bogor</v>
          </cell>
          <cell r="I357" t="str">
            <v>26/08/2025 - 28/08/2025</v>
          </cell>
          <cell r="J357">
            <v>3</v>
          </cell>
          <cell r="K357" t="str">
            <v>Flight One Way</v>
          </cell>
          <cell r="L357" t="str">
            <v>25-08-2025 18:59:59</v>
          </cell>
          <cell r="M357" t="str">
            <v>Citilink Domestic UPG Hasanuddin QG-213 - Citilink 1B CGK Soekarno Hatta International Airport QG-213</v>
          </cell>
          <cell r="N357" t="str">
            <v>TL SCADA DAN TEL (MKS)</v>
          </cell>
          <cell r="O357">
            <v>7408341</v>
          </cell>
          <cell r="P357" t="str">
            <v>26/08/2025 13:35:00 - 26/08/2025 15:00:00</v>
          </cell>
          <cell r="Q357">
            <v>1921500</v>
          </cell>
        </row>
        <row r="358">
          <cell r="A358">
            <v>1279652903</v>
          </cell>
          <cell r="B358" t="str">
            <v>96191272ZY</v>
          </cell>
          <cell r="C358" t="str">
            <v>AHMAD FATHAN MAARIF</v>
          </cell>
          <cell r="D358">
            <v>96197614</v>
          </cell>
          <cell r="E358">
            <v>4120177408</v>
          </cell>
          <cell r="F358">
            <v>54</v>
          </cell>
          <cell r="G358" t="str">
            <v>Perjalanan Dinas Non-Diklat</v>
          </cell>
          <cell r="H358" t="str">
            <v>Kota Kendari - Kab. Bogor</v>
          </cell>
          <cell r="I358" t="str">
            <v>26/08/2025 - 28/08/2025</v>
          </cell>
          <cell r="J358">
            <v>3</v>
          </cell>
          <cell r="K358" t="str">
            <v>Hotel</v>
          </cell>
          <cell r="L358" t="str">
            <v>25-08-2025 19:21:22</v>
          </cell>
          <cell r="M358" t="str">
            <v xml:space="preserve">Nemuru Grand Bhuvana Ciawi - 4.0 Stars  - </v>
          </cell>
          <cell r="N358" t="str">
            <v>TL SCADA DAN TEL (KEN)</v>
          </cell>
          <cell r="O358">
            <v>7408341</v>
          </cell>
          <cell r="P358" t="str">
            <v>26/08/2025 14:00:00 - 27/08/2025 12:00:00</v>
          </cell>
          <cell r="Q358">
            <v>725760</v>
          </cell>
        </row>
        <row r="359">
          <cell r="A359">
            <v>1279933746</v>
          </cell>
          <cell r="B359" t="str">
            <v>96191272ZY</v>
          </cell>
          <cell r="C359" t="str">
            <v>AHMAD FATHAN MAARIF</v>
          </cell>
          <cell r="D359">
            <v>96197614</v>
          </cell>
          <cell r="E359">
            <v>4120177408</v>
          </cell>
          <cell r="F359">
            <v>54</v>
          </cell>
          <cell r="G359" t="str">
            <v>Perjalanan Dinas Non-Diklat</v>
          </cell>
          <cell r="H359" t="str">
            <v>Kota Kendari - Kab. Bogor</v>
          </cell>
          <cell r="I359" t="str">
            <v>26/08/2025 - 28/08/2025</v>
          </cell>
          <cell r="J359">
            <v>3</v>
          </cell>
          <cell r="K359" t="str">
            <v>Hotel</v>
          </cell>
          <cell r="L359" t="str">
            <v>26-08-2025 21:05:23</v>
          </cell>
          <cell r="M359" t="str">
            <v xml:space="preserve">Fieris Hotel Jakarta - 3.0 Stars  - </v>
          </cell>
          <cell r="N359" t="str">
            <v>TL SCADA DAN TEL (KEN)</v>
          </cell>
          <cell r="O359">
            <v>7408341</v>
          </cell>
          <cell r="P359" t="str">
            <v>27/08/2025 14:00:00 - 28/08/2025 12:00:00</v>
          </cell>
          <cell r="Q359">
            <v>725000</v>
          </cell>
        </row>
        <row r="360">
          <cell r="A360">
            <v>1279938851</v>
          </cell>
          <cell r="B360" t="str">
            <v>96191272ZY</v>
          </cell>
          <cell r="C360" t="str">
            <v>AHMAD FATHAN MAARIF</v>
          </cell>
          <cell r="D360">
            <v>96197614</v>
          </cell>
          <cell r="E360">
            <v>4120177408</v>
          </cell>
          <cell r="F360">
            <v>54</v>
          </cell>
          <cell r="G360" t="str">
            <v>Perjalanan Dinas Non-Diklat</v>
          </cell>
          <cell r="H360" t="str">
            <v>Kota Kendari - Kab. Bogor</v>
          </cell>
          <cell r="I360" t="str">
            <v>26/08/2025 - 28/08/2025</v>
          </cell>
          <cell r="J360">
            <v>3</v>
          </cell>
          <cell r="K360" t="str">
            <v>Flight One Way</v>
          </cell>
          <cell r="L360" t="str">
            <v>26-08-2025 21:25:51</v>
          </cell>
          <cell r="M360" t="str">
            <v>Lion Air 1A CGK Soekarno Hatta International Airport JT-986 - Lion Air  KDI Haluoleo JT-986</v>
          </cell>
          <cell r="N360" t="str">
            <v>TL SCADA DAN TEL (KEN)</v>
          </cell>
          <cell r="O360">
            <v>7408341</v>
          </cell>
          <cell r="P360" t="str">
            <v>28/08/2025 01:30:00 - 28/08/2025 08:05:00</v>
          </cell>
          <cell r="Q360">
            <v>1514100</v>
          </cell>
        </row>
        <row r="361">
          <cell r="A361">
            <v>1279584794</v>
          </cell>
          <cell r="B361" t="str">
            <v>96191272ZY</v>
          </cell>
          <cell r="C361" t="str">
            <v>AHMAD FATHAN MAARIF</v>
          </cell>
          <cell r="D361">
            <v>96197614</v>
          </cell>
          <cell r="E361">
            <v>4120177408</v>
          </cell>
          <cell r="F361">
            <v>54</v>
          </cell>
          <cell r="G361" t="str">
            <v>Perjalanan Dinas Non-Diklat</v>
          </cell>
          <cell r="H361" t="str">
            <v>Kota Kendari - Kab. Bogor</v>
          </cell>
          <cell r="I361" t="str">
            <v>26/08/2025 - 28/08/2025</v>
          </cell>
          <cell r="J361">
            <v>3</v>
          </cell>
          <cell r="K361" t="str">
            <v>Flight One Way</v>
          </cell>
          <cell r="L361" t="str">
            <v>25-08-2025 14:38:25</v>
          </cell>
          <cell r="M361" t="str">
            <v>Garuda Indonesia  KDI Haluoleo GA-605 - Garuda Indonesia  CGK Soekarno Hatta International Airport GA-605</v>
          </cell>
          <cell r="N361" t="str">
            <v>TL SCADA DAN TEL (KEN)</v>
          </cell>
          <cell r="O361">
            <v>7408341</v>
          </cell>
          <cell r="P361" t="str">
            <v>26/08/2025 09:10:00 - 26/08/2025 12:25:00</v>
          </cell>
          <cell r="Q361">
            <v>2670500</v>
          </cell>
        </row>
        <row r="362">
          <cell r="A362">
            <v>1280355920</v>
          </cell>
          <cell r="B362" t="str">
            <v>9616004FY</v>
          </cell>
          <cell r="C362" t="str">
            <v>SATRIA ANSARUDIN ANWAR</v>
          </cell>
          <cell r="D362">
            <v>96167802</v>
          </cell>
          <cell r="E362">
            <v>4120177415</v>
          </cell>
          <cell r="F362">
            <v>54</v>
          </cell>
          <cell r="G362" t="str">
            <v>Perjalanan Dinas Non-Diklat</v>
          </cell>
          <cell r="H362" t="str">
            <v>Kota Baubau - Kota Kendari</v>
          </cell>
          <cell r="I362" t="str">
            <v>27/08/2025 - 30/08/2025</v>
          </cell>
          <cell r="J362">
            <v>4</v>
          </cell>
          <cell r="K362" t="str">
            <v>Hotel</v>
          </cell>
          <cell r="L362" t="str">
            <v>28-08-2025 14:58:16</v>
          </cell>
          <cell r="M362" t="str">
            <v xml:space="preserve">Hotel Zenith Kendari - 3.0 Stars  - </v>
          </cell>
          <cell r="N362" t="str">
            <v>JTC HAR DIST</v>
          </cell>
          <cell r="O362">
            <v>7409281</v>
          </cell>
          <cell r="P362" t="str">
            <v>28/08/2025 14:00:00 - 30/08/2025 12:00:00</v>
          </cell>
          <cell r="Q362">
            <v>1084339</v>
          </cell>
        </row>
        <row r="363">
          <cell r="A363">
            <v>1279503376</v>
          </cell>
          <cell r="B363" t="str">
            <v>8812081ZY</v>
          </cell>
          <cell r="C363" t="str">
            <v>SATRIA PRASAMYA</v>
          </cell>
          <cell r="D363">
            <v>88127601</v>
          </cell>
          <cell r="E363">
            <v>4120177403</v>
          </cell>
          <cell r="F363">
            <v>54</v>
          </cell>
          <cell r="G363" t="str">
            <v>Perjalanan Dinas Non-Diklat</v>
          </cell>
          <cell r="H363" t="str">
            <v>Kota Makassar - Jakarta Barat</v>
          </cell>
          <cell r="I363" t="str">
            <v>25/08/2025 - 27/08/2025</v>
          </cell>
          <cell r="J363">
            <v>3</v>
          </cell>
          <cell r="K363" t="str">
            <v>Flight One Way</v>
          </cell>
          <cell r="L363" t="str">
            <v>25-08-2025 09:31:40</v>
          </cell>
          <cell r="M363" t="str">
            <v>Garuda Indonesia Domestic UPG Hasanuddin GA-613 - Garuda Indonesia  CGK Soekarno Hatta International Airport GA-613</v>
          </cell>
          <cell r="N363" t="str">
            <v>MAN REN DAN</v>
          </cell>
          <cell r="O363">
            <v>7412000</v>
          </cell>
          <cell r="P363" t="str">
            <v>25/08/2025 13:00:00 - 25/08/2025 14:25:00</v>
          </cell>
          <cell r="Q363">
            <v>2344900</v>
          </cell>
        </row>
        <row r="364">
          <cell r="A364">
            <v>1279979206</v>
          </cell>
          <cell r="B364" t="str">
            <v>8812081ZY</v>
          </cell>
          <cell r="C364" t="str">
            <v>SATRIA PRASAMYA</v>
          </cell>
          <cell r="D364">
            <v>88127601</v>
          </cell>
          <cell r="E364">
            <v>4120177403</v>
          </cell>
          <cell r="F364">
            <v>54</v>
          </cell>
          <cell r="G364" t="str">
            <v>Perjalanan Dinas Non-Diklat</v>
          </cell>
          <cell r="H364" t="str">
            <v>Kota Makassar - Jakarta Barat</v>
          </cell>
          <cell r="I364" t="str">
            <v>25/08/2025 - 27/08/2025</v>
          </cell>
          <cell r="J364">
            <v>3</v>
          </cell>
          <cell r="K364" t="str">
            <v>Flight One Way</v>
          </cell>
          <cell r="L364" t="str">
            <v>27-08-2025 03:36:09</v>
          </cell>
          <cell r="M364" t="str">
            <v>Batik Air 2D CGK Soekarno Hatta International Airport ID-6266 - Batik Air Domestic UPG Hasanuddin ID-6266</v>
          </cell>
          <cell r="N364" t="str">
            <v>MAN REN DAN</v>
          </cell>
          <cell r="O364">
            <v>7412000</v>
          </cell>
          <cell r="P364" t="str">
            <v>27/08/2025 14:30:00 - 27/08/2025 17:50:00</v>
          </cell>
          <cell r="Q364">
            <v>2156200</v>
          </cell>
        </row>
        <row r="365">
          <cell r="A365">
            <v>1279492834</v>
          </cell>
          <cell r="B365" t="str">
            <v>8812081ZY</v>
          </cell>
          <cell r="C365" t="str">
            <v>SATRIA PRASAMYA</v>
          </cell>
          <cell r="D365">
            <v>88127601</v>
          </cell>
          <cell r="E365">
            <v>4120177403</v>
          </cell>
          <cell r="F365">
            <v>54</v>
          </cell>
          <cell r="G365" t="str">
            <v>Perjalanan Dinas Non-Diklat</v>
          </cell>
          <cell r="H365" t="str">
            <v>Kota Makassar - Jakarta Barat</v>
          </cell>
          <cell r="I365" t="str">
            <v>25/08/2025 - 27/08/2025</v>
          </cell>
          <cell r="J365">
            <v>3</v>
          </cell>
          <cell r="K365" t="str">
            <v>Hotel</v>
          </cell>
          <cell r="L365" t="str">
            <v>25-08-2025 08:41:52</v>
          </cell>
          <cell r="M365" t="str">
            <v xml:space="preserve">Mercure Jakarta Gatot Subroto - 4.0 Stars  - </v>
          </cell>
          <cell r="N365" t="str">
            <v>MAN REN DAN</v>
          </cell>
          <cell r="O365">
            <v>7412000</v>
          </cell>
          <cell r="P365" t="str">
            <v>25/08/2025 14:00:00 - 27/08/2025 12:00:00</v>
          </cell>
          <cell r="Q365">
            <v>2928158</v>
          </cell>
        </row>
        <row r="366">
          <cell r="A366">
            <v>1279605694</v>
          </cell>
          <cell r="B366" t="str">
            <v>8007053Z</v>
          </cell>
          <cell r="C366" t="str">
            <v>DALMASIUS NUGROHO ADI PUTRANTO</v>
          </cell>
          <cell r="D366">
            <v>80077601</v>
          </cell>
          <cell r="E366">
            <v>4120177401</v>
          </cell>
          <cell r="F366">
            <v>54</v>
          </cell>
          <cell r="G366" t="str">
            <v>Perjalanan Dinas Non-Diklat</v>
          </cell>
          <cell r="H366" t="str">
            <v>Kota Makassar - Jakarta Selatan</v>
          </cell>
          <cell r="I366" t="str">
            <v>25/08/2025 - 27/08/2025</v>
          </cell>
          <cell r="J366">
            <v>3</v>
          </cell>
          <cell r="K366" t="str">
            <v>Hotel</v>
          </cell>
          <cell r="L366" t="str">
            <v>25-08-2025 16:00:56</v>
          </cell>
          <cell r="M366" t="str">
            <v xml:space="preserve">ARTOTEL Gelora Senayan Jakarta - 4.0 Stars  - </v>
          </cell>
          <cell r="N366" t="str">
            <v>MAN REN SIS KELIST</v>
          </cell>
          <cell r="O366">
            <v>7412112</v>
          </cell>
          <cell r="P366" t="str">
            <v>25/08/2025 14:00:00 - 26/08/2025 12:00:00</v>
          </cell>
          <cell r="Q366">
            <v>1274225</v>
          </cell>
        </row>
        <row r="367">
          <cell r="A367">
            <v>1279301053</v>
          </cell>
          <cell r="B367" t="str">
            <v>8007053Z</v>
          </cell>
          <cell r="C367" t="str">
            <v>DALMASIUS NUGROHO ADI PUTRANTO</v>
          </cell>
          <cell r="D367">
            <v>80077601</v>
          </cell>
          <cell r="E367">
            <v>4120177401</v>
          </cell>
          <cell r="F367">
            <v>54</v>
          </cell>
          <cell r="G367" t="str">
            <v>Perjalanan Dinas Non-Diklat</v>
          </cell>
          <cell r="H367" t="str">
            <v>Kota Makassar - Jakarta Selatan</v>
          </cell>
          <cell r="I367" t="str">
            <v>25/08/2025 - 27/08/2025</v>
          </cell>
          <cell r="J367">
            <v>3</v>
          </cell>
          <cell r="K367" t="str">
            <v>Flight One Way</v>
          </cell>
          <cell r="L367" t="str">
            <v>24-08-2025 09:26:06</v>
          </cell>
          <cell r="M367" t="str">
            <v>Garuda Indonesia Domestic UPG Hasanuddin GA-619 - Garuda Indonesia  CGK Soekarno Hatta International Airport GA-619</v>
          </cell>
          <cell r="N367" t="str">
            <v>MAN REN SIS KELIST</v>
          </cell>
          <cell r="O367">
            <v>7412112</v>
          </cell>
          <cell r="P367" t="str">
            <v>25/08/2025 05:25:00 - 25/08/2025 06:55:00</v>
          </cell>
          <cell r="Q367">
            <v>1848800</v>
          </cell>
        </row>
        <row r="368">
          <cell r="A368">
            <v>1279698230</v>
          </cell>
          <cell r="B368" t="str">
            <v>8007053Z</v>
          </cell>
          <cell r="C368" t="str">
            <v>DALMASIUS NUGROHO ADI PUTRANTO</v>
          </cell>
          <cell r="D368">
            <v>80077601</v>
          </cell>
          <cell r="E368">
            <v>4120177401</v>
          </cell>
          <cell r="F368">
            <v>54</v>
          </cell>
          <cell r="G368" t="str">
            <v>Perjalanan Dinas Non-Diklat</v>
          </cell>
          <cell r="H368" t="str">
            <v>Kota Makassar - Jakarta Selatan</v>
          </cell>
          <cell r="I368" t="str">
            <v>25/08/2025 - 27/08/2025</v>
          </cell>
          <cell r="J368">
            <v>3</v>
          </cell>
          <cell r="K368" t="str">
            <v>Flight One Way</v>
          </cell>
          <cell r="L368" t="str">
            <v>25-08-2025 22:30:49</v>
          </cell>
          <cell r="M368" t="str">
            <v>Sriwijaya Air 1A CGK Soekarno Hatta International Airport SJ-580 - Sriwijaya Air Domestic UPG Hasanuddin SJ-580</v>
          </cell>
          <cell r="N368" t="str">
            <v>MAN REN SIS KELIST</v>
          </cell>
          <cell r="O368">
            <v>7412112</v>
          </cell>
          <cell r="P368" t="str">
            <v>26/08/2025 14:25:00 - 26/08/2025 17:50:00</v>
          </cell>
          <cell r="Q368">
            <v>1321800</v>
          </cell>
        </row>
        <row r="369">
          <cell r="A369">
            <v>1279885673</v>
          </cell>
          <cell r="B369" t="str">
            <v>8408499Z</v>
          </cell>
          <cell r="C369" t="str">
            <v xml:space="preserve">MIRSAN </v>
          </cell>
          <cell r="D369">
            <v>84087802</v>
          </cell>
          <cell r="E369">
            <v>4120177398</v>
          </cell>
          <cell r="F369">
            <v>54</v>
          </cell>
          <cell r="G369" t="str">
            <v>Perjalanan Dinas Non-Diklat</v>
          </cell>
          <cell r="H369" t="str">
            <v>Kota Makassar - Kab. Kolaka</v>
          </cell>
          <cell r="I369" t="str">
            <v>26/08/2025 - 28/08/2025</v>
          </cell>
          <cell r="J369">
            <v>3</v>
          </cell>
          <cell r="K369" t="str">
            <v>Flight One Way</v>
          </cell>
          <cell r="L369" t="str">
            <v>26-08-2025 17:51:31</v>
          </cell>
          <cell r="M369" t="str">
            <v>Wings Air  KXB Sangia Nibandera IW-1207 - Wings Air Domestic UPG Hasanuddin IW-1207</v>
          </cell>
          <cell r="N369" t="str">
            <v>MAN YAN PRIORITAS DAN PAE</v>
          </cell>
          <cell r="O369">
            <v>7411140</v>
          </cell>
          <cell r="P369" t="str">
            <v>28/08/2025 08:30:00 - 28/08/2025 09:25:00</v>
          </cell>
          <cell r="Q369">
            <v>1315800</v>
          </cell>
        </row>
        <row r="370">
          <cell r="A370">
            <v>1279482488</v>
          </cell>
          <cell r="B370" t="str">
            <v>8408499Z</v>
          </cell>
          <cell r="C370" t="str">
            <v xml:space="preserve">MIRSAN </v>
          </cell>
          <cell r="D370">
            <v>84087802</v>
          </cell>
          <cell r="E370">
            <v>4120177398</v>
          </cell>
          <cell r="F370">
            <v>54</v>
          </cell>
          <cell r="G370" t="str">
            <v>Perjalanan Dinas Non-Diklat</v>
          </cell>
          <cell r="H370" t="str">
            <v>Kota Makassar - Kab. Kolaka</v>
          </cell>
          <cell r="I370" t="str">
            <v>26/08/2025 - 28/08/2025</v>
          </cell>
          <cell r="J370">
            <v>3</v>
          </cell>
          <cell r="K370" t="str">
            <v>Flight One Way</v>
          </cell>
          <cell r="L370" t="str">
            <v>25-08-2025 07:32:25</v>
          </cell>
          <cell r="M370" t="str">
            <v>Wings Air Domestic UPG Hasanuddin IW-1204 - Wings Air  KXB Sangia Nibandera IW-1204</v>
          </cell>
          <cell r="N370" t="str">
            <v>MAN YAN PRIORITAS DAN PAE</v>
          </cell>
          <cell r="O370">
            <v>7411140</v>
          </cell>
          <cell r="P370" t="str">
            <v>26/08/2025 09:40:00 - 26/08/2025 10:40:00</v>
          </cell>
          <cell r="Q370">
            <v>1415700</v>
          </cell>
        </row>
        <row r="371">
          <cell r="A371">
            <v>1279212382</v>
          </cell>
          <cell r="B371" t="str">
            <v>8812188ZY</v>
          </cell>
          <cell r="C371" t="str">
            <v>JULYANZAH PERDANA PUTRA</v>
          </cell>
          <cell r="D371">
            <v>88128002</v>
          </cell>
          <cell r="E371">
            <v>4120177386</v>
          </cell>
          <cell r="F371">
            <v>54</v>
          </cell>
          <cell r="G371" t="str">
            <v>Perjalanan Dinas Non-Diklat</v>
          </cell>
          <cell r="H371" t="str">
            <v>Kota Makassar - Jakarta Selatan</v>
          </cell>
          <cell r="I371" t="str">
            <v>24/08/2025 - 27/08/2025</v>
          </cell>
          <cell r="J371">
            <v>4</v>
          </cell>
          <cell r="K371" t="str">
            <v>Hotel</v>
          </cell>
          <cell r="L371" t="str">
            <v>23-08-2025 19:11:32</v>
          </cell>
          <cell r="M371" t="str">
            <v xml:space="preserve">Sotis Hotel Kemang Jakarta - 4.0 Stars  - </v>
          </cell>
          <cell r="N371" t="str">
            <v>SOF REN SIS KELIST</v>
          </cell>
          <cell r="O371">
            <v>7412112</v>
          </cell>
          <cell r="P371" t="str">
            <v>24/08/2025 14:00:00 - 26/08/2025 12:00:00</v>
          </cell>
          <cell r="Q371">
            <v>1900000</v>
          </cell>
        </row>
        <row r="372">
          <cell r="A372">
            <v>1279718541</v>
          </cell>
          <cell r="B372" t="str">
            <v>8812188ZY</v>
          </cell>
          <cell r="C372" t="str">
            <v>JULYANZAH PERDANA PUTRA</v>
          </cell>
          <cell r="D372">
            <v>88128002</v>
          </cell>
          <cell r="E372">
            <v>4120177386</v>
          </cell>
          <cell r="F372">
            <v>54</v>
          </cell>
          <cell r="G372" t="str">
            <v>Perjalanan Dinas Non-Diklat</v>
          </cell>
          <cell r="H372" t="str">
            <v>Kota Makassar - Jakarta Selatan</v>
          </cell>
          <cell r="I372" t="str">
            <v>24/08/2025 - 27/08/2025</v>
          </cell>
          <cell r="J372">
            <v>4</v>
          </cell>
          <cell r="K372" t="str">
            <v>Flight One Way</v>
          </cell>
          <cell r="L372" t="str">
            <v>26-08-2025 02:23:30</v>
          </cell>
          <cell r="M372" t="str">
            <v>Garuda Indonesia  CGK Soekarno Hatta International Airport GA-610 - Garuda Indonesia Domestic UPG Hasanuddin GA-610</v>
          </cell>
          <cell r="N372" t="str">
            <v>SOF REN SIS KELIST</v>
          </cell>
          <cell r="O372">
            <v>7412112</v>
          </cell>
          <cell r="P372" t="str">
            <v>27/08/2025 06:55:00 - 27/08/2025 10:30:00</v>
          </cell>
          <cell r="Q372">
            <v>2381300</v>
          </cell>
        </row>
        <row r="373">
          <cell r="A373">
            <v>1278963847</v>
          </cell>
          <cell r="B373" t="str">
            <v>8209147Z</v>
          </cell>
          <cell r="C373" t="str">
            <v>WENNY DIANA</v>
          </cell>
          <cell r="D373">
            <v>82097400</v>
          </cell>
          <cell r="E373">
            <v>4120177391</v>
          </cell>
          <cell r="F373">
            <v>54</v>
          </cell>
          <cell r="G373" t="str">
            <v>Perjalanan Dinas Non-Diklat</v>
          </cell>
          <cell r="H373" t="str">
            <v>Kota Makassar - Kota Kendari</v>
          </cell>
          <cell r="I373" t="str">
            <v>24/08/2025 - 26/08/2025</v>
          </cell>
          <cell r="J373">
            <v>3</v>
          </cell>
          <cell r="K373" t="str">
            <v>Flight One Way</v>
          </cell>
          <cell r="L373" t="str">
            <v>22-08-2025 18:12:54</v>
          </cell>
          <cell r="M373" t="str">
            <v>Batik Air Domestic UPG Hasanuddin ID-6751 - Batik Air  KDI Haluoleo ID-6751</v>
          </cell>
          <cell r="N373" t="str">
            <v>SOF IPP DAN EXCESS POWER</v>
          </cell>
          <cell r="O373">
            <v>7412110</v>
          </cell>
          <cell r="P373" t="str">
            <v>24/08/2025 08:30:00 - 24/08/2025 09:35:00</v>
          </cell>
          <cell r="Q373">
            <v>905300</v>
          </cell>
        </row>
        <row r="374">
          <cell r="A374">
            <v>1279565981</v>
          </cell>
          <cell r="B374" t="str">
            <v>8209147Z</v>
          </cell>
          <cell r="C374" t="str">
            <v>WENNY DIANA</v>
          </cell>
          <cell r="D374">
            <v>82097400</v>
          </cell>
          <cell r="E374">
            <v>4120177391</v>
          </cell>
          <cell r="F374">
            <v>54</v>
          </cell>
          <cell r="G374" t="str">
            <v>Perjalanan Dinas Non-Diklat</v>
          </cell>
          <cell r="H374" t="str">
            <v>Kota Makassar - Kota Kendari</v>
          </cell>
          <cell r="I374" t="str">
            <v>24/08/2025 - 26/08/2025</v>
          </cell>
          <cell r="J374">
            <v>3</v>
          </cell>
          <cell r="K374" t="str">
            <v>Flight One Way</v>
          </cell>
          <cell r="L374" t="str">
            <v>25-08-2025 13:28:06</v>
          </cell>
          <cell r="M374" t="str">
            <v>Garuda Indonesia  KDI Haluoleo GA-605 - Garuda Indonesia Domestic UPG Hasanuddin GA-605</v>
          </cell>
          <cell r="N374" t="str">
            <v>SOF IPP DAN EXCESS POWER</v>
          </cell>
          <cell r="O374">
            <v>7412110</v>
          </cell>
          <cell r="P374" t="str">
            <v>26/08/2025 09:10:00 - 26/08/2025 10:10:00</v>
          </cell>
          <cell r="Q374">
            <v>972800</v>
          </cell>
        </row>
        <row r="375">
          <cell r="A375">
            <v>1279761551</v>
          </cell>
          <cell r="B375" t="str">
            <v>7703070F</v>
          </cell>
          <cell r="C375" t="str">
            <v>ANDI DWI MULYANA</v>
          </cell>
          <cell r="D375">
            <v>77037604</v>
          </cell>
          <cell r="E375">
            <v>4120177390</v>
          </cell>
          <cell r="F375">
            <v>54</v>
          </cell>
          <cell r="G375" t="str">
            <v>Perjalanan Dinas Non-Diklat</v>
          </cell>
          <cell r="H375" t="str">
            <v>Kota Makassar - Kota Kendari</v>
          </cell>
          <cell r="I375" t="str">
            <v>24/08/2025 - 26/08/2025</v>
          </cell>
          <cell r="J375">
            <v>3</v>
          </cell>
          <cell r="K375" t="str">
            <v>Flight One Way</v>
          </cell>
          <cell r="L375" t="str">
            <v>26-08-2025 09:48:46</v>
          </cell>
          <cell r="M375" t="str">
            <v>Garuda Indonesia  KDI Haluoleo GA-6055 - Garuda Indonesia Domestic UPG Hasanuddin GA-6055</v>
          </cell>
          <cell r="N375" t="str">
            <v>OF REN SIS KELIST</v>
          </cell>
          <cell r="O375">
            <v>7412112</v>
          </cell>
          <cell r="P375" t="str">
            <v>26/08/2025 16:05:00 - 26/08/2025 17:05:00</v>
          </cell>
          <cell r="Q375">
            <v>748100</v>
          </cell>
        </row>
        <row r="376">
          <cell r="A376">
            <v>1278961803</v>
          </cell>
          <cell r="B376" t="str">
            <v>7703070F</v>
          </cell>
          <cell r="C376" t="str">
            <v>ANDI DWI MULYANA</v>
          </cell>
          <cell r="D376">
            <v>77037604</v>
          </cell>
          <cell r="E376">
            <v>4120177390</v>
          </cell>
          <cell r="F376">
            <v>54</v>
          </cell>
          <cell r="G376" t="str">
            <v>Perjalanan Dinas Non-Diklat</v>
          </cell>
          <cell r="H376" t="str">
            <v>Kota Makassar - Kota Kendari</v>
          </cell>
          <cell r="I376" t="str">
            <v>24/08/2025 - 26/08/2025</v>
          </cell>
          <cell r="J376">
            <v>3</v>
          </cell>
          <cell r="K376" t="str">
            <v>Flight One Way</v>
          </cell>
          <cell r="L376" t="str">
            <v>22-08-2025 18:03:49</v>
          </cell>
          <cell r="M376" t="str">
            <v>Batik Air Domestic UPG Hasanuddin ID-6751 - Batik Air  KDI Haluoleo ID-6751</v>
          </cell>
          <cell r="N376" t="str">
            <v>OF REN SIS KELIST</v>
          </cell>
          <cell r="O376">
            <v>7412112</v>
          </cell>
          <cell r="P376" t="str">
            <v>24/08/2025 08:30:00 - 24/08/2025 09:35:00</v>
          </cell>
          <cell r="Q376">
            <v>905300</v>
          </cell>
        </row>
        <row r="377">
          <cell r="A377">
            <v>1279563210</v>
          </cell>
          <cell r="B377" t="str">
            <v>8710452Z</v>
          </cell>
          <cell r="C377" t="str">
            <v>SRI RESKY MUCHTAR</v>
          </cell>
          <cell r="D377">
            <v>87104500</v>
          </cell>
          <cell r="E377">
            <v>4120177388</v>
          </cell>
          <cell r="F377">
            <v>54</v>
          </cell>
          <cell r="G377" t="str">
            <v>Perjalanan Dinas Non-Diklat</v>
          </cell>
          <cell r="H377" t="str">
            <v>Kota Makassar - Kota Kendari</v>
          </cell>
          <cell r="I377" t="str">
            <v>24/08/2025 - 26/08/2025</v>
          </cell>
          <cell r="J377">
            <v>3</v>
          </cell>
          <cell r="K377" t="str">
            <v>Flight One Way</v>
          </cell>
          <cell r="L377" t="str">
            <v>25-08-2025 13:17:38</v>
          </cell>
          <cell r="M377" t="str">
            <v>Garuda Indonesia  KDI Haluoleo GA-605 - Garuda Indonesia Domestic UPG Hasanuddin GA-605</v>
          </cell>
          <cell r="N377" t="str">
            <v>OF REN PNGUSHAN DAN KIN</v>
          </cell>
          <cell r="O377">
            <v>7412111</v>
          </cell>
          <cell r="P377" t="str">
            <v>26/08/2025 09:10:00 - 26/08/2025 10:10:00</v>
          </cell>
          <cell r="Q377">
            <v>972800</v>
          </cell>
        </row>
        <row r="378">
          <cell r="A378">
            <v>1278958455</v>
          </cell>
          <cell r="B378" t="str">
            <v>8710452Z</v>
          </cell>
          <cell r="C378" t="str">
            <v>SRI RESKY MUCHTAR</v>
          </cell>
          <cell r="D378">
            <v>87104500</v>
          </cell>
          <cell r="E378">
            <v>4120177388</v>
          </cell>
          <cell r="F378">
            <v>54</v>
          </cell>
          <cell r="G378" t="str">
            <v>Perjalanan Dinas Non-Diklat</v>
          </cell>
          <cell r="H378" t="str">
            <v>Kota Makassar - Kota Kendari</v>
          </cell>
          <cell r="I378" t="str">
            <v>24/08/2025 - 26/08/2025</v>
          </cell>
          <cell r="J378">
            <v>3</v>
          </cell>
          <cell r="K378" t="str">
            <v>Flight One Way</v>
          </cell>
          <cell r="L378" t="str">
            <v>22-08-2025 17:49:43</v>
          </cell>
          <cell r="M378" t="str">
            <v>Batik Air Domestic UPG Hasanuddin ID-6751 - Batik Air  KDI Haluoleo ID-6751</v>
          </cell>
          <cell r="N378" t="str">
            <v>OF REN PNGUSHAN DAN KIN</v>
          </cell>
          <cell r="O378">
            <v>7412111</v>
          </cell>
          <cell r="P378" t="str">
            <v>24/08/2025 08:30:00 - 24/08/2025 09:35:00</v>
          </cell>
          <cell r="Q378">
            <v>905300</v>
          </cell>
        </row>
        <row r="379">
          <cell r="A379">
            <v>1279186139</v>
          </cell>
          <cell r="B379" t="str">
            <v>9110014F</v>
          </cell>
          <cell r="C379" t="str">
            <v>RESJAN MANAYA SAMBARA</v>
          </cell>
          <cell r="D379">
            <v>91107603</v>
          </cell>
          <cell r="E379">
            <v>4120177362</v>
          </cell>
          <cell r="F379">
            <v>54</v>
          </cell>
          <cell r="G379" t="str">
            <v>Perjalanan Dinas Non-Diklat</v>
          </cell>
          <cell r="H379" t="str">
            <v>Jakarta Selatan - Jakarta Selatan</v>
          </cell>
          <cell r="I379" t="str">
            <v>24/08/2025 - 27/08/2025</v>
          </cell>
          <cell r="J379">
            <v>4</v>
          </cell>
          <cell r="K379" t="str">
            <v>Hotel</v>
          </cell>
          <cell r="L379" t="str">
            <v>23-08-2025 17:03:59</v>
          </cell>
          <cell r="M379" t="str">
            <v xml:space="preserve">MaxOneHotels Premier Melawai - 3.0 Stars  - </v>
          </cell>
          <cell r="N379" t="str">
            <v>TL K3L DAN KAM</v>
          </cell>
          <cell r="O379">
            <v>74092801</v>
          </cell>
          <cell r="P379" t="str">
            <v>24/08/2025 14:00:00 - 27/08/2025 12:00:00</v>
          </cell>
          <cell r="Q379">
            <v>2340000</v>
          </cell>
        </row>
        <row r="380">
          <cell r="A380">
            <v>1279783288</v>
          </cell>
          <cell r="B380" t="str">
            <v>9110014F</v>
          </cell>
          <cell r="C380" t="str">
            <v>RESJAN MANAYA SAMBARA</v>
          </cell>
          <cell r="D380">
            <v>91107603</v>
          </cell>
          <cell r="E380">
            <v>4120177362</v>
          </cell>
          <cell r="F380">
            <v>54</v>
          </cell>
          <cell r="G380" t="str">
            <v>Perjalanan Dinas Non-Diklat</v>
          </cell>
          <cell r="H380" t="str">
            <v>Jakarta Selatan - Jakarta Selatan</v>
          </cell>
          <cell r="I380" t="str">
            <v>24/08/2025 - 27/08/2025</v>
          </cell>
          <cell r="J380">
            <v>4</v>
          </cell>
          <cell r="K380" t="str">
            <v>Flight One Way</v>
          </cell>
          <cell r="L380" t="str">
            <v>26-08-2025 11:12:47</v>
          </cell>
          <cell r="M380" t="str">
            <v>Batik Air 2D CGK Soekarno Hatta International Airport ID-6266 - Batik Air Domestic UPG Hasanuddin ID-6266</v>
          </cell>
          <cell r="N380" t="str">
            <v>TL K3L DAN KAM</v>
          </cell>
          <cell r="O380">
            <v>74092801</v>
          </cell>
          <cell r="P380" t="str">
            <v>27/08/2025 14:30:00 - 27/08/2025 17:50:00</v>
          </cell>
          <cell r="Q380">
            <v>1852100</v>
          </cell>
        </row>
        <row r="381">
          <cell r="A381">
            <v>1279084822</v>
          </cell>
          <cell r="B381" t="str">
            <v>9110014F</v>
          </cell>
          <cell r="C381" t="str">
            <v>RESJAN MANAYA SAMBARA</v>
          </cell>
          <cell r="D381">
            <v>91107603</v>
          </cell>
          <cell r="E381">
            <v>4120177362</v>
          </cell>
          <cell r="F381">
            <v>54</v>
          </cell>
          <cell r="G381" t="str">
            <v>Perjalanan Dinas Non-Diklat</v>
          </cell>
          <cell r="H381" t="str">
            <v>Jakarta Selatan - Jakarta Selatan</v>
          </cell>
          <cell r="I381" t="str">
            <v>24/08/2025 - 27/08/2025</v>
          </cell>
          <cell r="J381">
            <v>4</v>
          </cell>
          <cell r="K381" t="str">
            <v>Flight One Way</v>
          </cell>
          <cell r="L381" t="str">
            <v>23-08-2025 09:29:50</v>
          </cell>
          <cell r="M381" t="str">
            <v>Garuda Indonesia Domestic UPG Hasanuddin GA-641 - Garuda Indonesia  CGK Soekarno Hatta International Airport GA-641</v>
          </cell>
          <cell r="N381" t="str">
            <v>TL K3L DAN KAM</v>
          </cell>
          <cell r="O381">
            <v>74092801</v>
          </cell>
          <cell r="P381" t="str">
            <v>24/08/2025 12:15:00 - 24/08/2025 13:40:00</v>
          </cell>
          <cell r="Q381">
            <v>1553800</v>
          </cell>
        </row>
        <row r="382">
          <cell r="A382">
            <v>1278973187</v>
          </cell>
          <cell r="B382" t="str">
            <v>96191272ZY</v>
          </cell>
          <cell r="C382" t="str">
            <v>AHMAD FATHAN MAARIF</v>
          </cell>
          <cell r="D382">
            <v>96197614</v>
          </cell>
          <cell r="E382">
            <v>4120177384</v>
          </cell>
          <cell r="F382">
            <v>54</v>
          </cell>
          <cell r="G382" t="str">
            <v>Perjalanan Dinas Non-Diklat</v>
          </cell>
          <cell r="H382" t="str">
            <v>Kota Kendari - Kota Baubau</v>
          </cell>
          <cell r="I382" t="str">
            <v>22/08/2025 - 25/08/2025</v>
          </cell>
          <cell r="J382">
            <v>4</v>
          </cell>
          <cell r="K382" t="str">
            <v>Hotel</v>
          </cell>
          <cell r="L382" t="str">
            <v>22-08-2025 18:51:37</v>
          </cell>
          <cell r="M382" t="str">
            <v>Zenith Premiere Hotel Baubau - 3.0 Stars  - Superior Twin</v>
          </cell>
          <cell r="N382" t="str">
            <v>TL SCADA DAN TEL (KEN)</v>
          </cell>
          <cell r="O382">
            <v>7408341</v>
          </cell>
          <cell r="P382" t="str">
            <v>22/08/2025 14:00:00 - 24/08/2025 12:00:00</v>
          </cell>
          <cell r="Q382">
            <v>1683803</v>
          </cell>
        </row>
        <row r="383">
          <cell r="A383">
            <v>1279114802</v>
          </cell>
          <cell r="B383" t="str">
            <v>7190010F</v>
          </cell>
          <cell r="C383" t="str">
            <v>HUSLAN HUSAIN</v>
          </cell>
          <cell r="D383">
            <v>71907601</v>
          </cell>
          <cell r="E383">
            <v>4120177383</v>
          </cell>
          <cell r="F383">
            <v>54</v>
          </cell>
          <cell r="G383" t="str">
            <v>Perjalanan Dinas Non-Diklat</v>
          </cell>
          <cell r="H383" t="str">
            <v>Kota Makassar - Kota Kendari</v>
          </cell>
          <cell r="I383" t="str">
            <v>24/08/2025 - 26/08/2025</v>
          </cell>
          <cell r="J383">
            <v>3</v>
          </cell>
          <cell r="K383" t="str">
            <v>Flight Round-Trip</v>
          </cell>
          <cell r="L383" t="str">
            <v>23-08-2025 11:42:40</v>
          </cell>
          <cell r="M383" t="str">
            <v>Garuda Indonesia Domestic UPG Hasanuddin GA-604 - Garuda Indonesia  KDI Haluoleo GA-604</v>
          </cell>
          <cell r="N383" t="str">
            <v>SM REN</v>
          </cell>
          <cell r="O383">
            <v>7412110</v>
          </cell>
          <cell r="P383" t="str">
            <v>24/08/2025 07:25:00 - 24/08/2025 08:25:00</v>
          </cell>
          <cell r="Q383">
            <v>1947900</v>
          </cell>
        </row>
        <row r="384">
          <cell r="A384">
            <v>1279470664</v>
          </cell>
          <cell r="B384" t="str">
            <v>90112388Z</v>
          </cell>
          <cell r="C384" t="str">
            <v>HENDRICA WINNY RURUK</v>
          </cell>
          <cell r="D384">
            <v>90117612</v>
          </cell>
          <cell r="E384">
            <v>4120177375</v>
          </cell>
          <cell r="F384">
            <v>54</v>
          </cell>
          <cell r="G384" t="str">
            <v>Perjalanan Dinas Non-Diklat</v>
          </cell>
          <cell r="H384" t="str">
            <v>Kota Makassar - Kota Bogor</v>
          </cell>
          <cell r="I384" t="str">
            <v>26/08/2025 - 29/08/2025</v>
          </cell>
          <cell r="J384">
            <v>4</v>
          </cell>
          <cell r="K384" t="str">
            <v>Flight One Way</v>
          </cell>
          <cell r="L384" t="str">
            <v>25-08-2025 04:34:18</v>
          </cell>
          <cell r="M384" t="str">
            <v>Batik Air Domestic UPG Hasanuddin ID-6143 - Batik Air 2D CGK Soekarno Hatta International Airport ID-6143</v>
          </cell>
          <cell r="N384" t="str">
            <v>OF LOLA KIT</v>
          </cell>
          <cell r="O384">
            <v>7412000</v>
          </cell>
          <cell r="P384" t="str">
            <v>26/08/2025 16:45:00 - 26/08/2025 18:05:00</v>
          </cell>
          <cell r="Q384">
            <v>1343700</v>
          </cell>
        </row>
        <row r="385">
          <cell r="A385">
            <v>1279474522</v>
          </cell>
          <cell r="B385" t="str">
            <v>90112388Z</v>
          </cell>
          <cell r="C385" t="str">
            <v>HENDRICA WINNY RURUK</v>
          </cell>
          <cell r="D385">
            <v>90117612</v>
          </cell>
          <cell r="E385">
            <v>4120177375</v>
          </cell>
          <cell r="F385">
            <v>54</v>
          </cell>
          <cell r="G385" t="str">
            <v>Perjalanan Dinas Non-Diklat</v>
          </cell>
          <cell r="H385" t="str">
            <v>Kota Makassar - Kota Bogor</v>
          </cell>
          <cell r="I385" t="str">
            <v>26/08/2025 - 29/08/2025</v>
          </cell>
          <cell r="J385">
            <v>4</v>
          </cell>
          <cell r="K385" t="str">
            <v>Hotel</v>
          </cell>
          <cell r="L385" t="str">
            <v>25-08-2025 06:03:09</v>
          </cell>
          <cell r="M385" t="str">
            <v xml:space="preserve">ibis Styles Bogor Pajajaran - 3.0 Stars  - </v>
          </cell>
          <cell r="N385" t="str">
            <v>OF LOLA KIT</v>
          </cell>
          <cell r="O385">
            <v>7412000</v>
          </cell>
          <cell r="P385" t="str">
            <v>26/08/2025 14:00:00 - 28/08/2025 12:00:00</v>
          </cell>
          <cell r="Q385">
            <v>1498999</v>
          </cell>
        </row>
        <row r="386">
          <cell r="A386">
            <v>1279471612</v>
          </cell>
          <cell r="B386" t="str">
            <v>90112388Z</v>
          </cell>
          <cell r="C386" t="str">
            <v>HENDRICA WINNY RURUK</v>
          </cell>
          <cell r="D386">
            <v>90117612</v>
          </cell>
          <cell r="E386">
            <v>4120177375</v>
          </cell>
          <cell r="F386">
            <v>54</v>
          </cell>
          <cell r="G386" t="str">
            <v>Perjalanan Dinas Non-Diklat</v>
          </cell>
          <cell r="H386" t="str">
            <v>Kota Makassar - Kota Bogor</v>
          </cell>
          <cell r="I386" t="str">
            <v>26/08/2025 - 29/08/2025</v>
          </cell>
          <cell r="J386">
            <v>4</v>
          </cell>
          <cell r="K386" t="str">
            <v>Flight One Way</v>
          </cell>
          <cell r="L386" t="str">
            <v>25-08-2025 05:04:32</v>
          </cell>
          <cell r="M386" t="str">
            <v>Garuda Indonesia  CGK Soekarno Hatta International Airport GA-618 - Garuda Indonesia Domestic UPG Hasanuddin GA-618</v>
          </cell>
          <cell r="N386" t="str">
            <v>OF LOLA KIT</v>
          </cell>
          <cell r="O386">
            <v>7412000</v>
          </cell>
          <cell r="P386" t="str">
            <v>28/08/2025 20:15:00 - 28/08/2025 23:50:00</v>
          </cell>
          <cell r="Q386">
            <v>1619800</v>
          </cell>
        </row>
        <row r="387">
          <cell r="A387">
            <v>1279746426</v>
          </cell>
          <cell r="B387" t="str">
            <v>7594035F</v>
          </cell>
          <cell r="C387" t="str">
            <v>AGUS SALIM</v>
          </cell>
          <cell r="D387">
            <v>75947601</v>
          </cell>
          <cell r="E387">
            <v>4120177367</v>
          </cell>
          <cell r="F387">
            <v>54</v>
          </cell>
          <cell r="G387" t="str">
            <v>Perjalanan Dinas Non-Diklat</v>
          </cell>
          <cell r="H387" t="str">
            <v>Kota Makassar - Jakarta Selatan</v>
          </cell>
          <cell r="I387" t="str">
            <v>01/09/2025 - 04/09/2025</v>
          </cell>
          <cell r="J387">
            <v>4</v>
          </cell>
          <cell r="K387" t="str">
            <v>Flight Round-Trip</v>
          </cell>
          <cell r="L387" t="str">
            <v>26-08-2025 08:40:40</v>
          </cell>
          <cell r="M387" t="str">
            <v>Garuda Indonesia Domestic UPG Hasanuddin GA-611 - Garuda Indonesia  CGK Soekarno Hatta International Airport GA-611</v>
          </cell>
          <cell r="N387" t="str">
            <v>ASMAN K3 DAN KAM</v>
          </cell>
          <cell r="O387">
            <v>7412000</v>
          </cell>
          <cell r="P387" t="str">
            <v>01/09/2025 11:20:00 - 01/09/2025 12:45:00</v>
          </cell>
          <cell r="Q387">
            <v>3379200</v>
          </cell>
        </row>
        <row r="388">
          <cell r="A388">
            <v>1278695371</v>
          </cell>
          <cell r="B388" t="str">
            <v>7394038F</v>
          </cell>
          <cell r="C388" t="str">
            <v>SARLINA M.KILYKILY</v>
          </cell>
          <cell r="D388">
            <v>73947604</v>
          </cell>
          <cell r="E388">
            <v>4120177374</v>
          </cell>
          <cell r="F388">
            <v>54</v>
          </cell>
          <cell r="G388" t="str">
            <v>Perjalanan Dinas Non-Diklat</v>
          </cell>
          <cell r="H388" t="str">
            <v>Kota Makassar - Kota Makassar</v>
          </cell>
          <cell r="I388" t="str">
            <v>21/08/2025 - 23/08/2025</v>
          </cell>
          <cell r="J388">
            <v>3</v>
          </cell>
          <cell r="K388" t="str">
            <v>Flight One Way</v>
          </cell>
          <cell r="L388" t="str">
            <v>21-08-2025 16:54:19</v>
          </cell>
          <cell r="M388" t="str">
            <v>Lion Air Domestic UPG Hasanuddin JT-992 - Lion Air  KDI Haluoleo JT-992</v>
          </cell>
          <cell r="N388" t="str">
            <v>ASMAN AGA DAN SAR</v>
          </cell>
          <cell r="O388">
            <v>7412243</v>
          </cell>
          <cell r="P388" t="str">
            <v>23/08/2025 12:45:00 - 23/08/2025 13:50:00</v>
          </cell>
          <cell r="Q388">
            <v>858500</v>
          </cell>
        </row>
        <row r="389">
          <cell r="A389">
            <v>1278770124</v>
          </cell>
          <cell r="B389" t="str">
            <v>7394038F</v>
          </cell>
          <cell r="C389" t="str">
            <v>SARLINA M.KILYKILY</v>
          </cell>
          <cell r="D389">
            <v>73947604</v>
          </cell>
          <cell r="E389">
            <v>4120177374</v>
          </cell>
          <cell r="F389">
            <v>54</v>
          </cell>
          <cell r="G389" t="str">
            <v>Perjalanan Dinas Non-Diklat</v>
          </cell>
          <cell r="H389" t="str">
            <v>Kota Makassar - Kota Makassar</v>
          </cell>
          <cell r="I389" t="str">
            <v>21/08/2025 - 23/08/2025</v>
          </cell>
          <cell r="J389">
            <v>3</v>
          </cell>
          <cell r="K389" t="str">
            <v>Flight One Way</v>
          </cell>
          <cell r="L389" t="str">
            <v>21-08-2025 22:10:24</v>
          </cell>
          <cell r="M389" t="str">
            <v>Lion Air Domestic UPG Hasanuddin JT-992 - Lion Air  KDI Haluoleo JT-992</v>
          </cell>
          <cell r="N389" t="str">
            <v>ASMAN AGA DAN SAR</v>
          </cell>
          <cell r="O389">
            <v>7412243</v>
          </cell>
          <cell r="P389" t="str">
            <v>23/08/2025 12:45:00 - 23/08/2025 13:50:00</v>
          </cell>
          <cell r="Q389">
            <v>858500</v>
          </cell>
        </row>
        <row r="390">
          <cell r="A390">
            <v>1278694261</v>
          </cell>
          <cell r="B390" t="str">
            <v>9116431ZY</v>
          </cell>
          <cell r="C390" t="str">
            <v>M. ISSAM CHALIBI</v>
          </cell>
          <cell r="D390">
            <v>91167604</v>
          </cell>
          <cell r="E390">
            <v>4120177346</v>
          </cell>
          <cell r="F390">
            <v>54</v>
          </cell>
          <cell r="G390" t="str">
            <v>Perjalanan Dinas Non-Diklat</v>
          </cell>
          <cell r="H390" t="str">
            <v>Kota Kendari - Kota Makassar</v>
          </cell>
          <cell r="I390" t="str">
            <v>21/08/2025 - 23/08/2025</v>
          </cell>
          <cell r="J390">
            <v>3</v>
          </cell>
          <cell r="K390" t="str">
            <v>Flight One Way</v>
          </cell>
          <cell r="L390" t="str">
            <v>21-08-2025 16:49:32</v>
          </cell>
          <cell r="M390" t="str">
            <v>Lion Air Domestic UPG Hasanuddin JT-992 - Lion Air  KDI Haluoleo JT-992</v>
          </cell>
          <cell r="N390" t="str">
            <v>TL SALES RET</v>
          </cell>
          <cell r="O390">
            <v>7412243</v>
          </cell>
          <cell r="P390" t="str">
            <v>23/08/2025 12:45:00 - 23/08/2025 13:50:00</v>
          </cell>
          <cell r="Q390">
            <v>902800</v>
          </cell>
        </row>
        <row r="391">
          <cell r="A391">
            <v>1278874170</v>
          </cell>
          <cell r="B391" t="str">
            <v>9116431ZY</v>
          </cell>
          <cell r="C391" t="str">
            <v>M. ISSAM CHALIBI</v>
          </cell>
          <cell r="D391">
            <v>91167604</v>
          </cell>
          <cell r="E391">
            <v>4120177346</v>
          </cell>
          <cell r="F391">
            <v>54</v>
          </cell>
          <cell r="G391" t="str">
            <v>Perjalanan Dinas Non-Diklat</v>
          </cell>
          <cell r="H391" t="str">
            <v>Kota Kendari - Kota Makassar</v>
          </cell>
          <cell r="I391" t="str">
            <v>21/08/2025 - 23/08/2025</v>
          </cell>
          <cell r="J391">
            <v>3</v>
          </cell>
          <cell r="K391" t="str">
            <v>Flight One Way</v>
          </cell>
          <cell r="L391" t="str">
            <v>22-08-2025 12:13:41</v>
          </cell>
          <cell r="M391" t="str">
            <v>Lion Air Domestic UPG Hasanuddin JT-992 - Lion Air  KDI Haluoleo JT-992</v>
          </cell>
          <cell r="N391" t="str">
            <v>TL SALES RET</v>
          </cell>
          <cell r="O391">
            <v>7412243</v>
          </cell>
          <cell r="P391" t="str">
            <v>23/08/2025 12:45:00 - 23/08/2025 13:50:00</v>
          </cell>
          <cell r="Q391">
            <v>946200</v>
          </cell>
        </row>
        <row r="392">
          <cell r="A392">
            <v>1278664962</v>
          </cell>
          <cell r="B392" t="str">
            <v>94161766ZY</v>
          </cell>
          <cell r="C392" t="str">
            <v>ARIF INDRA WIBOWO</v>
          </cell>
          <cell r="D392">
            <v>94167614</v>
          </cell>
          <cell r="E392">
            <v>4120177358</v>
          </cell>
          <cell r="F392">
            <v>54</v>
          </cell>
          <cell r="G392" t="str">
            <v>Perjalanan Dinas Non-Diklat</v>
          </cell>
          <cell r="H392" t="str">
            <v>Kota Makassar - Kota Makassar</v>
          </cell>
          <cell r="I392" t="str">
            <v>22/08/2025 - 23/08/2025</v>
          </cell>
          <cell r="J392">
            <v>2</v>
          </cell>
          <cell r="K392" t="str">
            <v>Hotel</v>
          </cell>
          <cell r="L392" t="str">
            <v>21-08-2025 14:49:22</v>
          </cell>
          <cell r="M392" t="str">
            <v xml:space="preserve">Aston Makassar Hotel &amp; Convention Center - 4.0 Stars  - </v>
          </cell>
          <cell r="N392" t="str">
            <v>TL SALES RET</v>
          </cell>
          <cell r="O392">
            <v>7412223</v>
          </cell>
          <cell r="P392" t="str">
            <v>22/08/2025 14:00:00 - 23/08/2025 12:00:00</v>
          </cell>
          <cell r="Q392">
            <v>815530</v>
          </cell>
        </row>
        <row r="393">
          <cell r="A393">
            <v>1278624202</v>
          </cell>
          <cell r="B393" t="str">
            <v>8609343Z</v>
          </cell>
          <cell r="C393" t="str">
            <v>ANDI SORAYA TENRI BAU</v>
          </cell>
          <cell r="D393">
            <v>86098669</v>
          </cell>
          <cell r="E393">
            <v>4120177327</v>
          </cell>
          <cell r="F393">
            <v>54</v>
          </cell>
          <cell r="G393" t="str">
            <v>Perjalanan Dinas Non-Diklat</v>
          </cell>
          <cell r="H393" t="str">
            <v>Kota Parepare - Kota Makassar</v>
          </cell>
          <cell r="I393" t="str">
            <v>22/08/2025 - 23/08/2025</v>
          </cell>
          <cell r="J393">
            <v>2</v>
          </cell>
          <cell r="K393" t="str">
            <v>Hotel</v>
          </cell>
          <cell r="L393" t="str">
            <v>21-08-2025 12:06:00</v>
          </cell>
          <cell r="M393" t="str">
            <v xml:space="preserve">Swiss-Belhotel Makassar - 4.0 Stars  - </v>
          </cell>
          <cell r="N393" t="str">
            <v>ASMAN NPS</v>
          </cell>
          <cell r="O393">
            <v>7412223</v>
          </cell>
          <cell r="P393" t="str">
            <v>22/08/2025 14:00:00 - 23/08/2025 12:00:00</v>
          </cell>
          <cell r="Q393">
            <v>965000</v>
          </cell>
        </row>
        <row r="394">
          <cell r="A394">
            <v>1278694632</v>
          </cell>
          <cell r="B394" t="str">
            <v>9313041FY</v>
          </cell>
          <cell r="C394" t="str">
            <v>JEFRI ARDIANSYAH</v>
          </cell>
          <cell r="D394">
            <v>93137624</v>
          </cell>
          <cell r="E394">
            <v>4120177345</v>
          </cell>
          <cell r="F394">
            <v>54</v>
          </cell>
          <cell r="G394" t="str">
            <v>Perjalanan Dinas Non-Diklat</v>
          </cell>
          <cell r="H394" t="str">
            <v>Kab. Kolaka Utara - Kota Makassar</v>
          </cell>
          <cell r="I394" t="str">
            <v>21/08/2025 - 23/08/2025</v>
          </cell>
          <cell r="J394">
            <v>3</v>
          </cell>
          <cell r="K394" t="str">
            <v>Flight One Way</v>
          </cell>
          <cell r="L394" t="str">
            <v>21-08-2025 16:51:22</v>
          </cell>
          <cell r="M394" t="str">
            <v>Lion Air Domestic UPG Hasanuddin JT-992 - Lion Air  KDI Haluoleo JT-992</v>
          </cell>
          <cell r="N394" t="str">
            <v>TL YAN GAN</v>
          </cell>
          <cell r="O394">
            <v>7409627</v>
          </cell>
          <cell r="P394" t="str">
            <v>23/08/2025 12:45:00 - 23/08/2025 13:50:00</v>
          </cell>
          <cell r="Q394">
            <v>902800</v>
          </cell>
        </row>
        <row r="395">
          <cell r="A395">
            <v>1278489341</v>
          </cell>
          <cell r="B395" t="str">
            <v>96191897ZY</v>
          </cell>
          <cell r="C395" t="str">
            <v>MYANA RINO ANDHANA</v>
          </cell>
          <cell r="D395">
            <v>96197633</v>
          </cell>
          <cell r="E395">
            <v>4120177334</v>
          </cell>
          <cell r="F395">
            <v>54</v>
          </cell>
          <cell r="G395" t="str">
            <v>Perjalanan Dinas Non-Diklat</v>
          </cell>
          <cell r="H395" t="str">
            <v>Kab. Bone - Kota Makassar</v>
          </cell>
          <cell r="I395" t="str">
            <v>21/08/2025 - 22/08/2025</v>
          </cell>
          <cell r="J395">
            <v>2</v>
          </cell>
          <cell r="K395" t="str">
            <v>Hotel</v>
          </cell>
          <cell r="L395" t="str">
            <v>20-08-2025 19:49:07</v>
          </cell>
          <cell r="M395" t="str">
            <v xml:space="preserve">Mercure Makassar Nexa Pettarani - 4.0 Stars  - </v>
          </cell>
          <cell r="N395" t="str">
            <v>OF AGA DAN SAR</v>
          </cell>
          <cell r="O395">
            <v>7412233</v>
          </cell>
          <cell r="P395" t="str">
            <v>21/08/2025 14:00:00 - 22/08/2025 12:00:00</v>
          </cell>
          <cell r="Q395">
            <v>723580</v>
          </cell>
        </row>
        <row r="396">
          <cell r="A396">
            <v>1278499417</v>
          </cell>
          <cell r="B396" t="str">
            <v>95191885ZY</v>
          </cell>
          <cell r="C396" t="str">
            <v>FIRDA HUWAIDA ULFAH</v>
          </cell>
          <cell r="D396">
            <v>95197618</v>
          </cell>
          <cell r="E396">
            <v>4120177330</v>
          </cell>
          <cell r="F396">
            <v>54</v>
          </cell>
          <cell r="G396" t="str">
            <v>Perjalanan Dinas Non-Diklat</v>
          </cell>
          <cell r="H396" t="str">
            <v>Kab. Bone - Kota Makassar</v>
          </cell>
          <cell r="I396" t="str">
            <v>21/08/2025 - 22/08/2025</v>
          </cell>
          <cell r="J396">
            <v>2</v>
          </cell>
          <cell r="K396" t="str">
            <v>Hotel</v>
          </cell>
          <cell r="L396" t="str">
            <v>20-08-2025 20:31:44</v>
          </cell>
          <cell r="M396" t="str">
            <v xml:space="preserve">Mercure Makassar Nexa Pettarani - 4.0 Stars  - </v>
          </cell>
          <cell r="N396" t="str">
            <v>OF KIN KEU DAN MUM</v>
          </cell>
          <cell r="O396">
            <v>7412230</v>
          </cell>
          <cell r="P396" t="str">
            <v>21/08/2025 14:00:00 - 22/08/2025 12:00:00</v>
          </cell>
          <cell r="Q396">
            <v>723580</v>
          </cell>
        </row>
        <row r="397">
          <cell r="A397">
            <v>1278694488</v>
          </cell>
          <cell r="B397" t="str">
            <v>9313002FY</v>
          </cell>
          <cell r="C397" t="str">
            <v xml:space="preserve">MASRUDI </v>
          </cell>
          <cell r="D397">
            <v>93137623</v>
          </cell>
          <cell r="E397">
            <v>4120177332</v>
          </cell>
          <cell r="F397">
            <v>54</v>
          </cell>
          <cell r="G397" t="str">
            <v>Perjalanan Dinas Non-Diklat</v>
          </cell>
          <cell r="H397" t="str">
            <v>Kota Kendari - Kota Makassar</v>
          </cell>
          <cell r="I397" t="str">
            <v>21/08/2025 - 23/08/2025</v>
          </cell>
          <cell r="J397">
            <v>3</v>
          </cell>
          <cell r="K397" t="str">
            <v>Flight One Way</v>
          </cell>
          <cell r="L397" t="str">
            <v>21-08-2025 16:50:22</v>
          </cell>
          <cell r="M397" t="str">
            <v>Lion Air Domestic UPG Hasanuddin JT-992 - Lion Air  KDI Haluoleo JT-992</v>
          </cell>
          <cell r="N397" t="str">
            <v>TL YAN GAN</v>
          </cell>
          <cell r="O397">
            <v>7409624</v>
          </cell>
          <cell r="P397" t="str">
            <v>23/08/2025 12:45:00 - 23/08/2025 13:50:00</v>
          </cell>
          <cell r="Q397">
            <v>858500</v>
          </cell>
        </row>
        <row r="398">
          <cell r="A398">
            <v>1278461806</v>
          </cell>
          <cell r="B398" t="str">
            <v>9313002FY</v>
          </cell>
          <cell r="C398" t="str">
            <v xml:space="preserve">MASRUDI </v>
          </cell>
          <cell r="D398">
            <v>93137623</v>
          </cell>
          <cell r="E398">
            <v>4120177332</v>
          </cell>
          <cell r="F398">
            <v>54</v>
          </cell>
          <cell r="G398" t="str">
            <v>Perjalanan Dinas Non-Diklat</v>
          </cell>
          <cell r="H398" t="str">
            <v>Kota Kendari - Kota Makassar</v>
          </cell>
          <cell r="I398" t="str">
            <v>21/08/2025 - 23/08/2025</v>
          </cell>
          <cell r="J398">
            <v>3</v>
          </cell>
          <cell r="K398" t="str">
            <v>Flight One Way</v>
          </cell>
          <cell r="L398" t="str">
            <v>20-08-2025 17:50:26</v>
          </cell>
          <cell r="M398" t="str">
            <v>Lion Air  KDI Haluoleo JT-997 - Lion Air Domestic UPG Hasanuddin JT-997</v>
          </cell>
          <cell r="N398" t="str">
            <v>TL YAN GAN</v>
          </cell>
          <cell r="O398">
            <v>7409624</v>
          </cell>
          <cell r="P398" t="str">
            <v>21/08/2025 15:35:00 - 21/08/2025 16:30:00</v>
          </cell>
          <cell r="Q398">
            <v>810600</v>
          </cell>
        </row>
        <row r="399">
          <cell r="A399">
            <v>1278525015</v>
          </cell>
          <cell r="B399" t="str">
            <v>8710673Z</v>
          </cell>
          <cell r="C399" t="str">
            <v>ERWIN LERI</v>
          </cell>
          <cell r="D399">
            <v>87102007</v>
          </cell>
          <cell r="E399">
            <v>4120177351</v>
          </cell>
          <cell r="F399">
            <v>54</v>
          </cell>
          <cell r="G399" t="str">
            <v>Perjalanan Dinas Diklat</v>
          </cell>
          <cell r="H399" t="str">
            <v>Kota Makassar - Jakarta Selatan</v>
          </cell>
          <cell r="I399" t="str">
            <v>21/08/2025 - 22/08/2025</v>
          </cell>
          <cell r="J399">
            <v>2</v>
          </cell>
          <cell r="K399" t="str">
            <v>Flight One Way</v>
          </cell>
          <cell r="L399" t="str">
            <v>20-08-2025 22:24:33</v>
          </cell>
          <cell r="M399" t="str">
            <v>Pelita Air  UPG Hasanuddin IP-809 - Pelita Air 3 CGK Soekarno Hatta International Airport IP-809</v>
          </cell>
          <cell r="N399" t="str">
            <v>OF REN SIS KELIST</v>
          </cell>
          <cell r="O399">
            <v>7412112</v>
          </cell>
          <cell r="P399" t="str">
            <v>21/08/2025 15:30:00 - 21/08/2025 16:55:00</v>
          </cell>
          <cell r="Q399">
            <v>1285500</v>
          </cell>
        </row>
        <row r="400">
          <cell r="A400">
            <v>1278716512</v>
          </cell>
          <cell r="B400" t="str">
            <v>8710673Z</v>
          </cell>
          <cell r="C400" t="str">
            <v>ERWIN LERI</v>
          </cell>
          <cell r="D400">
            <v>87102007</v>
          </cell>
          <cell r="E400">
            <v>4120177351</v>
          </cell>
          <cell r="F400">
            <v>54</v>
          </cell>
          <cell r="G400" t="str">
            <v>Perjalanan Dinas Diklat</v>
          </cell>
          <cell r="H400" t="str">
            <v>KotaMakassar-JakartaSelatan</v>
          </cell>
          <cell r="I400" t="str">
            <v>21/08/2025 - 22/08/2025</v>
          </cell>
          <cell r="J400">
            <v>2</v>
          </cell>
          <cell r="K400" t="str">
            <v>Hotel</v>
          </cell>
          <cell r="L400" t="str">
            <v>21-08-2025 18:25:47</v>
          </cell>
          <cell r="M400" t="str">
            <v xml:space="preserve">Hotel Dharmein - 3.0 Stars  - </v>
          </cell>
          <cell r="N400" t="str">
            <v>OF REN SIS KELIST</v>
          </cell>
          <cell r="O400">
            <v>7412112</v>
          </cell>
          <cell r="P400" t="str">
            <v>21/08/2025 14:00:00 - 22/08/2025 12:00:00</v>
          </cell>
          <cell r="Q400">
            <v>637700</v>
          </cell>
        </row>
        <row r="401">
          <cell r="A401">
            <v>1278789956</v>
          </cell>
          <cell r="B401" t="str">
            <v>8710673Z</v>
          </cell>
          <cell r="C401" t="str">
            <v>ERWIN LERI</v>
          </cell>
          <cell r="D401">
            <v>87102007</v>
          </cell>
          <cell r="E401">
            <v>4120177351</v>
          </cell>
          <cell r="F401">
            <v>54</v>
          </cell>
          <cell r="G401" t="str">
            <v>Perjalanan Dinas Diklat</v>
          </cell>
          <cell r="H401" t="str">
            <v>KotaMakassar-JakartaSelatan</v>
          </cell>
          <cell r="I401" t="str">
            <v>21/08/2025 - 22/08/2025</v>
          </cell>
          <cell r="J401">
            <v>2</v>
          </cell>
          <cell r="K401" t="str">
            <v>Flight One Way</v>
          </cell>
          <cell r="L401" t="str">
            <v>22-08-2025 00:32:47</v>
          </cell>
          <cell r="M401" t="str">
            <v>Batik Air 2D CGK Soekarno Hatta International Airport ID-6182 - Batik Air Domestic UPG Hasanuddin ID-6182</v>
          </cell>
          <cell r="N401" t="str">
            <v>OF REN SIS KELIST</v>
          </cell>
          <cell r="O401">
            <v>7412112</v>
          </cell>
          <cell r="P401" t="str">
            <v>22/08/2025 23:00:00 - 23/08/2025 02:20:00</v>
          </cell>
          <cell r="Q401">
            <v>1039600</v>
          </cell>
        </row>
        <row r="402">
          <cell r="A402">
            <v>1278426239</v>
          </cell>
          <cell r="B402" t="str">
            <v>7905002N</v>
          </cell>
          <cell r="C402" t="str">
            <v>RULI RIZALUDDIN</v>
          </cell>
          <cell r="D402">
            <v>79055400</v>
          </cell>
          <cell r="E402">
            <v>4120177348</v>
          </cell>
          <cell r="F402">
            <v>54</v>
          </cell>
          <cell r="G402" t="str">
            <v>Perjalanan Dinas Non-Diklat</v>
          </cell>
          <cell r="H402" t="str">
            <v>Jakarta Pusat - Jakarta Pusat</v>
          </cell>
          <cell r="I402" t="str">
            <v>21/08/2025 - 23/08/2025</v>
          </cell>
          <cell r="J402">
            <v>3</v>
          </cell>
          <cell r="K402" t="str">
            <v>Flight One Way</v>
          </cell>
          <cell r="L402" t="str">
            <v>20-08-2025 15:19:41</v>
          </cell>
          <cell r="M402" t="str">
            <v>Garuda Indonesia Domestic UPG Hasanuddin GA-641 - Garuda Indonesia  CGK Soekarno Hatta International Airport GA-641</v>
          </cell>
          <cell r="N402" t="str">
            <v>MUP UP2K (PROV SULSEL)</v>
          </cell>
          <cell r="O402">
            <v>7412000</v>
          </cell>
          <cell r="P402" t="str">
            <v>21/08/2025 12:15:00 - 21/08/2025 13:40:00</v>
          </cell>
          <cell r="Q402">
            <v>1574100</v>
          </cell>
        </row>
        <row r="403">
          <cell r="A403">
            <v>1278692517</v>
          </cell>
          <cell r="B403" t="str">
            <v>7905002N</v>
          </cell>
          <cell r="C403" t="str">
            <v>RULI RIZALUDDIN</v>
          </cell>
          <cell r="D403">
            <v>79055400</v>
          </cell>
          <cell r="E403">
            <v>4120177348</v>
          </cell>
          <cell r="F403">
            <v>54</v>
          </cell>
          <cell r="G403" t="str">
            <v>Perjalanan Dinas Non-Diklat</v>
          </cell>
          <cell r="H403" t="str">
            <v>KotaMakassar-JakartaPusat</v>
          </cell>
          <cell r="I403" t="str">
            <v>21/08/2025 - 23/08/2025</v>
          </cell>
          <cell r="J403">
            <v>3</v>
          </cell>
          <cell r="K403" t="str">
            <v>Hotel</v>
          </cell>
          <cell r="L403" t="str">
            <v>21-08-2025 16:41:34</v>
          </cell>
          <cell r="M403" t="str">
            <v xml:space="preserve">Golden Boutique Hotel Melawai - 4.0 Stars  - </v>
          </cell>
          <cell r="N403" t="str">
            <v>MUP UP2K (PROV SULSEL)</v>
          </cell>
          <cell r="O403">
            <v>7412000</v>
          </cell>
          <cell r="P403" t="str">
            <v>21/08/2025 14:00:00 - 23/08/2025 12:00:00</v>
          </cell>
          <cell r="Q403">
            <v>2084245</v>
          </cell>
        </row>
        <row r="404">
          <cell r="A404">
            <v>1279000799</v>
          </cell>
          <cell r="B404" t="str">
            <v>7905002N</v>
          </cell>
          <cell r="C404" t="str">
            <v>RULI RIZALUDDIN</v>
          </cell>
          <cell r="D404">
            <v>79055400</v>
          </cell>
          <cell r="E404">
            <v>4120177348</v>
          </cell>
          <cell r="F404">
            <v>54</v>
          </cell>
          <cell r="G404" t="str">
            <v>Perjalanan Dinas Non-Diklat</v>
          </cell>
          <cell r="H404" t="str">
            <v>KotaMakassar-JakartaPusat</v>
          </cell>
          <cell r="I404" t="str">
            <v>21/08/2025 - 23/08/2025</v>
          </cell>
          <cell r="J404">
            <v>3</v>
          </cell>
          <cell r="K404" t="str">
            <v>Flight One Way</v>
          </cell>
          <cell r="L404" t="str">
            <v>22-08-2025 20:45:06</v>
          </cell>
          <cell r="M404" t="str">
            <v>Garuda Indonesia  CGK Soekarno Hatta International Airport GA-616 - Garuda Indonesia Domestic UPG Hasanuddin GA-616</v>
          </cell>
          <cell r="N404" t="str">
            <v>MUP UP2K (PROV SULSEL)</v>
          </cell>
          <cell r="O404">
            <v>7412000</v>
          </cell>
          <cell r="P404" t="str">
            <v>23/08/2025 16:45:00 - 23/08/2025 20:20:00</v>
          </cell>
          <cell r="Q404">
            <v>1883100</v>
          </cell>
        </row>
        <row r="405">
          <cell r="A405">
            <v>1278465239</v>
          </cell>
          <cell r="B405" t="str">
            <v>95201059ZY</v>
          </cell>
          <cell r="C405" t="str">
            <v>SUPRIANTO MARWING</v>
          </cell>
          <cell r="D405">
            <v>95207607</v>
          </cell>
          <cell r="E405">
            <v>4120177339</v>
          </cell>
          <cell r="F405">
            <v>54</v>
          </cell>
          <cell r="G405" t="str">
            <v>Perjalanan Dinas Non-Diklat</v>
          </cell>
          <cell r="H405" t="str">
            <v>Kab. Buton Tengah - Kota Makassar</v>
          </cell>
          <cell r="I405" t="str">
            <v>21/08/2025 - 23/08/2025</v>
          </cell>
          <cell r="J405">
            <v>3</v>
          </cell>
          <cell r="K405" t="str">
            <v>Hotel</v>
          </cell>
          <cell r="L405" t="str">
            <v>20-08-2025 18:05:01</v>
          </cell>
          <cell r="M405" t="str">
            <v xml:space="preserve">Swiss-Belinn Panakkukang - 4.0 Stars  - </v>
          </cell>
          <cell r="N405" t="str">
            <v>TL YAN GAN</v>
          </cell>
          <cell r="O405">
            <v>7409654</v>
          </cell>
          <cell r="P405" t="str">
            <v>21/08/2025 14:00:00 - 22/08/2025 12:00:00</v>
          </cell>
          <cell r="Q405">
            <v>680000</v>
          </cell>
        </row>
        <row r="406">
          <cell r="A406">
            <v>1278466858</v>
          </cell>
          <cell r="B406" t="str">
            <v>95201059ZY</v>
          </cell>
          <cell r="C406" t="str">
            <v>SUPRIANTO MARWING</v>
          </cell>
          <cell r="D406">
            <v>95207607</v>
          </cell>
          <cell r="E406">
            <v>4120177339</v>
          </cell>
          <cell r="F406">
            <v>54</v>
          </cell>
          <cell r="G406" t="str">
            <v>Perjalanan Dinas Non-Diklat</v>
          </cell>
          <cell r="H406" t="str">
            <v>Kab. Buton Tengah - Kota Makassar</v>
          </cell>
          <cell r="I406" t="str">
            <v>21/08/2025 - 23/08/2025</v>
          </cell>
          <cell r="J406">
            <v>3</v>
          </cell>
          <cell r="K406" t="str">
            <v>Hotel</v>
          </cell>
          <cell r="L406" t="str">
            <v>20-08-2025 18:12:14</v>
          </cell>
          <cell r="M406" t="str">
            <v xml:space="preserve">Aryaduta Makassar - 5.0 Stars  - </v>
          </cell>
          <cell r="N406" t="str">
            <v>TL YAN GAN</v>
          </cell>
          <cell r="O406">
            <v>7409654</v>
          </cell>
          <cell r="P406" t="str">
            <v>22/08/2025 14:00:00 - 23/08/2025 12:00:00</v>
          </cell>
          <cell r="Q406">
            <v>760000</v>
          </cell>
        </row>
        <row r="407">
          <cell r="A407">
            <v>1278413767</v>
          </cell>
          <cell r="B407" t="str">
            <v>95201059ZY</v>
          </cell>
          <cell r="C407" t="str">
            <v>SUPRIANTO MARWING</v>
          </cell>
          <cell r="D407">
            <v>95207607</v>
          </cell>
          <cell r="E407">
            <v>4120177339</v>
          </cell>
          <cell r="F407">
            <v>54</v>
          </cell>
          <cell r="G407" t="str">
            <v>Perjalanan Dinas Non-Diklat</v>
          </cell>
          <cell r="H407" t="str">
            <v>Kab. Buton Tengah - Kota Makassar</v>
          </cell>
          <cell r="I407" t="str">
            <v>21/08/2025 - 23/08/2025</v>
          </cell>
          <cell r="J407">
            <v>3</v>
          </cell>
          <cell r="K407" t="str">
            <v>Flight One Way</v>
          </cell>
          <cell r="L407" t="str">
            <v>20-08-2025 14:30:43</v>
          </cell>
          <cell r="M407" t="str">
            <v>Super Air Jet  BUW Betoambari IU-573 - Super Air Jet  UPG Hasanuddin IU-573</v>
          </cell>
          <cell r="N407" t="str">
            <v>TL YAN GAN</v>
          </cell>
          <cell r="O407">
            <v>7409654</v>
          </cell>
          <cell r="P407" t="str">
            <v>21/08/2025 15:35:00 - 21/08/2025 16:20:00</v>
          </cell>
          <cell r="Q407">
            <v>744200</v>
          </cell>
        </row>
        <row r="408">
          <cell r="A408">
            <v>1278724291</v>
          </cell>
          <cell r="B408" t="str">
            <v>8908047F</v>
          </cell>
          <cell r="C408" t="str">
            <v>ZULKIFLI SETIOK</v>
          </cell>
          <cell r="D408">
            <v>89087622</v>
          </cell>
          <cell r="E408">
            <v>4120177344</v>
          </cell>
          <cell r="F408">
            <v>54</v>
          </cell>
          <cell r="G408" t="str">
            <v>Perjalanan Dinas Non-Diklat</v>
          </cell>
          <cell r="H408" t="str">
            <v>KotaBaubau-KotaMakassar</v>
          </cell>
          <cell r="I408" t="str">
            <v>21/08/2025 - 23/08/2025</v>
          </cell>
          <cell r="J408">
            <v>3</v>
          </cell>
          <cell r="K408" t="str">
            <v>Hotel</v>
          </cell>
          <cell r="L408" t="str">
            <v>21-08-2025 18:57:55</v>
          </cell>
          <cell r="M408" t="str">
            <v xml:space="preserve">Swiss-Belinn Panakkukang - 4.0 Stars  - </v>
          </cell>
          <cell r="N408" t="str">
            <v>MUL ULP (PASAR WAJO)</v>
          </cell>
          <cell r="O408">
            <v>7412280</v>
          </cell>
          <cell r="P408" t="str">
            <v>21/08/2025 14:00:00 - 23/08/2025 12:00:00</v>
          </cell>
          <cell r="Q408">
            <v>1400000</v>
          </cell>
        </row>
        <row r="409">
          <cell r="A409">
            <v>1278416312</v>
          </cell>
          <cell r="B409" t="str">
            <v>8908047F</v>
          </cell>
          <cell r="C409" t="str">
            <v>ZULKIFLI SETIOK</v>
          </cell>
          <cell r="D409">
            <v>89087622</v>
          </cell>
          <cell r="E409">
            <v>4120177344</v>
          </cell>
          <cell r="F409">
            <v>54</v>
          </cell>
          <cell r="G409" t="str">
            <v>Perjalanan Dinas Non-Diklat</v>
          </cell>
          <cell r="H409" t="str">
            <v>Kota Baubau - Kota Makassar</v>
          </cell>
          <cell r="I409" t="str">
            <v>21/08/2025 - 23/08/2025</v>
          </cell>
          <cell r="J409">
            <v>3</v>
          </cell>
          <cell r="K409" t="str">
            <v>Flight One Way</v>
          </cell>
          <cell r="L409" t="str">
            <v>20-08-2025 14:41:30</v>
          </cell>
          <cell r="M409" t="str">
            <v>Super Air Jet  BUW Betoambari IU-573 - Super Air Jet  UPG Hasanuddin IU-573</v>
          </cell>
          <cell r="N409" t="str">
            <v>MUL ULP (PASAR WAJO)</v>
          </cell>
          <cell r="O409">
            <v>7409653</v>
          </cell>
          <cell r="P409" t="str">
            <v>21/08/2025 15:35:00 - 21/08/2025 16:20:00</v>
          </cell>
          <cell r="Q409">
            <v>744200</v>
          </cell>
        </row>
        <row r="410">
          <cell r="A410">
            <v>1278430305</v>
          </cell>
          <cell r="B410" t="str">
            <v>8908047F</v>
          </cell>
          <cell r="C410" t="str">
            <v>ZULKIFLI SETIOK</v>
          </cell>
          <cell r="D410">
            <v>89087622</v>
          </cell>
          <cell r="E410">
            <v>4120177344</v>
          </cell>
          <cell r="F410">
            <v>54</v>
          </cell>
          <cell r="G410" t="str">
            <v>Perjalanan Dinas Non-Diklat</v>
          </cell>
          <cell r="H410" t="str">
            <v>Kota Baubau - Kota Makassar</v>
          </cell>
          <cell r="I410" t="str">
            <v>21/08/2025 - 23/08/2025</v>
          </cell>
          <cell r="J410">
            <v>3</v>
          </cell>
          <cell r="K410" t="str">
            <v>Flight One Way</v>
          </cell>
          <cell r="L410" t="str">
            <v>20-08-2025 15:36:07</v>
          </cell>
          <cell r="M410" t="str">
            <v>Super Air Jet  UPG Hasanuddin IU-572 - Super Air Jet  BUW Betoambari IU-572</v>
          </cell>
          <cell r="N410" t="str">
            <v>MUL ULP (PASAR WAJO)</v>
          </cell>
          <cell r="O410">
            <v>7409653</v>
          </cell>
          <cell r="P410" t="str">
            <v>23/08/2025 14:10:00 - 23/08/2025 14:55:00</v>
          </cell>
          <cell r="Q410">
            <v>844100</v>
          </cell>
        </row>
        <row r="411">
          <cell r="A411">
            <v>1278652806</v>
          </cell>
          <cell r="B411" t="str">
            <v>8408499Z</v>
          </cell>
          <cell r="C411" t="str">
            <v>MIRSAN</v>
          </cell>
          <cell r="D411">
            <v>84087802</v>
          </cell>
          <cell r="E411">
            <v>4120177347</v>
          </cell>
          <cell r="F411">
            <v>54</v>
          </cell>
          <cell r="G411" t="str">
            <v>Perjalanan Dinas Non-Diklat</v>
          </cell>
          <cell r="H411" t="str">
            <v>KotaMakassar-JakartaSelatan</v>
          </cell>
          <cell r="I411" t="str">
            <v>21/08/2025 - 22/08/2025</v>
          </cell>
          <cell r="J411">
            <v>2</v>
          </cell>
          <cell r="K411" t="str">
            <v>Flight One Way</v>
          </cell>
          <cell r="L411" t="str">
            <v>21-08-2025 14:00:17</v>
          </cell>
          <cell r="M411" t="str">
            <v>Garuda Indonesia  CGK Soekarno Hatta International Airport GA-604 - Garuda Indonesia Domestic UPG Hasanuddin GA-604</v>
          </cell>
          <cell r="N411" t="str">
            <v>MAN YAN PRIORITAS DAN PAE</v>
          </cell>
          <cell r="O411">
            <v>7411140</v>
          </cell>
          <cell r="P411" t="str">
            <v>22/08/2025 02:50:00 - 22/08/2025 06:25:00</v>
          </cell>
          <cell r="Q411">
            <v>1423300</v>
          </cell>
        </row>
        <row r="412">
          <cell r="A412">
            <v>1278410917</v>
          </cell>
          <cell r="B412" t="str">
            <v>8408499Z</v>
          </cell>
          <cell r="C412" t="str">
            <v xml:space="preserve">MIRSAN </v>
          </cell>
          <cell r="D412">
            <v>84087802</v>
          </cell>
          <cell r="E412">
            <v>4120177347</v>
          </cell>
          <cell r="F412">
            <v>54</v>
          </cell>
          <cell r="G412" t="str">
            <v>Perjalanan Dinas Non-Diklat</v>
          </cell>
          <cell r="H412" t="str">
            <v>Kota Makassar - Jakarta Selatan</v>
          </cell>
          <cell r="I412" t="str">
            <v>21/08/2025 - 22/08/2025</v>
          </cell>
          <cell r="J412">
            <v>2</v>
          </cell>
          <cell r="K412" t="str">
            <v>Flight One Way</v>
          </cell>
          <cell r="L412" t="str">
            <v>20-08-2025 14:19:37</v>
          </cell>
          <cell r="M412" t="str">
            <v>Garuda Indonesia Domestic UPG Hasanuddin GA-619 - Garuda Indonesia  CGK Soekarno Hatta International Airport GA-619</v>
          </cell>
          <cell r="N412" t="str">
            <v>MAN YAN PRIORITAS DAN PAE</v>
          </cell>
          <cell r="O412">
            <v>7411140</v>
          </cell>
          <cell r="P412" t="str">
            <v>21/08/2025 05:25:00 - 21/08/2025 06:55:00</v>
          </cell>
          <cell r="Q412">
            <v>1938200</v>
          </cell>
        </row>
        <row r="413">
          <cell r="A413">
            <v>1278373724</v>
          </cell>
          <cell r="B413" t="str">
            <v>8308021F</v>
          </cell>
          <cell r="C413" t="str">
            <v xml:space="preserve">ARIFUDDIN </v>
          </cell>
          <cell r="D413">
            <v>83087613</v>
          </cell>
          <cell r="E413">
            <v>4120177326</v>
          </cell>
          <cell r="F413">
            <v>54</v>
          </cell>
          <cell r="G413" t="str">
            <v>Perjalanan Dinas Non-Diklat</v>
          </cell>
          <cell r="H413" t="str">
            <v>Kota Baubau - Kota Makassar</v>
          </cell>
          <cell r="I413" t="str">
            <v>21/08/2025 - 23/08/2025</v>
          </cell>
          <cell r="J413">
            <v>3</v>
          </cell>
          <cell r="K413" t="str">
            <v>Flight Round-Trip</v>
          </cell>
          <cell r="L413" t="str">
            <v>20-08-2025 11:51:11</v>
          </cell>
          <cell r="M413" t="str">
            <v>Super Air Jet  BUW Betoambari IU-573 - Super Air Jet  UPG Hasanuddin IU-573</v>
          </cell>
          <cell r="N413" t="str">
            <v>ASMAN AGA DAN SAR</v>
          </cell>
          <cell r="O413">
            <v>7412285</v>
          </cell>
          <cell r="P413" t="str">
            <v>21/08/2025 15:35:00 - 21/08/2025 16:20:00</v>
          </cell>
          <cell r="Q413">
            <v>1588300</v>
          </cell>
        </row>
        <row r="414">
          <cell r="A414">
            <v>1278443255</v>
          </cell>
          <cell r="B414" t="str">
            <v>8308021F</v>
          </cell>
          <cell r="C414" t="str">
            <v xml:space="preserve">ARIFUDDIN </v>
          </cell>
          <cell r="D414">
            <v>83087613</v>
          </cell>
          <cell r="E414">
            <v>4120177326</v>
          </cell>
          <cell r="F414">
            <v>54</v>
          </cell>
          <cell r="G414" t="str">
            <v>Perjalanan Dinas Non-Diklat</v>
          </cell>
          <cell r="H414" t="str">
            <v>Kota Baubau - Kota Makassar</v>
          </cell>
          <cell r="I414" t="str">
            <v>21/08/2025 - 23/08/2025</v>
          </cell>
          <cell r="J414">
            <v>3</v>
          </cell>
          <cell r="K414" t="str">
            <v>Hotel</v>
          </cell>
          <cell r="L414" t="str">
            <v>20-08-2025 16:29:39</v>
          </cell>
          <cell r="M414" t="str">
            <v xml:space="preserve">Swiss-Belinn Panakkukang - 4.0 Stars  - </v>
          </cell>
          <cell r="N414" t="str">
            <v>ASMAN AGA DAN SAR</v>
          </cell>
          <cell r="O414">
            <v>7412285</v>
          </cell>
          <cell r="P414" t="str">
            <v>21/08/2025 14:00:00 - 23/08/2025 12:00:00</v>
          </cell>
          <cell r="Q414">
            <v>1380000</v>
          </cell>
        </row>
        <row r="415">
          <cell r="A415">
            <v>1278471698</v>
          </cell>
          <cell r="B415" t="str">
            <v>94161704ZY</v>
          </cell>
          <cell r="C415" t="str">
            <v>ARIO SUSENO</v>
          </cell>
          <cell r="D415">
            <v>94167610</v>
          </cell>
          <cell r="E415">
            <v>4120177333</v>
          </cell>
          <cell r="F415">
            <v>54</v>
          </cell>
          <cell r="G415" t="str">
            <v>Perjalanan Dinas Non-Diklat</v>
          </cell>
          <cell r="H415" t="str">
            <v>Kota Baubau - Kota Makassar</v>
          </cell>
          <cell r="I415" t="str">
            <v>21/08/2025 - 23/08/2025</v>
          </cell>
          <cell r="J415">
            <v>3</v>
          </cell>
          <cell r="K415" t="str">
            <v>Flight One Way</v>
          </cell>
          <cell r="L415" t="str">
            <v>20-08-2025 18:33:41</v>
          </cell>
          <cell r="M415" t="str">
            <v>Super Air Jet  UPG Hasanuddin IU-572 - Super Air Jet  BUW Betoambari IU-572</v>
          </cell>
          <cell r="N415" t="str">
            <v>TL SALES RET</v>
          </cell>
          <cell r="O415">
            <v>7412285</v>
          </cell>
          <cell r="P415" t="str">
            <v>23/08/2025 14:10:00 - 23/08/2025 14:55:00</v>
          </cell>
          <cell r="Q415">
            <v>844100</v>
          </cell>
        </row>
        <row r="416">
          <cell r="A416">
            <v>1278471187</v>
          </cell>
          <cell r="B416" t="str">
            <v>94161704ZY</v>
          </cell>
          <cell r="C416" t="str">
            <v>ARIO SUSENO</v>
          </cell>
          <cell r="D416">
            <v>94167610</v>
          </cell>
          <cell r="E416">
            <v>4120177333</v>
          </cell>
          <cell r="F416">
            <v>54</v>
          </cell>
          <cell r="G416" t="str">
            <v>Perjalanan Dinas Non-Diklat</v>
          </cell>
          <cell r="H416" t="str">
            <v>Kota Baubau - Kota Makassar</v>
          </cell>
          <cell r="I416" t="str">
            <v>21/08/2025 - 23/08/2025</v>
          </cell>
          <cell r="J416">
            <v>3</v>
          </cell>
          <cell r="K416" t="str">
            <v>Hotel</v>
          </cell>
          <cell r="L416" t="str">
            <v>20-08-2025 18:31:26</v>
          </cell>
          <cell r="M416" t="str">
            <v xml:space="preserve">Swiss-Belinn Panakkukang - 4.0 Stars  - </v>
          </cell>
          <cell r="N416" t="str">
            <v>TL SALES RET</v>
          </cell>
          <cell r="O416">
            <v>7412285</v>
          </cell>
          <cell r="P416" t="str">
            <v>21/08/2025 14:00:00 - 23/08/2025 12:00:00</v>
          </cell>
          <cell r="Q416">
            <v>1380000</v>
          </cell>
        </row>
        <row r="417">
          <cell r="A417">
            <v>1278778690</v>
          </cell>
          <cell r="B417" t="str">
            <v>7293022F</v>
          </cell>
          <cell r="C417" t="str">
            <v>EKO WAHYU PRASONGKO</v>
          </cell>
          <cell r="D417">
            <v>72937606</v>
          </cell>
          <cell r="E417">
            <v>4120177315</v>
          </cell>
          <cell r="F417">
            <v>54</v>
          </cell>
          <cell r="G417" t="str">
            <v>Perjalanan Dinas Non-Diklat</v>
          </cell>
          <cell r="H417" t="str">
            <v>KotaMakassar-KotaKendari</v>
          </cell>
          <cell r="I417" t="str">
            <v>25/08/2025 - 28/08/2025</v>
          </cell>
          <cell r="J417">
            <v>4</v>
          </cell>
          <cell r="K417" t="str">
            <v>Flight One Way</v>
          </cell>
          <cell r="L417" t="str">
            <v>21-08-2025 22:56:16</v>
          </cell>
          <cell r="M417" t="str">
            <v>Wings Air  KXB Sangia Nibandera IW-1207 - Wings Air Domestic UPG Hasanuddin IW-1207</v>
          </cell>
          <cell r="N417" t="str">
            <v>SPC KIN KEU, KOM, DAN MUM</v>
          </cell>
          <cell r="O417">
            <v>7412150</v>
          </cell>
          <cell r="P417" t="str">
            <v>28/08/2025 08:30:00 - 28/08/2025 09:25:00</v>
          </cell>
          <cell r="Q417">
            <v>1315800</v>
          </cell>
        </row>
        <row r="418">
          <cell r="A418">
            <v>1278312794</v>
          </cell>
          <cell r="B418" t="str">
            <v>7293022F</v>
          </cell>
          <cell r="C418" t="str">
            <v>EKO WAHYU PRASONGKO</v>
          </cell>
          <cell r="D418">
            <v>72937606</v>
          </cell>
          <cell r="E418">
            <v>4120177315</v>
          </cell>
          <cell r="F418">
            <v>54</v>
          </cell>
          <cell r="G418" t="str">
            <v>Perjalanan Dinas Non-Diklat</v>
          </cell>
          <cell r="H418" t="str">
            <v>Kota Makassar - Kota Kendari</v>
          </cell>
          <cell r="I418" t="str">
            <v>25/08/2025 - 28/08/2025</v>
          </cell>
          <cell r="J418">
            <v>4</v>
          </cell>
          <cell r="K418" t="str">
            <v>Hotel</v>
          </cell>
          <cell r="L418" t="str">
            <v>20-08-2025 06:46:40</v>
          </cell>
          <cell r="M418" t="str">
            <v xml:space="preserve">CLARO Kendari - 4.0 Stars  - </v>
          </cell>
          <cell r="N418" t="str">
            <v>SPC KIN KEU, KOM, DAN MUM</v>
          </cell>
          <cell r="O418">
            <v>7412150</v>
          </cell>
          <cell r="P418" t="str">
            <v>25/08/2025 14:00:00 - 26/08/2025 12:00:00</v>
          </cell>
          <cell r="Q418">
            <v>1050000</v>
          </cell>
        </row>
        <row r="419">
          <cell r="A419">
            <v>1278312571</v>
          </cell>
          <cell r="B419" t="str">
            <v>7293022F</v>
          </cell>
          <cell r="C419" t="str">
            <v>EKO WAHYU PRASONGKO</v>
          </cell>
          <cell r="D419">
            <v>72937606</v>
          </cell>
          <cell r="E419">
            <v>4120177315</v>
          </cell>
          <cell r="F419">
            <v>54</v>
          </cell>
          <cell r="G419" t="str">
            <v>Perjalanan Dinas Non-Diklat</v>
          </cell>
          <cell r="H419" t="str">
            <v>Kota Makassar - Kota Kendari</v>
          </cell>
          <cell r="I419" t="str">
            <v>25/08/2025 - 28/08/2025</v>
          </cell>
          <cell r="J419">
            <v>4</v>
          </cell>
          <cell r="K419" t="str">
            <v>Hotel</v>
          </cell>
          <cell r="L419" t="str">
            <v>20-08-2025 06:44:26</v>
          </cell>
          <cell r="M419" t="str">
            <v xml:space="preserve">Sutan Raja Hotel &amp; Convention Centre Kolaka - 4.0 Stars  - </v>
          </cell>
          <cell r="N419" t="str">
            <v>SPC KIN KEU, KOM, DAN MUM</v>
          </cell>
          <cell r="O419">
            <v>7412150</v>
          </cell>
          <cell r="P419" t="str">
            <v>26/08/2025 14:00:00 - 28/08/2025 12:00:00</v>
          </cell>
          <cell r="Q419">
            <v>1980000</v>
          </cell>
        </row>
        <row r="420">
          <cell r="A420">
            <v>1278312453</v>
          </cell>
          <cell r="B420" t="str">
            <v>7293022F</v>
          </cell>
          <cell r="C420" t="str">
            <v>EKO WAHYU PRASONGKO</v>
          </cell>
          <cell r="D420">
            <v>72937606</v>
          </cell>
          <cell r="E420">
            <v>4120177315</v>
          </cell>
          <cell r="F420">
            <v>54</v>
          </cell>
          <cell r="G420" t="str">
            <v>Perjalanan Dinas Non-Diklat</v>
          </cell>
          <cell r="H420" t="str">
            <v>Kota Makassar - Kota Kendari</v>
          </cell>
          <cell r="I420" t="str">
            <v>25/08/2025 - 28/08/2025</v>
          </cell>
          <cell r="J420">
            <v>4</v>
          </cell>
          <cell r="K420" t="str">
            <v>Flight One Way</v>
          </cell>
          <cell r="L420" t="str">
            <v>20-08-2025 06:43:13</v>
          </cell>
          <cell r="M420" t="str">
            <v>Garuda Indonesia Domestic UPG Hasanuddin GA-604 - Garuda Indonesia  KDI Haluoleo GA-604</v>
          </cell>
          <cell r="N420" t="str">
            <v>SPC KIN KEU, KOM, DAN MUM</v>
          </cell>
          <cell r="O420">
            <v>7412150</v>
          </cell>
          <cell r="P420" t="str">
            <v>25/08/2025 07:25:00 - 25/08/2025 08:25:00</v>
          </cell>
          <cell r="Q420">
            <v>865800</v>
          </cell>
        </row>
        <row r="421">
          <cell r="A421">
            <v>1279136967</v>
          </cell>
          <cell r="B421" t="str">
            <v>8710691Z</v>
          </cell>
          <cell r="C421" t="str">
            <v>AHMAD AMIRUL SYARIF</v>
          </cell>
          <cell r="D421">
            <v>87108002</v>
          </cell>
          <cell r="E421">
            <v>4120177320</v>
          </cell>
          <cell r="F421">
            <v>54</v>
          </cell>
          <cell r="G421" t="str">
            <v>Perjalanan Dinas Non-Diklat</v>
          </cell>
          <cell r="H421" t="str">
            <v>KotaMakassar-Kab.KolakaUtara</v>
          </cell>
          <cell r="I421" t="str">
            <v>25/08/2025 - 28/08/2025</v>
          </cell>
          <cell r="J421">
            <v>4</v>
          </cell>
          <cell r="K421" t="str">
            <v>Flight One Way</v>
          </cell>
          <cell r="L421" t="str">
            <v>23-08-2025 13:16:32</v>
          </cell>
          <cell r="M421" t="str">
            <v>Lion Air  KDI Haluoleo JT-993 - Lion Air Domestic UPG Hasanuddin JT-993</v>
          </cell>
          <cell r="N421" t="str">
            <v>MAN KOM DAN TJSL</v>
          </cell>
          <cell r="O421">
            <v>7412163</v>
          </cell>
          <cell r="P421" t="str">
            <v>26/08/2025 14:30:00 - 26/08/2025 15:25:00</v>
          </cell>
          <cell r="Q421">
            <v>810600</v>
          </cell>
        </row>
        <row r="422">
          <cell r="A422">
            <v>1278411633</v>
          </cell>
          <cell r="B422" t="str">
            <v>8710691Z</v>
          </cell>
          <cell r="C422" t="str">
            <v>AHMAD AMIRUL SYARIF</v>
          </cell>
          <cell r="D422">
            <v>87108002</v>
          </cell>
          <cell r="E422">
            <v>4120177320</v>
          </cell>
          <cell r="F422">
            <v>54</v>
          </cell>
          <cell r="G422" t="str">
            <v>Perjalanan Dinas Non-Diklat</v>
          </cell>
          <cell r="H422" t="str">
            <v>Kota Makassar - Kab. Kolaka Utara</v>
          </cell>
          <cell r="I422" t="str">
            <v>25/08/2025 - 28/08/2025</v>
          </cell>
          <cell r="J422">
            <v>4</v>
          </cell>
          <cell r="K422" t="str">
            <v>Hotel</v>
          </cell>
          <cell r="L422" t="str">
            <v>20-08-2025 14:22:23</v>
          </cell>
          <cell r="M422" t="str">
            <v xml:space="preserve">Sutan Raja Hotel &amp; Convention Centre Kolaka - 4.0 Stars  - </v>
          </cell>
          <cell r="N422" t="str">
            <v>MAN KOM DAN TJSL</v>
          </cell>
          <cell r="O422">
            <v>7412163</v>
          </cell>
          <cell r="P422" t="str">
            <v>26/08/2025 14:00:00 - 28/08/2025 12:00:00</v>
          </cell>
          <cell r="Q422">
            <v>1989000</v>
          </cell>
        </row>
        <row r="423">
          <cell r="A423">
            <v>1278380077</v>
          </cell>
          <cell r="B423" t="str">
            <v>8710691Z</v>
          </cell>
          <cell r="C423" t="str">
            <v>AHMAD AMIRUL SYARIF</v>
          </cell>
          <cell r="D423">
            <v>87108002</v>
          </cell>
          <cell r="E423">
            <v>4120177320</v>
          </cell>
          <cell r="F423">
            <v>54</v>
          </cell>
          <cell r="G423" t="str">
            <v>Perjalanan Dinas Non-Diklat</v>
          </cell>
          <cell r="H423" t="str">
            <v>Kota Makassar - Kab. Kolaka Utara</v>
          </cell>
          <cell r="I423" t="str">
            <v>25/08/2025 - 28/08/2025</v>
          </cell>
          <cell r="J423">
            <v>4</v>
          </cell>
          <cell r="K423" t="str">
            <v>Flight One Way</v>
          </cell>
          <cell r="L423" t="str">
            <v>20-08-2025 12:15:41</v>
          </cell>
          <cell r="M423" t="str">
            <v>Garuda Indonesia Domestic UPG Hasanuddin GA-604 - Garuda Indonesia  KDI Haluoleo GA-604</v>
          </cell>
          <cell r="N423" t="str">
            <v>MAN KOM DAN TJSL</v>
          </cell>
          <cell r="O423">
            <v>7412163</v>
          </cell>
          <cell r="P423" t="str">
            <v>25/08/2025 07:25:00 - 25/08/2025 08:25:00</v>
          </cell>
          <cell r="Q423">
            <v>710600</v>
          </cell>
        </row>
        <row r="424">
          <cell r="A424">
            <v>1278778989</v>
          </cell>
          <cell r="B424" t="str">
            <v>8908087F</v>
          </cell>
          <cell r="C424" t="str">
            <v>ARJINOFALTIN</v>
          </cell>
          <cell r="D424">
            <v>89087605</v>
          </cell>
          <cell r="E424">
            <v>4120177322</v>
          </cell>
          <cell r="F424">
            <v>54</v>
          </cell>
          <cell r="G424" t="str">
            <v>Perjalanan Dinas Non-Diklat</v>
          </cell>
          <cell r="H424" t="str">
            <v>KotaMakassar-Kab.KolakaUtara</v>
          </cell>
          <cell r="I424" t="str">
            <v>25/08/2025 - 28/08/2025</v>
          </cell>
          <cell r="J424">
            <v>4</v>
          </cell>
          <cell r="K424" t="str">
            <v>Flight One Way</v>
          </cell>
          <cell r="L424" t="str">
            <v>21-08-2025 22:58:08</v>
          </cell>
          <cell r="M424" t="str">
            <v>Wings Air  KXB Sangia Nibandera IW-1207 - Wings Air Domestic UPG Hasanuddin IW-1207</v>
          </cell>
          <cell r="N424" t="str">
            <v>ASMAN MUM</v>
          </cell>
          <cell r="O424">
            <v>7412164</v>
          </cell>
          <cell r="P424" t="str">
            <v>28/08/2025 08:30:00 - 28/08/2025 09:25:00</v>
          </cell>
          <cell r="Q424">
            <v>1315800</v>
          </cell>
        </row>
        <row r="425">
          <cell r="A425">
            <v>1278311850</v>
          </cell>
          <cell r="B425" t="str">
            <v>8908087F</v>
          </cell>
          <cell r="C425" t="str">
            <v xml:space="preserve">ARJINOFALTIN </v>
          </cell>
          <cell r="D425">
            <v>89087605</v>
          </cell>
          <cell r="E425">
            <v>4120177322</v>
          </cell>
          <cell r="F425">
            <v>54</v>
          </cell>
          <cell r="G425" t="str">
            <v>Perjalanan Dinas Non-Diklat</v>
          </cell>
          <cell r="H425" t="str">
            <v>Kota Makassar - Kab. Kolaka Utara</v>
          </cell>
          <cell r="I425" t="str">
            <v>25/08/2025 - 28/08/2025</v>
          </cell>
          <cell r="J425">
            <v>4</v>
          </cell>
          <cell r="K425" t="str">
            <v>Flight One Way</v>
          </cell>
          <cell r="L425" t="str">
            <v>20-08-2025 06:37:27</v>
          </cell>
          <cell r="M425" t="str">
            <v>Garuda Indonesia Domestic UPG Hasanuddin GA-604 - Garuda Indonesia  KDI Haluoleo GA-604</v>
          </cell>
          <cell r="N425" t="str">
            <v>ASMAN MUM</v>
          </cell>
          <cell r="O425">
            <v>7412164</v>
          </cell>
          <cell r="P425" t="str">
            <v>25/08/2025 07:25:00 - 25/08/2025 08:25:00</v>
          </cell>
          <cell r="Q425">
            <v>799500</v>
          </cell>
        </row>
        <row r="426">
          <cell r="A426">
            <v>1278311757</v>
          </cell>
          <cell r="B426" t="str">
            <v>8908087F</v>
          </cell>
          <cell r="C426" t="str">
            <v xml:space="preserve">ARJINOFALTIN </v>
          </cell>
          <cell r="D426">
            <v>89087605</v>
          </cell>
          <cell r="E426">
            <v>4120177322</v>
          </cell>
          <cell r="F426">
            <v>54</v>
          </cell>
          <cell r="G426" t="str">
            <v>Perjalanan Dinas Non-Diklat</v>
          </cell>
          <cell r="H426" t="str">
            <v>Kota Makassar - Kab. Kolaka Utara</v>
          </cell>
          <cell r="I426" t="str">
            <v>25/08/2025 - 28/08/2025</v>
          </cell>
          <cell r="J426">
            <v>4</v>
          </cell>
          <cell r="K426" t="str">
            <v>Hotel</v>
          </cell>
          <cell r="L426" t="str">
            <v>20-08-2025 06:35:59</v>
          </cell>
          <cell r="M426" t="str">
            <v xml:space="preserve">Sutan Raja Hotel &amp; Convention Centre Kolaka - 4.0 Stars  - </v>
          </cell>
          <cell r="N426" t="str">
            <v>ASMAN MUM</v>
          </cell>
          <cell r="O426">
            <v>7412164</v>
          </cell>
          <cell r="P426" t="str">
            <v>26/08/2025 14:00:00 - 28/08/2025 12:00:00</v>
          </cell>
          <cell r="Q426">
            <v>1674000</v>
          </cell>
        </row>
        <row r="427">
          <cell r="A427">
            <v>1278819384</v>
          </cell>
          <cell r="B427" t="str">
            <v>9419381ZY</v>
          </cell>
          <cell r="C427" t="str">
            <v>DIAN VERONICA</v>
          </cell>
          <cell r="D427">
            <v>94196205</v>
          </cell>
          <cell r="E427">
            <v>4120177312</v>
          </cell>
          <cell r="F427">
            <v>54</v>
          </cell>
          <cell r="G427" t="str">
            <v>Perjalanan Dinas Non-Diklat</v>
          </cell>
          <cell r="H427" t="str">
            <v>KotaKendari-Kab.Kolaka</v>
          </cell>
          <cell r="I427" t="str">
            <v>26/08/2025 - 28/08/2025</v>
          </cell>
          <cell r="J427">
            <v>3</v>
          </cell>
          <cell r="K427" t="str">
            <v>Hotel</v>
          </cell>
          <cell r="L427" t="str">
            <v>22-08-2025 08:22:21</v>
          </cell>
          <cell r="M427" t="str">
            <v xml:space="preserve">Sutan Raja Hotel &amp; Convention Centre Kolaka - 4.0 Stars  - </v>
          </cell>
          <cell r="N427" t="str">
            <v>TL ADM DAN MUM</v>
          </cell>
          <cell r="O427">
            <v>7412240</v>
          </cell>
          <cell r="P427" t="str">
            <v>26/08/2025 14:00:00 - 28/08/2025 12:00:00</v>
          </cell>
          <cell r="Q427">
            <v>1628000</v>
          </cell>
        </row>
        <row r="428">
          <cell r="A428">
            <v>1278834521</v>
          </cell>
          <cell r="B428" t="str">
            <v>9008037F</v>
          </cell>
          <cell r="C428" t="str">
            <v>HADI YUSRAN ZAENAL ABIDIN</v>
          </cell>
          <cell r="D428">
            <v>90087600</v>
          </cell>
          <cell r="E428">
            <v>4120177314</v>
          </cell>
          <cell r="F428">
            <v>54</v>
          </cell>
          <cell r="G428" t="str">
            <v>Perjalanan Dinas Non-Diklat</v>
          </cell>
          <cell r="H428" t="str">
            <v>KotaKendari-Kab.Kolaka</v>
          </cell>
          <cell r="I428" t="str">
            <v>26/08/2025 - 28/08/2025</v>
          </cell>
          <cell r="J428">
            <v>3</v>
          </cell>
          <cell r="K428" t="str">
            <v>Hotel</v>
          </cell>
          <cell r="L428" t="str">
            <v>22-08-2025 09:35:34</v>
          </cell>
          <cell r="M428" t="str">
            <v xml:space="preserve">Sutan Raja Hotel &amp; Convention Centre Kolaka - 4.0 Stars  - </v>
          </cell>
          <cell r="N428" t="str">
            <v>ASMAN KEU DAN MUM</v>
          </cell>
          <cell r="O428">
            <v>7412240</v>
          </cell>
          <cell r="P428" t="str">
            <v>26/08/2025 14:00:00 - 28/08/2025 12:00:00</v>
          </cell>
          <cell r="Q428">
            <v>1944800</v>
          </cell>
        </row>
        <row r="429">
          <cell r="A429">
            <v>1278323162</v>
          </cell>
          <cell r="B429" t="str">
            <v>0124589ZY</v>
          </cell>
          <cell r="C429" t="str">
            <v>NABILA NUR FAIRUZ</v>
          </cell>
          <cell r="D429">
            <v>1241589</v>
          </cell>
          <cell r="E429">
            <v>4120177304</v>
          </cell>
          <cell r="F429">
            <v>54</v>
          </cell>
          <cell r="G429" t="str">
            <v>Perjalanan Dinas Non-Diklat</v>
          </cell>
          <cell r="H429" t="str">
            <v>Kota Kendari - Kota Bogor</v>
          </cell>
          <cell r="I429" t="str">
            <v>26/08/2025 - 28/08/2025</v>
          </cell>
          <cell r="J429">
            <v>3</v>
          </cell>
          <cell r="K429" t="str">
            <v>Flight One Way</v>
          </cell>
          <cell r="L429" t="str">
            <v>20-08-2025 08:10:07</v>
          </cell>
          <cell r="M429" t="str">
            <v>Garuda Indonesia  KDI Haluoleo GA-605 - Garuda Indonesia  CGK Soekarno Hatta International Airport GA-605</v>
          </cell>
          <cell r="N429" t="str">
            <v>JOF YAN GAN</v>
          </cell>
          <cell r="O429">
            <v>7409624</v>
          </cell>
          <cell r="P429" t="str">
            <v>26/08/2025 09:10:00 - 26/08/2025 12:25:00</v>
          </cell>
          <cell r="Q429">
            <v>1986900</v>
          </cell>
        </row>
        <row r="430">
          <cell r="A430">
            <v>1279712833</v>
          </cell>
          <cell r="B430" t="str">
            <v>0124589ZY</v>
          </cell>
          <cell r="C430" t="str">
            <v>NABILA NUR FAIRUZ</v>
          </cell>
          <cell r="D430">
            <v>1241589</v>
          </cell>
          <cell r="E430">
            <v>4120177304</v>
          </cell>
          <cell r="F430">
            <v>54</v>
          </cell>
          <cell r="G430" t="str">
            <v>Perjalanan Dinas Non-Diklat</v>
          </cell>
          <cell r="H430" t="str">
            <v>KotaKendari-KotaBogor</v>
          </cell>
          <cell r="I430" t="str">
            <v>26/08/2025 - 28/08/2025</v>
          </cell>
          <cell r="J430">
            <v>3</v>
          </cell>
          <cell r="K430" t="str">
            <v>Hotel</v>
          </cell>
          <cell r="L430" t="str">
            <v>26-08-2025 00:22:21</v>
          </cell>
          <cell r="M430" t="str">
            <v xml:space="preserve">D'Anaya Hotel Bogor - 3.0 Stars  - </v>
          </cell>
          <cell r="N430" t="str">
            <v>JOF YAN GAN</v>
          </cell>
          <cell r="O430">
            <v>7409624</v>
          </cell>
          <cell r="P430" t="str">
            <v>26/08/2025 14:00:00 - 28/08/2025 12:00:00</v>
          </cell>
          <cell r="Q430">
            <v>1425000</v>
          </cell>
        </row>
        <row r="431">
          <cell r="A431">
            <v>1278236178</v>
          </cell>
          <cell r="B431" t="str">
            <v>8711534Z</v>
          </cell>
          <cell r="C431" t="str">
            <v>ANDHIKA PRANANDA</v>
          </cell>
          <cell r="D431">
            <v>87117615</v>
          </cell>
          <cell r="E431">
            <v>4120177310</v>
          </cell>
          <cell r="F431">
            <v>54</v>
          </cell>
          <cell r="G431" t="str">
            <v>Perjalanan Dinas Non-Diklat</v>
          </cell>
          <cell r="H431" t="str">
            <v>Kota Makassar - Kota Semarang</v>
          </cell>
          <cell r="I431" t="str">
            <v>20/08/2025 - 23/08/2025</v>
          </cell>
          <cell r="J431">
            <v>4</v>
          </cell>
          <cell r="K431" t="str">
            <v>Hotel</v>
          </cell>
          <cell r="L431" t="str">
            <v>19-08-2025 19:11:57</v>
          </cell>
          <cell r="M431" t="str">
            <v xml:space="preserve">Hotel Ciputra Semarang managed by Swiss-Belhotel International - 5.0 Stars  - </v>
          </cell>
          <cell r="N431" t="str">
            <v>ASMAN NPS</v>
          </cell>
          <cell r="O431">
            <v>74092708</v>
          </cell>
          <cell r="P431" t="str">
            <v>20/08/2025 14:00:00 - 23/08/2025 12:00:00</v>
          </cell>
          <cell r="Q431">
            <v>2795000</v>
          </cell>
        </row>
        <row r="432">
          <cell r="A432">
            <v>1278806552</v>
          </cell>
          <cell r="B432" t="str">
            <v>8711534Z</v>
          </cell>
          <cell r="C432" t="str">
            <v>ANDHIKA PRANANDA</v>
          </cell>
          <cell r="D432">
            <v>87117615</v>
          </cell>
          <cell r="E432">
            <v>4120177310</v>
          </cell>
          <cell r="F432">
            <v>54</v>
          </cell>
          <cell r="G432" t="str">
            <v>Perjalanan Dinas Non-Diklat</v>
          </cell>
          <cell r="H432" t="str">
            <v>KotaMakassar-KotaSemarang</v>
          </cell>
          <cell r="I432" t="str">
            <v>20/08/2025 - 23/08/2025</v>
          </cell>
          <cell r="J432">
            <v>4</v>
          </cell>
          <cell r="K432" t="str">
            <v>Flight One Way</v>
          </cell>
          <cell r="L432" t="str">
            <v>22-08-2025 06:47:28</v>
          </cell>
          <cell r="M432" t="str">
            <v>Garuda Indonesia Domestic SRG Achmad Yani GA-239 - Garuda Indonesia Domestic UPG Hasanuddin GA-239</v>
          </cell>
          <cell r="N432" t="str">
            <v>ASMAN NPS</v>
          </cell>
          <cell r="O432">
            <v>74092708</v>
          </cell>
          <cell r="P432" t="str">
            <v>23/08/2025 17:55:00 - 23/08/2025 23:50:00</v>
          </cell>
          <cell r="Q432">
            <v>3068000</v>
          </cell>
        </row>
        <row r="433">
          <cell r="A433">
            <v>1278195548</v>
          </cell>
          <cell r="B433" t="str">
            <v>8711534Z</v>
          </cell>
          <cell r="C433" t="str">
            <v>ANDHIKA PRANANDA</v>
          </cell>
          <cell r="D433">
            <v>87117615</v>
          </cell>
          <cell r="E433">
            <v>4120177310</v>
          </cell>
          <cell r="F433">
            <v>54</v>
          </cell>
          <cell r="G433" t="str">
            <v>Perjalanan Dinas Non-Diklat</v>
          </cell>
          <cell r="H433" t="str">
            <v>Kota Makassar - Kota Semarang</v>
          </cell>
          <cell r="I433" t="str">
            <v>20/08/2025 - 23/08/2025</v>
          </cell>
          <cell r="J433">
            <v>4</v>
          </cell>
          <cell r="K433" t="str">
            <v>Flight One Way</v>
          </cell>
          <cell r="L433" t="str">
            <v>19-08-2025 16:14:45</v>
          </cell>
          <cell r="M433" t="str">
            <v>Lion Air Domestic UPG Hasanuddin JT-909 - Lion Air Domestic SRG Achmad Yani JT-909</v>
          </cell>
          <cell r="N433" t="str">
            <v>ASMAN NPS</v>
          </cell>
          <cell r="O433">
            <v>74092708</v>
          </cell>
          <cell r="P433" t="str">
            <v>20/08/2025 15:00:00 - 20/08/2025 15:45:00</v>
          </cell>
          <cell r="Q433">
            <v>1456100</v>
          </cell>
        </row>
        <row r="434">
          <cell r="A434">
            <v>1278171476</v>
          </cell>
          <cell r="B434" t="str">
            <v>8609527Z</v>
          </cell>
          <cell r="C434" t="str">
            <v>MUHAMMAD SUSGANDINATA</v>
          </cell>
          <cell r="D434">
            <v>86097601</v>
          </cell>
          <cell r="E434">
            <v>4120177295</v>
          </cell>
          <cell r="F434">
            <v>54</v>
          </cell>
          <cell r="G434" t="str">
            <v>Perjalanan Dinas Non-Diklat</v>
          </cell>
          <cell r="H434" t="str">
            <v>Kota Makassar - Kota Semarang</v>
          </cell>
          <cell r="I434" t="str">
            <v>20/08/2025 - 23/08/2025</v>
          </cell>
          <cell r="J434">
            <v>4</v>
          </cell>
          <cell r="K434" t="str">
            <v>Flight One Way</v>
          </cell>
          <cell r="L434" t="str">
            <v>19-08-2025 14:37:45</v>
          </cell>
          <cell r="M434" t="str">
            <v>Lion Air Domestic UPG Hasanuddin JT-909 - Lion Air Domestic SRG Achmad Yani JT-909</v>
          </cell>
          <cell r="N434" t="str">
            <v>MAN YAN GAN</v>
          </cell>
          <cell r="O434">
            <v>7411140</v>
          </cell>
          <cell r="P434" t="str">
            <v>20/08/2025 15:00:00 - 20/08/2025 15:45:00</v>
          </cell>
          <cell r="Q434">
            <v>1456100</v>
          </cell>
        </row>
        <row r="435">
          <cell r="A435">
            <v>1278921331</v>
          </cell>
          <cell r="B435" t="str">
            <v>8609527Z</v>
          </cell>
          <cell r="C435" t="str">
            <v>MUHAMMAD SUSGANDINATA</v>
          </cell>
          <cell r="D435">
            <v>86097601</v>
          </cell>
          <cell r="E435">
            <v>4120177295</v>
          </cell>
          <cell r="F435">
            <v>54</v>
          </cell>
          <cell r="G435" t="str">
            <v>Perjalanan Dinas Non-Diklat</v>
          </cell>
          <cell r="H435" t="str">
            <v>KotaMakassar-KotaSemarang</v>
          </cell>
          <cell r="I435" t="str">
            <v>20/08/2025 - 23/08/2025</v>
          </cell>
          <cell r="J435">
            <v>4</v>
          </cell>
          <cell r="K435" t="str">
            <v>Hotel</v>
          </cell>
          <cell r="L435" t="str">
            <v>22-08-2025 15:16:53</v>
          </cell>
          <cell r="M435" t="str">
            <v xml:space="preserve">Quest Prime Pemuda - Semarang - 4.0 Stars  - </v>
          </cell>
          <cell r="N435" t="str">
            <v>MAN YAN GAN</v>
          </cell>
          <cell r="O435">
            <v>7411140</v>
          </cell>
          <cell r="P435" t="str">
            <v>22/08/2025 14:00:00 - 23/08/2025 12:00:00</v>
          </cell>
          <cell r="Q435">
            <v>794750</v>
          </cell>
        </row>
        <row r="436">
          <cell r="A436">
            <v>1278864703</v>
          </cell>
          <cell r="B436" t="str">
            <v>8609527Z</v>
          </cell>
          <cell r="C436" t="str">
            <v>MUHAMMAD SUSGANDINATA</v>
          </cell>
          <cell r="D436">
            <v>86097601</v>
          </cell>
          <cell r="E436">
            <v>4120177295</v>
          </cell>
          <cell r="F436">
            <v>54</v>
          </cell>
          <cell r="G436" t="str">
            <v>Perjalanan Dinas Non-Diklat</v>
          </cell>
          <cell r="H436" t="str">
            <v>KotaMakassar-KotaSemarang</v>
          </cell>
          <cell r="I436" t="str">
            <v>20/08/2025 - 23/08/2025</v>
          </cell>
          <cell r="J436">
            <v>4</v>
          </cell>
          <cell r="K436" t="str">
            <v>Flight One Way</v>
          </cell>
          <cell r="L436" t="str">
            <v>22-08-2025 11:34:40</v>
          </cell>
          <cell r="M436" t="str">
            <v>Lion Air Domestic SRG Achmad Yani JT-624 - Lion Air Domestic UPG Hasanuddin JT-624</v>
          </cell>
          <cell r="N436" t="str">
            <v>MAN YAN GAN</v>
          </cell>
          <cell r="O436">
            <v>7411140</v>
          </cell>
          <cell r="P436" t="str">
            <v>23/08/2025 07:40:00 - 23/08/2025 12:25:00</v>
          </cell>
          <cell r="Q436">
            <v>1885800</v>
          </cell>
        </row>
        <row r="437">
          <cell r="A437">
            <v>1278602422</v>
          </cell>
          <cell r="B437" t="str">
            <v>8609527Z</v>
          </cell>
          <cell r="C437" t="str">
            <v>MUHAMMAD SUSGANDINATA</v>
          </cell>
          <cell r="D437">
            <v>86097601</v>
          </cell>
          <cell r="E437">
            <v>4120177295</v>
          </cell>
          <cell r="F437">
            <v>54</v>
          </cell>
          <cell r="G437" t="str">
            <v>Perjalanan Dinas Non-Diklat</v>
          </cell>
          <cell r="H437" t="str">
            <v>KotaMakassar-KotaSemarang</v>
          </cell>
          <cell r="I437" t="str">
            <v>20/08/2025 - 23/08/2025</v>
          </cell>
          <cell r="J437">
            <v>4</v>
          </cell>
          <cell r="K437" t="str">
            <v>Hotel</v>
          </cell>
          <cell r="L437" t="str">
            <v>21-08-2025 10:40:56</v>
          </cell>
          <cell r="M437" t="str">
            <v xml:space="preserve">HARRIS Hotel Sentraland Semarang - 4.0 Stars  - </v>
          </cell>
          <cell r="N437" t="str">
            <v>MAN YAN GAN</v>
          </cell>
          <cell r="O437">
            <v>7411140</v>
          </cell>
          <cell r="P437" t="str">
            <v>21/08/2025 14:00:00 - 22/08/2025 12:00:00</v>
          </cell>
          <cell r="Q437">
            <v>778000</v>
          </cell>
        </row>
        <row r="438">
          <cell r="A438">
            <v>1278448335</v>
          </cell>
          <cell r="B438" t="str">
            <v>8609527Z</v>
          </cell>
          <cell r="C438" t="str">
            <v>MUHAMMAD SUSGANDINATA</v>
          </cell>
          <cell r="D438">
            <v>86097601</v>
          </cell>
          <cell r="E438">
            <v>4120177295</v>
          </cell>
          <cell r="F438">
            <v>54</v>
          </cell>
          <cell r="G438" t="str">
            <v>Perjalanan Dinas Non-Diklat</v>
          </cell>
          <cell r="H438" t="str">
            <v>Kota Makassar - Kota Semarang</v>
          </cell>
          <cell r="I438" t="str">
            <v>20/08/2025 - 23/08/2025</v>
          </cell>
          <cell r="J438">
            <v>4</v>
          </cell>
          <cell r="K438" t="str">
            <v>Hotel</v>
          </cell>
          <cell r="L438" t="str">
            <v>20-08-2025 16:51:17</v>
          </cell>
          <cell r="M438" t="str">
            <v xml:space="preserve">HARRIS Hotel Sentraland Semarang - 4.0 Stars  - </v>
          </cell>
          <cell r="N438" t="str">
            <v>MAN YAN GAN</v>
          </cell>
          <cell r="O438">
            <v>7411140</v>
          </cell>
          <cell r="P438" t="str">
            <v>20/08/2025 14:00:00 - 21/08/2025 12:00:00</v>
          </cell>
          <cell r="Q438">
            <v>778000</v>
          </cell>
        </row>
        <row r="439">
          <cell r="A439">
            <v>1279019278</v>
          </cell>
          <cell r="B439" t="str">
            <v>8712617ZY</v>
          </cell>
          <cell r="C439" t="str">
            <v>M. LUKMAN HAKIM</v>
          </cell>
          <cell r="D439">
            <v>87127603</v>
          </cell>
          <cell r="E439">
            <v>4120177306</v>
          </cell>
          <cell r="F439">
            <v>54</v>
          </cell>
          <cell r="G439" t="str">
            <v>Perjalanan Dinas Non-Diklat</v>
          </cell>
          <cell r="H439" t="str">
            <v>KotaMakassar-KotaSemarang</v>
          </cell>
          <cell r="I439" t="str">
            <v>20/08/2025 - 23/08/2025</v>
          </cell>
          <cell r="J439">
            <v>4</v>
          </cell>
          <cell r="K439" t="str">
            <v>Flight One Way</v>
          </cell>
          <cell r="L439" t="str">
            <v>22-08-2025 22:05:16</v>
          </cell>
          <cell r="M439" t="str">
            <v>Batik Air Domestic SRG Achmad Yani ID-6351 - Batik Air Domestic UPG Hasanuddin ID-6351</v>
          </cell>
          <cell r="N439" t="str">
            <v>ASMAN DIG SERVICE DAN CUST EX</v>
          </cell>
          <cell r="O439">
            <v>7411140</v>
          </cell>
          <cell r="P439" t="str">
            <v>23/08/2025 11:40:00 - 23/08/2025 20:10:00</v>
          </cell>
          <cell r="Q439">
            <v>2214100</v>
          </cell>
        </row>
        <row r="440">
          <cell r="A440">
            <v>1278882709</v>
          </cell>
          <cell r="B440" t="str">
            <v>8712617ZY</v>
          </cell>
          <cell r="C440" t="str">
            <v>M. LUKMAN HAKIM</v>
          </cell>
          <cell r="D440">
            <v>87127603</v>
          </cell>
          <cell r="E440">
            <v>4120177306</v>
          </cell>
          <cell r="F440">
            <v>54</v>
          </cell>
          <cell r="G440" t="str">
            <v>Perjalanan Dinas Non-Diklat</v>
          </cell>
          <cell r="H440" t="str">
            <v>KotaMakassar-KotaSemarang</v>
          </cell>
          <cell r="I440" t="str">
            <v>20/08/2025 - 23/08/2025</v>
          </cell>
          <cell r="J440">
            <v>4</v>
          </cell>
          <cell r="K440" t="str">
            <v>Hotel</v>
          </cell>
          <cell r="L440" t="str">
            <v>22-08-2025 12:48:34</v>
          </cell>
          <cell r="M440" t="str">
            <v xml:space="preserve">Quest Prime Pemuda - Semarang - 4.0 Stars  - </v>
          </cell>
          <cell r="N440" t="str">
            <v>ASMAN DIG SERVICE DAN CUST EX</v>
          </cell>
          <cell r="O440">
            <v>7411140</v>
          </cell>
          <cell r="P440" t="str">
            <v>22/08/2025 14:00:00 - 23/08/2025 12:00:00</v>
          </cell>
          <cell r="Q440">
            <v>794750</v>
          </cell>
        </row>
        <row r="441">
          <cell r="A441">
            <v>1278445003</v>
          </cell>
          <cell r="B441" t="str">
            <v>8712617ZY</v>
          </cell>
          <cell r="C441" t="str">
            <v>M. LUKMAN HAKIM</v>
          </cell>
          <cell r="D441">
            <v>87127603</v>
          </cell>
          <cell r="E441">
            <v>4120177306</v>
          </cell>
          <cell r="F441">
            <v>54</v>
          </cell>
          <cell r="G441" t="str">
            <v>Perjalanan Dinas Non-Diklat</v>
          </cell>
          <cell r="H441" t="str">
            <v>Kota Makassar - Kota Semarang</v>
          </cell>
          <cell r="I441" t="str">
            <v>20/08/2025 - 23/08/2025</v>
          </cell>
          <cell r="J441">
            <v>4</v>
          </cell>
          <cell r="K441" t="str">
            <v>Hotel</v>
          </cell>
          <cell r="L441" t="str">
            <v>20-08-2025 16:37:14</v>
          </cell>
          <cell r="M441" t="str">
            <v xml:space="preserve">HARRIS Hotel Sentraland Semarang - 4.0 Stars  - </v>
          </cell>
          <cell r="N441" t="str">
            <v>ASMAN DIG SERVICE DAN CUST EX</v>
          </cell>
          <cell r="O441">
            <v>7411140</v>
          </cell>
          <cell r="P441" t="str">
            <v>20/08/2025 14:00:00 - 22/08/2025 12:00:00</v>
          </cell>
          <cell r="Q441">
            <v>1556000</v>
          </cell>
        </row>
        <row r="442">
          <cell r="A442">
            <v>1278206270</v>
          </cell>
          <cell r="B442" t="str">
            <v>8712617ZY</v>
          </cell>
          <cell r="C442" t="str">
            <v>M. LUKMAN HAKIM</v>
          </cell>
          <cell r="D442">
            <v>87127603</v>
          </cell>
          <cell r="E442">
            <v>4120177306</v>
          </cell>
          <cell r="F442">
            <v>54</v>
          </cell>
          <cell r="G442" t="str">
            <v>Perjalanan Dinas Non-Diklat</v>
          </cell>
          <cell r="H442" t="str">
            <v>Kota Makassar - Kota Semarang</v>
          </cell>
          <cell r="I442" t="str">
            <v>20/08/2025 - 23/08/2025</v>
          </cell>
          <cell r="J442">
            <v>4</v>
          </cell>
          <cell r="K442" t="str">
            <v>Flight One Way</v>
          </cell>
          <cell r="L442" t="str">
            <v>19-08-2025 16:59:47</v>
          </cell>
          <cell r="M442" t="str">
            <v>Lion Air Domestic UPG Hasanuddin JT-909 - Lion Air Domestic SRG Achmad Yani JT-909</v>
          </cell>
          <cell r="N442" t="str">
            <v>ASMAN DIG SERVICE DAN CUST EX</v>
          </cell>
          <cell r="O442">
            <v>7411140</v>
          </cell>
          <cell r="P442" t="str">
            <v>20/08/2025 15:00:00 - 20/08/2025 15:45:00</v>
          </cell>
          <cell r="Q442">
            <v>1456100</v>
          </cell>
        </row>
        <row r="443">
          <cell r="A443">
            <v>1278465794</v>
          </cell>
          <cell r="B443" t="str">
            <v>8812188ZY</v>
          </cell>
          <cell r="C443" t="str">
            <v>JULYANZAH PERDANA PUTRA</v>
          </cell>
          <cell r="D443">
            <v>88128002</v>
          </cell>
          <cell r="E443">
            <v>4120177305</v>
          </cell>
          <cell r="F443">
            <v>54</v>
          </cell>
          <cell r="G443" t="str">
            <v>Perjalanan Dinas Non-Diklat</v>
          </cell>
          <cell r="H443" t="str">
            <v>Kota Makassar - Kota Bogor</v>
          </cell>
          <cell r="I443" t="str">
            <v>18/08/2025 - 22/08/2025</v>
          </cell>
          <cell r="J443">
            <v>5</v>
          </cell>
          <cell r="K443" t="str">
            <v>Hotel</v>
          </cell>
          <cell r="L443" t="str">
            <v>20-08-2025 18:07:30</v>
          </cell>
          <cell r="M443" t="str">
            <v xml:space="preserve">Nemuru Grand Bhuvana Ciawi - 4.0 Stars  - </v>
          </cell>
          <cell r="N443" t="str">
            <v>SOF REN SIS KELIST</v>
          </cell>
          <cell r="O443">
            <v>7412112</v>
          </cell>
          <cell r="P443" t="str">
            <v>21/08/2025 14:00:00 - 22/08/2025 12:00:00</v>
          </cell>
          <cell r="Q443">
            <v>976500</v>
          </cell>
        </row>
        <row r="444">
          <cell r="A444">
            <v>1278173222</v>
          </cell>
          <cell r="B444" t="str">
            <v>8812188ZY</v>
          </cell>
          <cell r="C444" t="str">
            <v>JULYANZAH PERDANA PUTRA</v>
          </cell>
          <cell r="D444">
            <v>88128002</v>
          </cell>
          <cell r="E444">
            <v>4120177305</v>
          </cell>
          <cell r="F444">
            <v>54</v>
          </cell>
          <cell r="G444" t="str">
            <v>Perjalanan Dinas Non-Diklat</v>
          </cell>
          <cell r="H444" t="str">
            <v>Kota Makassar - Kota Bogor</v>
          </cell>
          <cell r="I444" t="str">
            <v>18/08/2025 - 22/08/2025</v>
          </cell>
          <cell r="J444">
            <v>5</v>
          </cell>
          <cell r="K444" t="str">
            <v>Hotel</v>
          </cell>
          <cell r="L444" t="str">
            <v>19-08-2025 14:44:19</v>
          </cell>
          <cell r="M444" t="str">
            <v xml:space="preserve">Nemuru Grand Bhuvana Ciawi - 4.0 Stars  - </v>
          </cell>
          <cell r="N444" t="str">
            <v>SOF REN SIS KELIST</v>
          </cell>
          <cell r="O444">
            <v>7412112</v>
          </cell>
          <cell r="P444" t="str">
            <v>20/08/2025 14:00:00 - 21/08/2025 12:00:00</v>
          </cell>
          <cell r="Q444">
            <v>959040</v>
          </cell>
        </row>
        <row r="445">
          <cell r="A445">
            <v>1278216062</v>
          </cell>
          <cell r="B445" t="str">
            <v>7095015F</v>
          </cell>
          <cell r="C445" t="str">
            <v xml:space="preserve">EDYANSYAH </v>
          </cell>
          <cell r="D445">
            <v>70957602</v>
          </cell>
          <cell r="E445">
            <v>4120177293</v>
          </cell>
          <cell r="F445">
            <v>54</v>
          </cell>
          <cell r="G445" t="str">
            <v>Perjalanan Dinas Non-Diklat</v>
          </cell>
          <cell r="H445" t="str">
            <v>Kota Makassar - Kab. Kolaka Utara</v>
          </cell>
          <cell r="I445" t="str">
            <v>25/08/2025 - 28/08/2025</v>
          </cell>
          <cell r="J445">
            <v>4</v>
          </cell>
          <cell r="K445" t="str">
            <v>Hotel</v>
          </cell>
          <cell r="L445" t="str">
            <v>19-08-2025 17:42:37</v>
          </cell>
          <cell r="M445" t="str">
            <v xml:space="preserve">CLARO Kendari - 4.0 Stars  - </v>
          </cell>
          <cell r="N445" t="str">
            <v>GM</v>
          </cell>
          <cell r="O445">
            <v>7412000</v>
          </cell>
          <cell r="P445" t="str">
            <v>25/08/2025 14:00:00 - 26/08/2025 12:00:00</v>
          </cell>
          <cell r="Q445">
            <v>1150000</v>
          </cell>
        </row>
        <row r="446">
          <cell r="A446">
            <v>1278778000</v>
          </cell>
          <cell r="B446" t="str">
            <v>7095015F</v>
          </cell>
          <cell r="C446" t="str">
            <v>EDYANSYAH</v>
          </cell>
          <cell r="D446">
            <v>70957602</v>
          </cell>
          <cell r="E446">
            <v>4120177293</v>
          </cell>
          <cell r="F446">
            <v>54</v>
          </cell>
          <cell r="G446" t="str">
            <v>Perjalanan Dinas Non-Diklat</v>
          </cell>
          <cell r="H446" t="str">
            <v>KotaMakassar-Kab.KolakaUtara</v>
          </cell>
          <cell r="I446" t="str">
            <v>25/08/2025 - 28/08/2025</v>
          </cell>
          <cell r="J446">
            <v>4</v>
          </cell>
          <cell r="K446" t="str">
            <v>Flight One Way</v>
          </cell>
          <cell r="L446" t="str">
            <v>21-08-2025 22:52:26</v>
          </cell>
          <cell r="M446" t="str">
            <v>Wings Air  KXB Sangia Nibandera IW-1207 - Wings Air Domestic UPG Hasanuddin IW-1207</v>
          </cell>
          <cell r="N446" t="str">
            <v>GM</v>
          </cell>
          <cell r="O446">
            <v>7412000</v>
          </cell>
          <cell r="P446" t="str">
            <v>28/08/2025 08:30:00 - 28/08/2025 09:25:00</v>
          </cell>
          <cell r="Q446">
            <v>1315800</v>
          </cell>
        </row>
        <row r="447">
          <cell r="A447">
            <v>1278312041</v>
          </cell>
          <cell r="B447" t="str">
            <v>7095015F</v>
          </cell>
          <cell r="C447" t="str">
            <v xml:space="preserve">EDYANSYAH </v>
          </cell>
          <cell r="D447">
            <v>70957602</v>
          </cell>
          <cell r="E447">
            <v>4120177293</v>
          </cell>
          <cell r="F447">
            <v>54</v>
          </cell>
          <cell r="G447" t="str">
            <v>Perjalanan Dinas Non-Diklat</v>
          </cell>
          <cell r="H447" t="str">
            <v>Kota Makassar - Kab. Kolaka Utara</v>
          </cell>
          <cell r="I447" t="str">
            <v>25/08/2025 - 28/08/2025</v>
          </cell>
          <cell r="J447">
            <v>4</v>
          </cell>
          <cell r="K447" t="str">
            <v>Flight One Way</v>
          </cell>
          <cell r="L447" t="str">
            <v>20-08-2025 06:39:08</v>
          </cell>
          <cell r="M447" t="str">
            <v>Garuda Indonesia Domestic UPG Hasanuddin GA-604 - Garuda Indonesia  KDI Haluoleo GA-604</v>
          </cell>
          <cell r="N447" t="str">
            <v>GM</v>
          </cell>
          <cell r="O447">
            <v>7412000</v>
          </cell>
          <cell r="P447" t="str">
            <v>25/08/2025 07:25:00 - 25/08/2025 08:25:00</v>
          </cell>
          <cell r="Q447">
            <v>865800</v>
          </cell>
        </row>
        <row r="448">
          <cell r="A448">
            <v>1278216667</v>
          </cell>
          <cell r="B448" t="str">
            <v>7095015F</v>
          </cell>
          <cell r="C448" t="str">
            <v xml:space="preserve">EDYANSYAH </v>
          </cell>
          <cell r="D448">
            <v>70957602</v>
          </cell>
          <cell r="E448">
            <v>4120177293</v>
          </cell>
          <cell r="F448">
            <v>54</v>
          </cell>
          <cell r="G448" t="str">
            <v>Perjalanan Dinas Non-Diklat</v>
          </cell>
          <cell r="H448" t="str">
            <v>Kota Makassar - Kab. Kolaka Utara</v>
          </cell>
          <cell r="I448" t="str">
            <v>25/08/2025 - 28/08/2025</v>
          </cell>
          <cell r="J448">
            <v>4</v>
          </cell>
          <cell r="K448" t="str">
            <v>Hotel</v>
          </cell>
          <cell r="L448" t="str">
            <v>19-08-2025 17:45:15</v>
          </cell>
          <cell r="M448" t="str">
            <v xml:space="preserve">Sutan Raja Hotel &amp; Convention Centre Kolaka - 4.0 Stars  - </v>
          </cell>
          <cell r="N448" t="str">
            <v>GM</v>
          </cell>
          <cell r="O448">
            <v>7412000</v>
          </cell>
          <cell r="P448" t="str">
            <v>26/08/2025 14:00:00 - 28/08/2025 12:00:00</v>
          </cell>
          <cell r="Q448">
            <v>1989000</v>
          </cell>
        </row>
        <row r="449">
          <cell r="A449">
            <v>1278225921</v>
          </cell>
          <cell r="B449" t="str">
            <v>7802014F</v>
          </cell>
          <cell r="C449" t="str">
            <v>MUHAMMAD ISMAIL</v>
          </cell>
          <cell r="D449">
            <v>78027603</v>
          </cell>
          <cell r="E449">
            <v>4120177292</v>
          </cell>
          <cell r="F449">
            <v>54</v>
          </cell>
          <cell r="G449" t="str">
            <v>Perjalanan Dinas Non-Diklat</v>
          </cell>
          <cell r="H449" t="str">
            <v>Kota Makassar - Kota Bandung</v>
          </cell>
          <cell r="I449" t="str">
            <v>20/08/2025 - 23/08/2025</v>
          </cell>
          <cell r="J449">
            <v>4</v>
          </cell>
          <cell r="K449" t="str">
            <v>Flight One Way</v>
          </cell>
          <cell r="L449" t="str">
            <v>19-08-2025 18:27:22</v>
          </cell>
          <cell r="M449" t="str">
            <v>Garuda Indonesia Domestic UPG Hasanuddin GA-617 - Garuda Indonesia  CGK Soekarno Hatta International Airport GA-617</v>
          </cell>
          <cell r="N449" t="str">
            <v>MAN IPP DAN EXCESS POWER</v>
          </cell>
          <cell r="O449">
            <v>7412110</v>
          </cell>
          <cell r="P449" t="str">
            <v>20/08/2025 07:15:00 - 20/08/2025 08:45:00</v>
          </cell>
          <cell r="Q449">
            <v>2348900</v>
          </cell>
        </row>
        <row r="450">
          <cell r="A450">
            <v>1278991756</v>
          </cell>
          <cell r="B450" t="str">
            <v>7802014F</v>
          </cell>
          <cell r="C450" t="str">
            <v>MUHAMMAD ISMAIL</v>
          </cell>
          <cell r="D450">
            <v>78027603</v>
          </cell>
          <cell r="E450">
            <v>4120177292</v>
          </cell>
          <cell r="F450">
            <v>54</v>
          </cell>
          <cell r="G450" t="str">
            <v>Perjalanan Dinas Non-Diklat</v>
          </cell>
          <cell r="H450" t="str">
            <v>KotaMakassar-KotaBandung</v>
          </cell>
          <cell r="I450" t="str">
            <v>20/08/2025 - 23/08/2025</v>
          </cell>
          <cell r="J450">
            <v>4</v>
          </cell>
          <cell r="K450" t="str">
            <v>Hotel</v>
          </cell>
          <cell r="L450" t="str">
            <v>22-08-2025 20:08:28</v>
          </cell>
          <cell r="M450" t="str">
            <v xml:space="preserve">ibis budget Jakarta Airport - 2.0 Stars  - </v>
          </cell>
          <cell r="N450" t="str">
            <v>MAN IPP DAN EXCESS POWER</v>
          </cell>
          <cell r="O450">
            <v>7412110</v>
          </cell>
          <cell r="P450" t="str">
            <v>22/08/2025 14:00:00 - 23/08/2025 12:00:00</v>
          </cell>
          <cell r="Q450">
            <v>681450</v>
          </cell>
        </row>
        <row r="451">
          <cell r="A451">
            <v>1278987317</v>
          </cell>
          <cell r="B451" t="str">
            <v>7802014F</v>
          </cell>
          <cell r="C451" t="str">
            <v>MUHAMMAD ISMAIL</v>
          </cell>
          <cell r="D451">
            <v>78027603</v>
          </cell>
          <cell r="E451">
            <v>4120177292</v>
          </cell>
          <cell r="F451">
            <v>54</v>
          </cell>
          <cell r="G451" t="str">
            <v>Perjalanan Dinas Non-Diklat</v>
          </cell>
          <cell r="H451" t="str">
            <v>KotaMakassar-KotaBandung</v>
          </cell>
          <cell r="I451" t="str">
            <v>20/08/2025 - 23/08/2025</v>
          </cell>
          <cell r="J451">
            <v>4</v>
          </cell>
          <cell r="K451" t="str">
            <v>Flight One Way</v>
          </cell>
          <cell r="L451" t="str">
            <v>22-08-2025 19:49:55</v>
          </cell>
          <cell r="M451" t="str">
            <v>Garuda Indonesia  CGK Soekarno Hatta International Airport GA-610 - Garuda Indonesia Domestic UPG Hasanuddin GA-610</v>
          </cell>
          <cell r="N451" t="str">
            <v>MAN IPP DAN EXCESS POWER</v>
          </cell>
          <cell r="O451">
            <v>7412110</v>
          </cell>
          <cell r="P451" t="str">
            <v>23/08/2025 06:55:00 - 23/08/2025 10:30:00</v>
          </cell>
          <cell r="Q451">
            <v>1794600</v>
          </cell>
        </row>
        <row r="452">
          <cell r="A452">
            <v>1278986157</v>
          </cell>
          <cell r="B452" t="str">
            <v>7802014F</v>
          </cell>
          <cell r="C452" t="str">
            <v>MUHAMMAD ISMAIL</v>
          </cell>
          <cell r="D452">
            <v>78027603</v>
          </cell>
          <cell r="E452">
            <v>4120177292</v>
          </cell>
          <cell r="F452">
            <v>54</v>
          </cell>
          <cell r="G452" t="str">
            <v>Perjalanan Dinas Non-Diklat</v>
          </cell>
          <cell r="H452" t="str">
            <v>KotaMakassar-KotaBandung</v>
          </cell>
          <cell r="I452" t="str">
            <v>20/08/2025 - 23/08/2025</v>
          </cell>
          <cell r="J452">
            <v>4</v>
          </cell>
          <cell r="K452" t="str">
            <v>Hotel</v>
          </cell>
          <cell r="L452" t="str">
            <v>22-08-2025 19:45:16</v>
          </cell>
          <cell r="M452" t="str">
            <v>ibis budget Jakarta Airport - 2.0 Stars  - Standard 1 Double And 1 Bunk Bed</v>
          </cell>
          <cell r="N452" t="str">
            <v>MAN IPP DAN EXCESS POWER</v>
          </cell>
          <cell r="O452">
            <v>7412110</v>
          </cell>
          <cell r="P452" t="str">
            <v>22/08/2025 14:00:00 - 23/08/2025 12:00:00</v>
          </cell>
          <cell r="Q452">
            <v>681450</v>
          </cell>
        </row>
        <row r="453">
          <cell r="A453">
            <v>1278497839</v>
          </cell>
          <cell r="B453" t="str">
            <v>7802014F</v>
          </cell>
          <cell r="C453" t="str">
            <v>MUHAMMAD ISMAIL</v>
          </cell>
          <cell r="D453">
            <v>78027603</v>
          </cell>
          <cell r="E453">
            <v>4120177292</v>
          </cell>
          <cell r="F453">
            <v>54</v>
          </cell>
          <cell r="G453" t="str">
            <v>Perjalanan Dinas Non-Diklat</v>
          </cell>
          <cell r="H453" t="str">
            <v>Kota Makassar - Kota Bandung</v>
          </cell>
          <cell r="I453" t="str">
            <v>20/08/2025 - 23/08/2025</v>
          </cell>
          <cell r="J453">
            <v>4</v>
          </cell>
          <cell r="K453" t="str">
            <v>Hotel</v>
          </cell>
          <cell r="L453" t="str">
            <v>20-08-2025 20:24:51</v>
          </cell>
          <cell r="M453" t="str">
            <v xml:space="preserve">Kimaya Braga Bandung by Harris - 4.0 Stars  - </v>
          </cell>
          <cell r="N453" t="str">
            <v>MAN IPP DAN EXCESS POWER</v>
          </cell>
          <cell r="O453">
            <v>7412110</v>
          </cell>
          <cell r="P453" t="str">
            <v>20/08/2025 14:00:00 - 22/08/2025 12:00:00</v>
          </cell>
          <cell r="Q453">
            <v>1700000</v>
          </cell>
        </row>
        <row r="454">
          <cell r="A454">
            <v>1278083781</v>
          </cell>
          <cell r="B454" t="str">
            <v>7806084Z</v>
          </cell>
          <cell r="C454" t="str">
            <v>RACHMAT NUR</v>
          </cell>
          <cell r="D454">
            <v>78068001</v>
          </cell>
          <cell r="E454">
            <v>4120177283</v>
          </cell>
          <cell r="F454">
            <v>54</v>
          </cell>
          <cell r="G454" t="str">
            <v>Perjalanan Dinas Non-Diklat</v>
          </cell>
          <cell r="H454" t="str">
            <v>Kota Makassar - Jakarta Selatan</v>
          </cell>
          <cell r="I454" t="str">
            <v>19/08/2025 - 20/08/2025</v>
          </cell>
          <cell r="J454">
            <v>2</v>
          </cell>
          <cell r="K454" t="str">
            <v>Hotel</v>
          </cell>
          <cell r="L454" t="str">
            <v>19-08-2025 08:30:27</v>
          </cell>
          <cell r="M454" t="str">
            <v xml:space="preserve">favehotel Melawai - 2.0 Stars  - </v>
          </cell>
          <cell r="N454" t="str">
            <v>MAN KIT</v>
          </cell>
          <cell r="O454">
            <v>7412000</v>
          </cell>
          <cell r="P454" t="str">
            <v>19/08/2025 14:00:00 - 20/08/2025 12:00:00</v>
          </cell>
          <cell r="Q454">
            <v>628304</v>
          </cell>
        </row>
        <row r="455">
          <cell r="A455">
            <v>1278387242</v>
          </cell>
          <cell r="B455" t="str">
            <v>7806084Z</v>
          </cell>
          <cell r="C455" t="str">
            <v>RACHMAT NUR</v>
          </cell>
          <cell r="D455">
            <v>78068001</v>
          </cell>
          <cell r="E455">
            <v>4120177283</v>
          </cell>
          <cell r="F455">
            <v>54</v>
          </cell>
          <cell r="G455" t="str">
            <v>Perjalanan Dinas Non-Diklat</v>
          </cell>
          <cell r="H455" t="str">
            <v>Kota Makassar - Jakarta Selatan</v>
          </cell>
          <cell r="I455" t="str">
            <v>19/08/2025 - 20/08/2025</v>
          </cell>
          <cell r="J455">
            <v>2</v>
          </cell>
          <cell r="K455" t="str">
            <v>Flight One Way</v>
          </cell>
          <cell r="L455" t="str">
            <v>20-08-2025 12:45:42</v>
          </cell>
          <cell r="M455" t="str">
            <v>Garuda Indonesia  CGK Soekarno Hatta International Airport GA-616 - Garuda Indonesia Domestic UPG Hasanuddin GA-616</v>
          </cell>
          <cell r="N455" t="str">
            <v>MAN KIT</v>
          </cell>
          <cell r="O455">
            <v>7412000</v>
          </cell>
          <cell r="P455" t="str">
            <v>20/08/2025 16:45:00 - 20/08/2025 20:20:00</v>
          </cell>
          <cell r="Q455">
            <v>2397800</v>
          </cell>
        </row>
        <row r="456">
          <cell r="A456">
            <v>1277998657</v>
          </cell>
          <cell r="B456" t="str">
            <v>7806084Z</v>
          </cell>
          <cell r="C456" t="str">
            <v>RACHMAT NUR</v>
          </cell>
          <cell r="D456">
            <v>78068001</v>
          </cell>
          <cell r="E456">
            <v>4120177283</v>
          </cell>
          <cell r="F456">
            <v>54</v>
          </cell>
          <cell r="G456" t="str">
            <v>Perjalanan Dinas Non-Diklat</v>
          </cell>
          <cell r="H456" t="str">
            <v>Kota Makassar - Jakarta Selatan</v>
          </cell>
          <cell r="I456" t="str">
            <v>19/08/2025 - 20/08/2025</v>
          </cell>
          <cell r="J456">
            <v>2</v>
          </cell>
          <cell r="K456" t="str">
            <v>Flight One Way</v>
          </cell>
          <cell r="L456" t="str">
            <v>18-08-2025 19:10:00</v>
          </cell>
          <cell r="M456" t="str">
            <v>Garuda Indonesia Domestic UPG Hasanuddin GA-609 - Garuda Indonesia  CGK Soekarno Hatta International Airport GA-609</v>
          </cell>
          <cell r="N456" t="str">
            <v>MAN KIT</v>
          </cell>
          <cell r="O456">
            <v>7412000</v>
          </cell>
          <cell r="P456" t="str">
            <v>19/08/2025 18:05:00 - 19/08/2025 19:30:00</v>
          </cell>
          <cell r="Q456">
            <v>1751500</v>
          </cell>
        </row>
        <row r="457">
          <cell r="A457">
            <v>1278275513</v>
          </cell>
          <cell r="B457" t="str">
            <v>8007053Z</v>
          </cell>
          <cell r="C457" t="str">
            <v>DALMASIUS NUGROHO ADI PUTRANTO</v>
          </cell>
          <cell r="D457">
            <v>80077601</v>
          </cell>
          <cell r="E457">
            <v>4120177281</v>
          </cell>
          <cell r="F457">
            <v>54</v>
          </cell>
          <cell r="G457" t="str">
            <v>Perjalanan Dinas Non-Diklat</v>
          </cell>
          <cell r="H457" t="str">
            <v>Kota Makassar - Kota Bogor</v>
          </cell>
          <cell r="I457" t="str">
            <v>18/08/2025 - 22/08/2025</v>
          </cell>
          <cell r="J457">
            <v>5</v>
          </cell>
          <cell r="K457" t="str">
            <v>Hotel</v>
          </cell>
          <cell r="L457" t="str">
            <v>19-08-2025 22:00:16</v>
          </cell>
          <cell r="M457" t="str">
            <v xml:space="preserve">Nemuru Grand Bhuvana Ciawi - 4.0 Stars  - </v>
          </cell>
          <cell r="N457" t="str">
            <v>MAN REN SIS KELIST</v>
          </cell>
          <cell r="O457">
            <v>7412112</v>
          </cell>
          <cell r="P457" t="str">
            <v>20/08/2025 14:00:00 - 21/08/2025 12:00:00</v>
          </cell>
          <cell r="Q457">
            <v>646250</v>
          </cell>
        </row>
        <row r="458">
          <cell r="A458">
            <v>1278913851</v>
          </cell>
          <cell r="B458" t="str">
            <v>8007053Z</v>
          </cell>
          <cell r="C458" t="str">
            <v>DALMASIUS NUGROHO ADI PUTRANTO</v>
          </cell>
          <cell r="D458">
            <v>80077601</v>
          </cell>
          <cell r="E458">
            <v>4120177281</v>
          </cell>
          <cell r="F458">
            <v>54</v>
          </cell>
          <cell r="G458" t="str">
            <v>Perjalanan Dinas Non-Diklat</v>
          </cell>
          <cell r="H458" t="str">
            <v>KotaMakassar-KotaBogor</v>
          </cell>
          <cell r="I458" t="str">
            <v>18/08/2025 - 22/08/2025</v>
          </cell>
          <cell r="J458">
            <v>5</v>
          </cell>
          <cell r="K458" t="str">
            <v>Flight One Way</v>
          </cell>
          <cell r="L458" t="str">
            <v>22-08-2025 14:48:22</v>
          </cell>
          <cell r="M458" t="str">
            <v>Garuda Indonesia  CGK Soekarno Hatta International Airport GA-618 - Garuda Indonesia Domestic UPG Hasanuddin GA-618</v>
          </cell>
          <cell r="N458" t="str">
            <v>MAN REN SIS KELIST</v>
          </cell>
          <cell r="O458">
            <v>7412112</v>
          </cell>
          <cell r="P458" t="str">
            <v>22/08/2025 20:15:00 - 22/08/2025 23:50:00</v>
          </cell>
          <cell r="Q458">
            <v>1619800</v>
          </cell>
        </row>
        <row r="459">
          <cell r="A459">
            <v>1278687971</v>
          </cell>
          <cell r="B459" t="str">
            <v>8007053Z</v>
          </cell>
          <cell r="C459" t="str">
            <v>DALMASIUS NUGROHO ADI PUTRANTO</v>
          </cell>
          <cell r="D459">
            <v>80077601</v>
          </cell>
          <cell r="E459">
            <v>4120177281</v>
          </cell>
          <cell r="F459">
            <v>54</v>
          </cell>
          <cell r="G459" t="str">
            <v>Perjalanan Dinas Non-Diklat</v>
          </cell>
          <cell r="H459" t="str">
            <v>KotaMakassar-KotaBogor</v>
          </cell>
          <cell r="I459" t="str">
            <v>18/08/2025 - 22/08/2025</v>
          </cell>
          <cell r="J459">
            <v>5</v>
          </cell>
          <cell r="K459" t="str">
            <v>Hotel</v>
          </cell>
          <cell r="L459" t="str">
            <v>21-08-2025 16:23:00</v>
          </cell>
          <cell r="M459" t="str">
            <v xml:space="preserve">Grand Dafam Braga Bandung - 4.0 Stars  - </v>
          </cell>
          <cell r="N459" t="str">
            <v>MAN REN SIS KELIST</v>
          </cell>
          <cell r="O459">
            <v>7412112</v>
          </cell>
          <cell r="P459" t="str">
            <v>21/08/2025 14:00:00 - 22/08/2025 12:00:00</v>
          </cell>
          <cell r="Q459">
            <v>1377500</v>
          </cell>
        </row>
        <row r="460">
          <cell r="A460">
            <v>1277867687</v>
          </cell>
          <cell r="B460" t="str">
            <v>8007053Z</v>
          </cell>
          <cell r="C460" t="str">
            <v>DALMASIUS NUGROHO ADI PUTRANTO</v>
          </cell>
          <cell r="D460">
            <v>80077601</v>
          </cell>
          <cell r="E460">
            <v>4120177281</v>
          </cell>
          <cell r="F460">
            <v>54</v>
          </cell>
          <cell r="G460" t="str">
            <v>Perjalanan Dinas Non-Diklat</v>
          </cell>
          <cell r="H460" t="str">
            <v>Kota Makassar - Kota Bogor</v>
          </cell>
          <cell r="I460" t="str">
            <v>18/08/2025 - 22/08/2025</v>
          </cell>
          <cell r="J460">
            <v>5</v>
          </cell>
          <cell r="K460" t="str">
            <v>Hotel</v>
          </cell>
          <cell r="L460" t="str">
            <v>18-08-2025 09:44:41</v>
          </cell>
          <cell r="M460" t="str">
            <v xml:space="preserve">Nemuru Grand Bhuvana Ciawi - 4.0 Stars  - </v>
          </cell>
          <cell r="N460" t="str">
            <v>MAN REN SIS KELIST</v>
          </cell>
          <cell r="O460">
            <v>7412112</v>
          </cell>
          <cell r="P460" t="str">
            <v>18/08/2025 14:00:00 - 20/08/2025 12:00:00</v>
          </cell>
          <cell r="Q460">
            <v>1292500</v>
          </cell>
        </row>
        <row r="461">
          <cell r="A461">
            <v>1277934829</v>
          </cell>
          <cell r="B461" t="str">
            <v>9213081FY</v>
          </cell>
          <cell r="C461" t="str">
            <v>KRESKY YULIANTO</v>
          </cell>
          <cell r="D461">
            <v>96137676</v>
          </cell>
          <cell r="E461">
            <v>4120177251</v>
          </cell>
          <cell r="F461">
            <v>54</v>
          </cell>
          <cell r="G461" t="str">
            <v>Perjalanan Dinas Non-Diklat</v>
          </cell>
          <cell r="H461" t="str">
            <v>Kota Makassar - Kab. Mamuju</v>
          </cell>
          <cell r="I461" t="str">
            <v>18/08/2025 - 22/08/2025</v>
          </cell>
          <cell r="J461">
            <v>5</v>
          </cell>
          <cell r="K461" t="str">
            <v>Hotel</v>
          </cell>
          <cell r="L461" t="str">
            <v>18-08-2025 14:13:11</v>
          </cell>
          <cell r="M461" t="str">
            <v xml:space="preserve">Aflah Hotel - 0.0 Stars  - </v>
          </cell>
          <cell r="N461" t="str">
            <v>TC HAR ELEKTRO</v>
          </cell>
          <cell r="O461">
            <v>7412340</v>
          </cell>
          <cell r="P461" t="str">
            <v>18/08/2025 14:00:00 - 20/08/2025 12:00:00</v>
          </cell>
          <cell r="Q461">
            <v>1500000</v>
          </cell>
        </row>
        <row r="462">
          <cell r="A462">
            <v>1278391575</v>
          </cell>
          <cell r="B462" t="str">
            <v>8710691Z</v>
          </cell>
          <cell r="C462" t="str">
            <v>AHMAD AMIRUL SYARIF</v>
          </cell>
          <cell r="D462">
            <v>87108002</v>
          </cell>
          <cell r="E462">
            <v>4120177272</v>
          </cell>
          <cell r="F462">
            <v>54</v>
          </cell>
          <cell r="G462" t="str">
            <v>Perjalanan Dinas Non-Diklat</v>
          </cell>
          <cell r="H462" t="str">
            <v>Kota Makassar - Jakarta Pusat</v>
          </cell>
          <cell r="I462" t="str">
            <v>19/08/2025 - 21/08/2025</v>
          </cell>
          <cell r="J462">
            <v>3</v>
          </cell>
          <cell r="K462" t="str">
            <v>Flight One Way</v>
          </cell>
          <cell r="L462" t="str">
            <v>20-08-2025 13:03:20</v>
          </cell>
          <cell r="M462" t="str">
            <v>Citilink  CGK Soekarno Hatta International Airport QG-426 - Citilink Domestic UPG Hasanuddin QG-426</v>
          </cell>
          <cell r="N462" t="str">
            <v>MAN KOM DAN TJSL</v>
          </cell>
          <cell r="O462">
            <v>7412163</v>
          </cell>
          <cell r="P462" t="str">
            <v>20/08/2025 16:55:00 - 20/08/2025 20:20:00</v>
          </cell>
          <cell r="Q462">
            <v>1545300</v>
          </cell>
        </row>
        <row r="463">
          <cell r="A463">
            <v>1278088200</v>
          </cell>
          <cell r="B463" t="str">
            <v>8710691Z</v>
          </cell>
          <cell r="C463" t="str">
            <v>AHMAD AMIRUL SYARIF</v>
          </cell>
          <cell r="D463">
            <v>87108002</v>
          </cell>
          <cell r="E463">
            <v>4120177272</v>
          </cell>
          <cell r="F463">
            <v>54</v>
          </cell>
          <cell r="G463" t="str">
            <v>Perjalanan Dinas Non-Diklat</v>
          </cell>
          <cell r="H463" t="str">
            <v>Kota Makassar - Jakarta Pusat</v>
          </cell>
          <cell r="I463" t="str">
            <v>19/08/2025 - 21/08/2025</v>
          </cell>
          <cell r="J463">
            <v>3</v>
          </cell>
          <cell r="K463" t="str">
            <v>Hotel</v>
          </cell>
          <cell r="L463" t="str">
            <v>19-08-2025 08:54:59</v>
          </cell>
          <cell r="M463" t="str">
            <v xml:space="preserve">ARTOTEL Gelora Senayan Jakarta - 4.0 Stars  - </v>
          </cell>
          <cell r="N463" t="str">
            <v>MAN KOM DAN TJSL</v>
          </cell>
          <cell r="O463">
            <v>7412163</v>
          </cell>
          <cell r="P463" t="str">
            <v>19/08/2025 14:00:00 - 20/08/2025 12:00:00</v>
          </cell>
          <cell r="Q463">
            <v>1295641</v>
          </cell>
        </row>
        <row r="464">
          <cell r="A464">
            <v>1277518512</v>
          </cell>
          <cell r="B464" t="str">
            <v>8710691Z</v>
          </cell>
          <cell r="C464" t="str">
            <v>AHMAD AMIRUL SYARIF</v>
          </cell>
          <cell r="D464">
            <v>87108002</v>
          </cell>
          <cell r="E464">
            <v>4120177272</v>
          </cell>
          <cell r="F464">
            <v>54</v>
          </cell>
          <cell r="G464" t="str">
            <v>Perjalanan Dinas Non-Diklat</v>
          </cell>
          <cell r="H464" t="str">
            <v>Kota Makassar - Jakarta Pusat</v>
          </cell>
          <cell r="I464" t="str">
            <v>19/08/2025 - 21/08/2025</v>
          </cell>
          <cell r="J464">
            <v>3</v>
          </cell>
          <cell r="K464" t="str">
            <v>Flight One Way</v>
          </cell>
          <cell r="L464" t="str">
            <v>16-08-2025 17:02:39</v>
          </cell>
          <cell r="M464" t="str">
            <v>Garuda Indonesia Domestic UPG Hasanuddin GA-609 - Garuda Indonesia  CGK Soekarno Hatta International Airport GA-609</v>
          </cell>
          <cell r="N464" t="str">
            <v>MAN KOM DAN TJSL</v>
          </cell>
          <cell r="O464">
            <v>7412163</v>
          </cell>
          <cell r="P464" t="str">
            <v>19/08/2025 18:05:00 - 19/08/2025 19:30:00</v>
          </cell>
          <cell r="Q464">
            <v>1578600</v>
          </cell>
        </row>
        <row r="465">
          <cell r="A465">
            <v>1277862931</v>
          </cell>
          <cell r="B465" t="str">
            <v>7904006F</v>
          </cell>
          <cell r="C465" t="str">
            <v>YULI ASHANIAIS RAMADANI</v>
          </cell>
          <cell r="D465">
            <v>79047601</v>
          </cell>
          <cell r="E465">
            <v>4120177270</v>
          </cell>
          <cell r="F465">
            <v>54</v>
          </cell>
          <cell r="G465" t="str">
            <v>Perjalanan Dinas Non-Diklat</v>
          </cell>
          <cell r="H465" t="str">
            <v>Kota Makassar - Jakarta Pusat</v>
          </cell>
          <cell r="I465" t="str">
            <v>18/08/2025 - 20/08/2025</v>
          </cell>
          <cell r="J465">
            <v>3</v>
          </cell>
          <cell r="K465" t="str">
            <v>Hotel</v>
          </cell>
          <cell r="L465" t="str">
            <v>18-08-2025 09:24:27</v>
          </cell>
          <cell r="M465" t="str">
            <v xml:space="preserve">Ashley Wahid Hasyim Jakarta - 4.0 Stars  - </v>
          </cell>
          <cell r="N465" t="str">
            <v>SM AGA DAN MANJ GAN</v>
          </cell>
          <cell r="O465">
            <v>7411140</v>
          </cell>
          <cell r="P465" t="str">
            <v>18/08/2025 14:00:00 - 20/08/2025 12:00:00</v>
          </cell>
          <cell r="Q465">
            <v>3105320</v>
          </cell>
        </row>
        <row r="466">
          <cell r="A466">
            <v>1277561412</v>
          </cell>
          <cell r="B466" t="str">
            <v>7904006F</v>
          </cell>
          <cell r="C466" t="str">
            <v>YULI ASHANIAIS RAMADANI</v>
          </cell>
          <cell r="D466">
            <v>79047601</v>
          </cell>
          <cell r="E466">
            <v>4120177270</v>
          </cell>
          <cell r="F466">
            <v>54</v>
          </cell>
          <cell r="G466" t="str">
            <v>Perjalanan Dinas Non-Diklat</v>
          </cell>
          <cell r="H466" t="str">
            <v>Kota Makassar - Jakarta Pusat</v>
          </cell>
          <cell r="I466" t="str">
            <v>18/08/2025 - 20/08/2025</v>
          </cell>
          <cell r="J466">
            <v>3</v>
          </cell>
          <cell r="K466" t="str">
            <v>Flight One Way</v>
          </cell>
          <cell r="L466" t="str">
            <v>16-08-2025 20:24:49</v>
          </cell>
          <cell r="M466" t="str">
            <v>Garuda Indonesia Domestic UPG Hasanuddin GA-605 - Garuda Indonesia  CGK Soekarno Hatta International Airport GA-605</v>
          </cell>
          <cell r="N466" t="str">
            <v>SM AGA DAN MANJ GAN</v>
          </cell>
          <cell r="O466">
            <v>7411140</v>
          </cell>
          <cell r="P466" t="str">
            <v>18/08/2025 10:55:00 - 18/08/2025 12:25:00</v>
          </cell>
          <cell r="Q466">
            <v>2353400</v>
          </cell>
        </row>
        <row r="467">
          <cell r="A467">
            <v>1277512031</v>
          </cell>
          <cell r="B467" t="str">
            <v>8714012ZY</v>
          </cell>
          <cell r="C467" t="str">
            <v>AGUS PUTRA ABBAS</v>
          </cell>
          <cell r="D467">
            <v>87147800</v>
          </cell>
          <cell r="E467">
            <v>4120177259</v>
          </cell>
          <cell r="F467">
            <v>54</v>
          </cell>
          <cell r="G467" t="str">
            <v>Perjalanan Dinas Non-Diklat</v>
          </cell>
          <cell r="H467" t="str">
            <v>Kota Makassar - Kab. Luwu Timur</v>
          </cell>
          <cell r="I467" t="str">
            <v>19/08/2025 - 23/08/2025</v>
          </cell>
          <cell r="J467">
            <v>5</v>
          </cell>
          <cell r="K467" t="str">
            <v>Flight Round-Trip</v>
          </cell>
          <cell r="L467" t="str">
            <v>16-08-2025 16:31:49</v>
          </cell>
          <cell r="M467" t="str">
            <v>Wings Air Domestic UPG Hasanuddin IW-1350 - Wings Air  LLO Lagaligo Airport IW-1350</v>
          </cell>
          <cell r="N467" t="str">
            <v>SOF IPP DAN EXCESS POWER</v>
          </cell>
          <cell r="O467">
            <v>7412110</v>
          </cell>
          <cell r="P467" t="str">
            <v>19/08/2025 08:10:00 - 19/08/2025 09:05:00</v>
          </cell>
          <cell r="Q467">
            <v>2810700</v>
          </cell>
        </row>
        <row r="468">
          <cell r="A468">
            <v>1278123026</v>
          </cell>
          <cell r="B468" t="str">
            <v>8714012ZY</v>
          </cell>
          <cell r="C468" t="str">
            <v>AGUS PUTRA ABBAS</v>
          </cell>
          <cell r="D468">
            <v>87147800</v>
          </cell>
          <cell r="E468">
            <v>4120177259</v>
          </cell>
          <cell r="F468">
            <v>54</v>
          </cell>
          <cell r="G468" t="str">
            <v>Perjalanan Dinas Non-Diklat</v>
          </cell>
          <cell r="H468" t="str">
            <v>Kota Makassar - Kab. Luwu Timur</v>
          </cell>
          <cell r="I468" t="str">
            <v>19/08/2025 - 23/08/2025</v>
          </cell>
          <cell r="J468">
            <v>5</v>
          </cell>
          <cell r="K468" t="str">
            <v>Hotel</v>
          </cell>
          <cell r="L468" t="str">
            <v>19-08-2025 11:24:02</v>
          </cell>
          <cell r="M468" t="str">
            <v xml:space="preserve">Lusiana Hotel &amp; Restauran Soroako Sorowako - 3.0 Stars  - </v>
          </cell>
          <cell r="N468" t="str">
            <v>SOF IPP DAN EXCESS POWER</v>
          </cell>
          <cell r="O468">
            <v>7412110</v>
          </cell>
          <cell r="P468" t="str">
            <v>19/08/2025 14:00:00 - 21/08/2025 12:00:00</v>
          </cell>
          <cell r="Q468">
            <v>1202971</v>
          </cell>
        </row>
        <row r="469">
          <cell r="A469">
            <v>1278333861</v>
          </cell>
          <cell r="B469" t="str">
            <v>8509300Z</v>
          </cell>
          <cell r="C469" t="str">
            <v>AGUS HARI WIBOWO</v>
          </cell>
          <cell r="D469">
            <v>85097602</v>
          </cell>
          <cell r="E469">
            <v>4120177263</v>
          </cell>
          <cell r="F469">
            <v>54</v>
          </cell>
          <cell r="G469" t="str">
            <v>Perjalanan Dinas Non-Diklat</v>
          </cell>
          <cell r="H469" t="str">
            <v>Kota Makassar - Kota Palopo</v>
          </cell>
          <cell r="I469" t="str">
            <v>19/08/2025 - 23/08/2025</v>
          </cell>
          <cell r="J469">
            <v>5</v>
          </cell>
          <cell r="K469" t="str">
            <v>Flight One Way</v>
          </cell>
          <cell r="L469" t="str">
            <v>20-08-2025 09:08:45</v>
          </cell>
          <cell r="M469" t="str">
            <v>Wings Air  LLO Lagaligo Airport IW-1351 - Wings Air Domestic UPG Hasanuddin IW-1351</v>
          </cell>
          <cell r="N469" t="str">
            <v>SOF REN SIS KELIST</v>
          </cell>
          <cell r="O469">
            <v>7412112</v>
          </cell>
          <cell r="P469" t="str">
            <v>23/08/2025 09:40:00 - 23/08/2025 10:35:00</v>
          </cell>
          <cell r="Q469">
            <v>1355400</v>
          </cell>
        </row>
        <row r="470">
          <cell r="A470">
            <v>1278122369</v>
          </cell>
          <cell r="B470" t="str">
            <v>8509300Z</v>
          </cell>
          <cell r="C470" t="str">
            <v>AGUS HARI WIBOWO</v>
          </cell>
          <cell r="D470">
            <v>85097602</v>
          </cell>
          <cell r="E470">
            <v>4120177263</v>
          </cell>
          <cell r="F470">
            <v>54</v>
          </cell>
          <cell r="G470" t="str">
            <v>Perjalanan Dinas Non-Diklat</v>
          </cell>
          <cell r="H470" t="str">
            <v>Kota Makassar - Kota Palopo</v>
          </cell>
          <cell r="I470" t="str">
            <v>19/08/2025 - 23/08/2025</v>
          </cell>
          <cell r="J470">
            <v>5</v>
          </cell>
          <cell r="K470" t="str">
            <v>Hotel</v>
          </cell>
          <cell r="L470" t="str">
            <v>19-08-2025 11:21:32</v>
          </cell>
          <cell r="M470" t="str">
            <v xml:space="preserve">Lusiana Hotel &amp; Restauran Soroako Sorowako - 3.0 Stars  - </v>
          </cell>
          <cell r="N470" t="str">
            <v>SOF REN SIS KELIST</v>
          </cell>
          <cell r="O470">
            <v>7412112</v>
          </cell>
          <cell r="P470" t="str">
            <v>19/08/2025 14:00:00 - 21/08/2025 12:00:00</v>
          </cell>
          <cell r="Q470">
            <v>1279531</v>
          </cell>
        </row>
        <row r="471">
          <cell r="A471">
            <v>1277695312</v>
          </cell>
          <cell r="B471" t="str">
            <v>8509300Z</v>
          </cell>
          <cell r="C471" t="str">
            <v>AGUS HARI WIBOWO</v>
          </cell>
          <cell r="D471">
            <v>85097602</v>
          </cell>
          <cell r="E471">
            <v>4120177263</v>
          </cell>
          <cell r="F471">
            <v>54</v>
          </cell>
          <cell r="G471" t="str">
            <v>Perjalanan Dinas Non-Diklat</v>
          </cell>
          <cell r="H471" t="str">
            <v>Kota Makassar - Kota Palopo</v>
          </cell>
          <cell r="I471" t="str">
            <v>19/08/2025 - 23/08/2025</v>
          </cell>
          <cell r="J471">
            <v>5</v>
          </cell>
          <cell r="K471" t="str">
            <v>Flight One Way</v>
          </cell>
          <cell r="L471" t="str">
            <v>17-08-2025 13:18:57</v>
          </cell>
          <cell r="M471" t="str">
            <v>Wings Air Domestic UPG Hasanuddin IW-1350 - Wings Air  LLO Lagaligo Airport IW-1350</v>
          </cell>
          <cell r="N471" t="str">
            <v>SOF REN SIS KELIST</v>
          </cell>
          <cell r="O471">
            <v>7412112</v>
          </cell>
          <cell r="P471" t="str">
            <v>19/08/2025 08:10:00 - 19/08/2025 09:05:00</v>
          </cell>
          <cell r="Q471">
            <v>1455300</v>
          </cell>
        </row>
        <row r="472">
          <cell r="A472">
            <v>1277477834</v>
          </cell>
          <cell r="B472" t="str">
            <v>7703070F</v>
          </cell>
          <cell r="C472" t="str">
            <v>ANDI DWI MULYANA</v>
          </cell>
          <cell r="D472">
            <v>77037604</v>
          </cell>
          <cell r="E472">
            <v>4120177267</v>
          </cell>
          <cell r="F472">
            <v>54</v>
          </cell>
          <cell r="G472" t="str">
            <v>Perjalanan Dinas Non-Diklat</v>
          </cell>
          <cell r="H472" t="str">
            <v>Kota Makassar - Jakarta Pusat</v>
          </cell>
          <cell r="I472" t="str">
            <v>18/08/2025 - 20/08/2025</v>
          </cell>
          <cell r="J472">
            <v>3</v>
          </cell>
          <cell r="K472" t="str">
            <v>Flight One Way</v>
          </cell>
          <cell r="L472" t="str">
            <v>16-08-2025 13:57:23</v>
          </cell>
          <cell r="M472" t="str">
            <v>Garuda Indonesia Domestic UPG Hasanuddin GA-605 - Garuda Indonesia  CGK Soekarno Hatta International Airport GA-605</v>
          </cell>
          <cell r="N472" t="str">
            <v>OF REN SIS KELIST</v>
          </cell>
          <cell r="O472">
            <v>7412112</v>
          </cell>
          <cell r="P472" t="str">
            <v>18/08/2025 10:55:00 - 18/08/2025 12:25:00</v>
          </cell>
          <cell r="Q472">
            <v>2353400</v>
          </cell>
        </row>
        <row r="473">
          <cell r="A473">
            <v>1277523263</v>
          </cell>
          <cell r="B473" t="str">
            <v>7603014F</v>
          </cell>
          <cell r="C473" t="str">
            <v xml:space="preserve">DAMBARUDIN </v>
          </cell>
          <cell r="D473">
            <v>76037600</v>
          </cell>
          <cell r="E473">
            <v>4120177246</v>
          </cell>
          <cell r="F473">
            <v>54</v>
          </cell>
          <cell r="G473" t="str">
            <v>Perjalanan Dinas Diklat</v>
          </cell>
          <cell r="H473" t="str">
            <v>Kota Baubau - Kota Bogor</v>
          </cell>
          <cell r="I473" t="str">
            <v>18/08/2025 - 23/08/2025</v>
          </cell>
          <cell r="J473">
            <v>6</v>
          </cell>
          <cell r="K473" t="str">
            <v>Flight One Way</v>
          </cell>
          <cell r="L473" t="str">
            <v>16-08-2025 17:26:14</v>
          </cell>
          <cell r="M473" t="str">
            <v>Super Air Jet  BUW Betoambari IU-573 - Super Air Jet 2E CGK Soekarno Hatta International Airport IU-573</v>
          </cell>
          <cell r="N473" t="str">
            <v>ASMAN REN</v>
          </cell>
          <cell r="O473">
            <v>7412280</v>
          </cell>
          <cell r="P473" t="str">
            <v>18/08/2025 15:35:00 - 18/08/2025 18:20:00</v>
          </cell>
          <cell r="Q473">
            <v>1785400</v>
          </cell>
        </row>
        <row r="474">
          <cell r="A474">
            <v>1278757866</v>
          </cell>
          <cell r="B474" t="str">
            <v>7603014F</v>
          </cell>
          <cell r="C474" t="str">
            <v>DAMBARUDIN</v>
          </cell>
          <cell r="D474">
            <v>76037600</v>
          </cell>
          <cell r="E474">
            <v>4120177246</v>
          </cell>
          <cell r="F474">
            <v>54</v>
          </cell>
          <cell r="G474" t="str">
            <v>Perjalanan Dinas Diklat</v>
          </cell>
          <cell r="H474" t="str">
            <v>KotaBaubau-KotaBogor</v>
          </cell>
          <cell r="I474" t="str">
            <v>18/08/2025 - 23/08/2025</v>
          </cell>
          <cell r="J474">
            <v>6</v>
          </cell>
          <cell r="K474" t="str">
            <v>Flight One Way</v>
          </cell>
          <cell r="L474" t="str">
            <v>21-08-2025 21:14:51</v>
          </cell>
          <cell r="M474" t="str">
            <v>Lion Air 1A CGK Soekarno Hatta International Airport JT-892 - Lion Air  BUW Betoambari JT-892</v>
          </cell>
          <cell r="N474" t="str">
            <v>ASMAN REN</v>
          </cell>
          <cell r="O474">
            <v>7412280</v>
          </cell>
          <cell r="P474" t="str">
            <v>23/08/2025 07:45:00 - 23/08/2025 14:55:00</v>
          </cell>
          <cell r="Q474">
            <v>1605700</v>
          </cell>
        </row>
        <row r="475">
          <cell r="A475">
            <v>1278935888</v>
          </cell>
          <cell r="B475" t="str">
            <v>7603014F</v>
          </cell>
          <cell r="C475" t="str">
            <v>DAMBARUDIN</v>
          </cell>
          <cell r="D475">
            <v>76037600</v>
          </cell>
          <cell r="E475">
            <v>4120177246</v>
          </cell>
          <cell r="F475">
            <v>54</v>
          </cell>
          <cell r="G475" t="str">
            <v>Perjalanan Dinas Diklat</v>
          </cell>
          <cell r="H475" t="str">
            <v>KotaBaubau-KotaBogor</v>
          </cell>
          <cell r="I475" t="str">
            <v>18/08/2025 - 23/08/2025</v>
          </cell>
          <cell r="J475">
            <v>6</v>
          </cell>
          <cell r="K475" t="str">
            <v>Hotel</v>
          </cell>
          <cell r="L475" t="str">
            <v>22-08-2025 16:15:52</v>
          </cell>
          <cell r="M475" t="str">
            <v xml:space="preserve">Ashley Tugu Tani Menteng - 4.0 Stars  - </v>
          </cell>
          <cell r="N475" t="str">
            <v>ASMAN REN</v>
          </cell>
          <cell r="O475">
            <v>7412280</v>
          </cell>
          <cell r="P475" t="str">
            <v>22/08/2025 14:00:00 - 23/08/2025 12:00:00</v>
          </cell>
          <cell r="Q475">
            <v>964619</v>
          </cell>
        </row>
        <row r="476">
          <cell r="A476">
            <v>1278425394</v>
          </cell>
          <cell r="B476" t="str">
            <v>96191272ZY</v>
          </cell>
          <cell r="C476" t="str">
            <v>AHMAD FATHAN MAARIF</v>
          </cell>
          <cell r="D476">
            <v>96197614</v>
          </cell>
          <cell r="E476">
            <v>4120177235</v>
          </cell>
          <cell r="F476">
            <v>54</v>
          </cell>
          <cell r="G476" t="str">
            <v>Perjalanan Dinas Non-Diklat</v>
          </cell>
          <cell r="H476" t="str">
            <v>Kota Kendari - Kota Makassar</v>
          </cell>
          <cell r="I476" t="str">
            <v>19/08/2025 - 21/08/2025</v>
          </cell>
          <cell r="J476">
            <v>3</v>
          </cell>
          <cell r="K476" t="str">
            <v>Flight One Way</v>
          </cell>
          <cell r="L476" t="str">
            <v>20-08-2025 15:16:52</v>
          </cell>
          <cell r="M476" t="str">
            <v>Lion Air Domestic UPG Hasanuddin JT-996 - Lion Air  KDI Haluoleo JT-996</v>
          </cell>
          <cell r="N476" t="str">
            <v>TL SCADA DAN TEL (KEN)</v>
          </cell>
          <cell r="O476">
            <v>7408341</v>
          </cell>
          <cell r="P476" t="str">
            <v>21/08/2025 17:15:00 - 21/08/2025 18:20:00</v>
          </cell>
          <cell r="Q476">
            <v>788600</v>
          </cell>
        </row>
        <row r="477">
          <cell r="A477">
            <v>1278008256</v>
          </cell>
          <cell r="B477" t="str">
            <v>96191272ZY</v>
          </cell>
          <cell r="C477" t="str">
            <v>AHMAD FATHAN MAARIF</v>
          </cell>
          <cell r="D477">
            <v>96197614</v>
          </cell>
          <cell r="E477">
            <v>4120177235</v>
          </cell>
          <cell r="F477">
            <v>54</v>
          </cell>
          <cell r="G477" t="str">
            <v>Perjalanan Dinas Non-Diklat</v>
          </cell>
          <cell r="H477" t="str">
            <v>Kota Kendari - Kota Makassar</v>
          </cell>
          <cell r="I477" t="str">
            <v>19/08/2025 - 21/08/2025</v>
          </cell>
          <cell r="J477">
            <v>3</v>
          </cell>
          <cell r="K477" t="str">
            <v>Hotel</v>
          </cell>
          <cell r="L477" t="str">
            <v>18-08-2025 19:54:34</v>
          </cell>
          <cell r="M477" t="str">
            <v xml:space="preserve">Melia Makassar - 4.0 Stars  - </v>
          </cell>
          <cell r="N477" t="str">
            <v>TL SCADA DAN TEL (KEN)</v>
          </cell>
          <cell r="O477">
            <v>7408341</v>
          </cell>
          <cell r="P477" t="str">
            <v>19/08/2025 14:00:00 - 20/08/2025 12:00:00</v>
          </cell>
          <cell r="Q477">
            <v>828750</v>
          </cell>
        </row>
        <row r="478">
          <cell r="A478">
            <v>1278209259</v>
          </cell>
          <cell r="B478" t="str">
            <v>96191272ZY</v>
          </cell>
          <cell r="C478" t="str">
            <v>AHMAD FATHAN MAARIF</v>
          </cell>
          <cell r="D478">
            <v>96197614</v>
          </cell>
          <cell r="E478">
            <v>4120177235</v>
          </cell>
          <cell r="F478">
            <v>54</v>
          </cell>
          <cell r="G478" t="str">
            <v>Perjalanan Dinas Non-Diklat</v>
          </cell>
          <cell r="H478" t="str">
            <v>Kota Kendari - Kota Makassar</v>
          </cell>
          <cell r="I478" t="str">
            <v>19/08/2025 - 21/08/2025</v>
          </cell>
          <cell r="J478">
            <v>3</v>
          </cell>
          <cell r="K478" t="str">
            <v>Hotel</v>
          </cell>
          <cell r="L478" t="str">
            <v>19-08-2025 17:12:51</v>
          </cell>
          <cell r="M478" t="str">
            <v xml:space="preserve">Arthama Hotel Makassar - 4.0 Stars  - </v>
          </cell>
          <cell r="N478" t="str">
            <v>TL SCADA DAN TEL (KEN)</v>
          </cell>
          <cell r="O478">
            <v>7408341</v>
          </cell>
          <cell r="P478" t="str">
            <v>20/08/2025 14:00:00 - 21/08/2025 12:00:00</v>
          </cell>
          <cell r="Q478">
            <v>758625</v>
          </cell>
        </row>
        <row r="479">
          <cell r="A479">
            <v>1277709682</v>
          </cell>
          <cell r="B479" t="str">
            <v>9719685ZY</v>
          </cell>
          <cell r="C479" t="str">
            <v>MUHAMMAD HIDAYAT ALWI</v>
          </cell>
          <cell r="D479">
            <v>97196203</v>
          </cell>
          <cell r="E479">
            <v>4120177225</v>
          </cell>
          <cell r="F479">
            <v>54</v>
          </cell>
          <cell r="G479" t="str">
            <v>Perjalanan Dinas Non-Diklat</v>
          </cell>
          <cell r="H479" t="str">
            <v>Kota Kendari - Kota Makassar</v>
          </cell>
          <cell r="I479" t="str">
            <v>19/08/2025 - 21/08/2025</v>
          </cell>
          <cell r="J479">
            <v>3</v>
          </cell>
          <cell r="K479" t="str">
            <v>Flight One Way</v>
          </cell>
          <cell r="L479" t="str">
            <v>17-08-2025 14:19:31</v>
          </cell>
          <cell r="M479" t="str">
            <v>Lion Air Domestic UPG Hasanuddin JT-994 - Lion Air  KDI Haluoleo JT-994</v>
          </cell>
          <cell r="N479" t="str">
            <v>TL RTU DAN PERIPHERAL (KEN)</v>
          </cell>
          <cell r="O479">
            <v>7408341</v>
          </cell>
          <cell r="P479" t="str">
            <v>21/08/2025 13:50:00 - 21/08/2025 14:55:00</v>
          </cell>
          <cell r="Q479">
            <v>823000</v>
          </cell>
        </row>
        <row r="480">
          <cell r="A480">
            <v>1277752131</v>
          </cell>
          <cell r="B480" t="str">
            <v>9719685ZY</v>
          </cell>
          <cell r="C480" t="str">
            <v>MUHAMMAD HIDAYAT ALWI</v>
          </cell>
          <cell r="D480">
            <v>97196203</v>
          </cell>
          <cell r="E480">
            <v>4120177225</v>
          </cell>
          <cell r="F480">
            <v>54</v>
          </cell>
          <cell r="G480" t="str">
            <v>Perjalanan Dinas Non-Diklat</v>
          </cell>
          <cell r="H480" t="str">
            <v>Kota Kendari - Kota Makassar</v>
          </cell>
          <cell r="I480" t="str">
            <v>19/08/2025 - 21/08/2025</v>
          </cell>
          <cell r="J480">
            <v>3</v>
          </cell>
          <cell r="K480" t="str">
            <v>Hotel</v>
          </cell>
          <cell r="L480" t="str">
            <v>17-08-2025 17:46:01</v>
          </cell>
          <cell r="M480" t="str">
            <v xml:space="preserve">Vasaka Hotel Makassar Managed By Dafam - 3.5 Stars  - </v>
          </cell>
          <cell r="N480" t="str">
            <v>TL RTU DAN PERIPHERAL (KEN)</v>
          </cell>
          <cell r="O480">
            <v>7408341</v>
          </cell>
          <cell r="P480" t="str">
            <v>19/08/2025 14:00:00 - 21/08/2025 12:00:00</v>
          </cell>
          <cell r="Q480">
            <v>1577035</v>
          </cell>
        </row>
        <row r="481">
          <cell r="A481">
            <v>1278216043</v>
          </cell>
          <cell r="B481" t="str">
            <v>7190010F</v>
          </cell>
          <cell r="C481" t="str">
            <v>HUSLAN HUSAIN</v>
          </cell>
          <cell r="D481">
            <v>71907601</v>
          </cell>
          <cell r="E481">
            <v>4120177255</v>
          </cell>
          <cell r="F481">
            <v>54</v>
          </cell>
          <cell r="G481" t="str">
            <v>Perjalanan Dinas Non-Diklat</v>
          </cell>
          <cell r="H481" t="str">
            <v>Kota Makassar - Jakarta Pusat - Kota Bandung</v>
          </cell>
          <cell r="I481" t="str">
            <v>18/08/2025 - 23/08/2025</v>
          </cell>
          <cell r="J481">
            <v>6</v>
          </cell>
          <cell r="K481" t="str">
            <v>Hotel</v>
          </cell>
          <cell r="L481" t="str">
            <v>19-08-2025 17:42:33</v>
          </cell>
          <cell r="M481" t="str">
            <v xml:space="preserve">Hotel Santika Bogor - 3.0 Stars  - </v>
          </cell>
          <cell r="N481" t="str">
            <v>SM REN</v>
          </cell>
          <cell r="O481">
            <v>7412110</v>
          </cell>
          <cell r="P481" t="str">
            <v>19/08/2025 14:00:00 - 20/08/2025 12:00:00</v>
          </cell>
          <cell r="Q481">
            <v>1500000</v>
          </cell>
        </row>
        <row r="482">
          <cell r="A482">
            <v>1277944882</v>
          </cell>
          <cell r="B482" t="str">
            <v>7190010F</v>
          </cell>
          <cell r="C482" t="str">
            <v>HUSLAN HUSAIN</v>
          </cell>
          <cell r="D482">
            <v>71907601</v>
          </cell>
          <cell r="E482">
            <v>4120177255</v>
          </cell>
          <cell r="F482">
            <v>54</v>
          </cell>
          <cell r="G482" t="str">
            <v>Perjalanan Dinas Non-Diklat</v>
          </cell>
          <cell r="H482" t="str">
            <v>Kota Makassar - Jakarta Pusat - Kota Bandung</v>
          </cell>
          <cell r="I482" t="str">
            <v>18/08/2025 - 23/08/2025</v>
          </cell>
          <cell r="J482">
            <v>6</v>
          </cell>
          <cell r="K482" t="str">
            <v>Hotel</v>
          </cell>
          <cell r="L482" t="str">
            <v>18-08-2025 14:54:57</v>
          </cell>
          <cell r="M482" t="str">
            <v xml:space="preserve">Hotel Santika Bogor - 3.0 Stars  - </v>
          </cell>
          <cell r="N482" t="str">
            <v>SM REN</v>
          </cell>
          <cell r="O482">
            <v>7412110</v>
          </cell>
          <cell r="P482" t="str">
            <v>18/08/2025 14:00:00 - 19/08/2025 12:00:00</v>
          </cell>
          <cell r="Q482">
            <v>1640000</v>
          </cell>
        </row>
        <row r="483">
          <cell r="A483">
            <v>1278506372</v>
          </cell>
          <cell r="B483" t="str">
            <v>7190010F</v>
          </cell>
          <cell r="C483" t="str">
            <v>HUSLAN HUSAIN</v>
          </cell>
          <cell r="D483">
            <v>71907601</v>
          </cell>
          <cell r="E483">
            <v>4120177255</v>
          </cell>
          <cell r="F483">
            <v>54</v>
          </cell>
          <cell r="G483" t="str">
            <v>Perjalanan Dinas Non-Diklat</v>
          </cell>
          <cell r="H483" t="str">
            <v>Kota Makassar - Jakarta Pusat - Kota Bandung</v>
          </cell>
          <cell r="I483" t="str">
            <v>18/08/2025 - 23/08/2025</v>
          </cell>
          <cell r="J483">
            <v>6</v>
          </cell>
          <cell r="K483" t="str">
            <v>Hotel</v>
          </cell>
          <cell r="L483" t="str">
            <v>20-08-2025 21:00:54</v>
          </cell>
          <cell r="M483" t="str">
            <v xml:space="preserve">Mercure Bandung Nexa Supratman - 4.0 Stars  - </v>
          </cell>
          <cell r="N483" t="str">
            <v>SM REN</v>
          </cell>
          <cell r="O483">
            <v>7412110</v>
          </cell>
          <cell r="P483" t="str">
            <v>20/08/2025 14:00:00 - 21/08/2025 12:00:00</v>
          </cell>
          <cell r="Q483">
            <v>987731</v>
          </cell>
        </row>
        <row r="484">
          <cell r="A484">
            <v>1277717963</v>
          </cell>
          <cell r="B484" t="str">
            <v>7190010F</v>
          </cell>
          <cell r="C484" t="str">
            <v>HUSLAN HUSAIN</v>
          </cell>
          <cell r="D484">
            <v>71907601</v>
          </cell>
          <cell r="E484">
            <v>4120177255</v>
          </cell>
          <cell r="F484">
            <v>54</v>
          </cell>
          <cell r="G484" t="str">
            <v>Perjalanan Dinas Non-Diklat</v>
          </cell>
          <cell r="H484" t="str">
            <v>Kota Makassar - Jakarta Pusat - Kota Bandung</v>
          </cell>
          <cell r="I484" t="str">
            <v>18/08/2025 - 23/08/2025</v>
          </cell>
          <cell r="J484">
            <v>6</v>
          </cell>
          <cell r="K484" t="str">
            <v>Flight One Way</v>
          </cell>
          <cell r="L484" t="str">
            <v>17-08-2025 14:57:28</v>
          </cell>
          <cell r="M484" t="str">
            <v>Garuda Indonesia Domestic UPG Hasanuddin GA-605 - Garuda Indonesia  CGK Soekarno Hatta International Airport GA-605</v>
          </cell>
          <cell r="N484" t="str">
            <v>SM REN</v>
          </cell>
          <cell r="O484">
            <v>7412110</v>
          </cell>
          <cell r="P484" t="str">
            <v>18/08/2025 10:55:00 - 18/08/2025 12:25:00</v>
          </cell>
          <cell r="Q484">
            <v>2353400</v>
          </cell>
        </row>
        <row r="485">
          <cell r="A485">
            <v>1278851356</v>
          </cell>
          <cell r="B485" t="str">
            <v>7190010F</v>
          </cell>
          <cell r="C485" t="str">
            <v>HUSLAN HUSAIN</v>
          </cell>
          <cell r="D485">
            <v>71907601</v>
          </cell>
          <cell r="E485">
            <v>4120177255</v>
          </cell>
          <cell r="F485">
            <v>54</v>
          </cell>
          <cell r="G485" t="str">
            <v>Perjalanan Dinas Non-Diklat</v>
          </cell>
          <cell r="H485" t="str">
            <v>KotaMakassar-JakartaPusat-KotaBandung</v>
          </cell>
          <cell r="I485" t="str">
            <v>18/08/2025 - 23/08/2025</v>
          </cell>
          <cell r="J485">
            <v>6</v>
          </cell>
          <cell r="K485" t="str">
            <v>Flight One Way</v>
          </cell>
          <cell r="L485" t="str">
            <v>22-08-2025 10:43:28</v>
          </cell>
          <cell r="M485" t="str">
            <v>Garuda Indonesia  CGK Soekarno Hatta International Airport GA-604 - Garuda Indonesia Domestic UPG Hasanuddin GA-604</v>
          </cell>
          <cell r="N485" t="str">
            <v>SM REN</v>
          </cell>
          <cell r="O485">
            <v>7412110</v>
          </cell>
          <cell r="P485" t="str">
            <v>23/08/2025 02:50:00 - 23/08/2025 06:25:00</v>
          </cell>
          <cell r="Q485">
            <v>1778200</v>
          </cell>
        </row>
        <row r="486">
          <cell r="A486">
            <v>1278915579</v>
          </cell>
          <cell r="B486" t="str">
            <v>7190010F</v>
          </cell>
          <cell r="C486" t="str">
            <v>HUSLAN HUSAIN</v>
          </cell>
          <cell r="D486">
            <v>71907601</v>
          </cell>
          <cell r="E486">
            <v>4120177255</v>
          </cell>
          <cell r="F486">
            <v>54</v>
          </cell>
          <cell r="G486" t="str">
            <v>Perjalanan Dinas Non-Diklat</v>
          </cell>
          <cell r="H486" t="str">
            <v>KotaMakassar-JakartaPusat-KotaBandung</v>
          </cell>
          <cell r="I486" t="str">
            <v>18/08/2025 - 23/08/2025</v>
          </cell>
          <cell r="J486">
            <v>6</v>
          </cell>
          <cell r="K486" t="str">
            <v>Hotel</v>
          </cell>
          <cell r="L486" t="str">
            <v>22-08-2025 14:55:10</v>
          </cell>
          <cell r="M486" t="str">
            <v xml:space="preserve">Hotel GranDhika Iskandarsyah - 4.0 Stars  - </v>
          </cell>
          <cell r="N486" t="str">
            <v>SM REN</v>
          </cell>
          <cell r="O486">
            <v>7412110</v>
          </cell>
          <cell r="P486" t="str">
            <v>22/08/2025 14:00:00 - 23/08/2025 12:00:00</v>
          </cell>
          <cell r="Q486">
            <v>1058000</v>
          </cell>
        </row>
        <row r="487">
          <cell r="A487">
            <v>1278699647</v>
          </cell>
          <cell r="B487" t="str">
            <v>7190010F</v>
          </cell>
          <cell r="C487" t="str">
            <v>HUSLAN HUSAIN</v>
          </cell>
          <cell r="D487">
            <v>71907601</v>
          </cell>
          <cell r="E487">
            <v>4120177255</v>
          </cell>
          <cell r="F487">
            <v>54</v>
          </cell>
          <cell r="G487" t="str">
            <v>Perjalanan Dinas Non-Diklat</v>
          </cell>
          <cell r="H487" t="str">
            <v>KotaMakassar-JakartaPusat-KotaBandung</v>
          </cell>
          <cell r="I487" t="str">
            <v>18/08/2025 - 23/08/2025</v>
          </cell>
          <cell r="J487">
            <v>6</v>
          </cell>
          <cell r="K487" t="str">
            <v>Hotel</v>
          </cell>
          <cell r="L487" t="str">
            <v>21-08-2025 17:12:33</v>
          </cell>
          <cell r="M487" t="str">
            <v xml:space="preserve">Veranda Hotel Pakubuwono - 4.0 Stars  - </v>
          </cell>
          <cell r="N487" t="str">
            <v>SM REN</v>
          </cell>
          <cell r="O487">
            <v>7412110</v>
          </cell>
          <cell r="P487" t="str">
            <v>21/08/2025 14:00:00 - 22/08/2025 12:00:00</v>
          </cell>
          <cell r="Q487">
            <v>1600000</v>
          </cell>
        </row>
        <row r="488">
          <cell r="A488">
            <v>1277477141</v>
          </cell>
          <cell r="B488" t="str">
            <v>8710309Z</v>
          </cell>
          <cell r="C488" t="str">
            <v>INRIANI WARDANI</v>
          </cell>
          <cell r="D488">
            <v>87107606</v>
          </cell>
          <cell r="E488">
            <v>4120177254</v>
          </cell>
          <cell r="F488">
            <v>54</v>
          </cell>
          <cell r="G488" t="str">
            <v>Perjalanan Dinas Non-Diklat</v>
          </cell>
          <cell r="H488" t="str">
            <v>Kota Makassar - Jakarta Pusat</v>
          </cell>
          <cell r="I488" t="str">
            <v>18/08/2025 - 20/08/2025</v>
          </cell>
          <cell r="J488">
            <v>3</v>
          </cell>
          <cell r="K488" t="str">
            <v>Flight One Way</v>
          </cell>
          <cell r="L488" t="str">
            <v>16-08-2025 13:54:31</v>
          </cell>
          <cell r="M488" t="str">
            <v>Garuda Indonesia Domestic UPG Hasanuddin GA-605 - Garuda Indonesia  CGK Soekarno Hatta International Airport GA-605</v>
          </cell>
          <cell r="N488" t="str">
            <v>OF REN SIS KELIST</v>
          </cell>
          <cell r="O488">
            <v>7412112</v>
          </cell>
          <cell r="P488" t="str">
            <v>18/08/2025 10:55:00 - 18/08/2025 12:25:00</v>
          </cell>
          <cell r="Q488">
            <v>2353400</v>
          </cell>
        </row>
        <row r="489">
          <cell r="A489">
            <v>1278160856</v>
          </cell>
          <cell r="B489" t="str">
            <v>8710309Z</v>
          </cell>
          <cell r="C489" t="str">
            <v>INRIANI WARDANI</v>
          </cell>
          <cell r="D489">
            <v>87107606</v>
          </cell>
          <cell r="E489">
            <v>4120177254</v>
          </cell>
          <cell r="F489">
            <v>54</v>
          </cell>
          <cell r="G489" t="str">
            <v>Perjalanan Dinas Non-Diklat</v>
          </cell>
          <cell r="H489" t="str">
            <v>Kota Makassar - Jakarta Pusat</v>
          </cell>
          <cell r="I489" t="str">
            <v>18/08/2025 - 20/08/2025</v>
          </cell>
          <cell r="J489">
            <v>3</v>
          </cell>
          <cell r="K489" t="str">
            <v>Flight One Way</v>
          </cell>
          <cell r="L489" t="str">
            <v>19-08-2025 13:55:08</v>
          </cell>
          <cell r="M489" t="str">
            <v>Garuda Indonesia  CGK Soekarno Hatta International Airport GA-618 - Garuda Indonesia Domestic UPG Hasanuddin GA-618</v>
          </cell>
          <cell r="N489" t="str">
            <v>OF REN SIS KELIST</v>
          </cell>
          <cell r="O489">
            <v>7412112</v>
          </cell>
          <cell r="P489" t="str">
            <v>20/08/2025 20:15:00 - 20/08/2025 23:50:00</v>
          </cell>
          <cell r="Q489">
            <v>1808900</v>
          </cell>
        </row>
        <row r="490">
          <cell r="A490">
            <v>1277517205</v>
          </cell>
          <cell r="B490" t="str">
            <v>7095015F</v>
          </cell>
          <cell r="C490" t="str">
            <v xml:space="preserve">EDYANSYAH </v>
          </cell>
          <cell r="D490">
            <v>70957602</v>
          </cell>
          <cell r="E490">
            <v>4120177253</v>
          </cell>
          <cell r="F490">
            <v>54</v>
          </cell>
          <cell r="G490" t="str">
            <v>Perjalanan Dinas Non-Diklat</v>
          </cell>
          <cell r="H490" t="str">
            <v>Kota Makassar - Jakarta Pusat - Kota Bandung</v>
          </cell>
          <cell r="I490" t="str">
            <v>19/08/2025 - 22/08/2025</v>
          </cell>
          <cell r="J490">
            <v>4</v>
          </cell>
          <cell r="K490" t="str">
            <v>Flight One Way</v>
          </cell>
          <cell r="L490" t="str">
            <v>16-08-2025 16:56:33</v>
          </cell>
          <cell r="M490" t="str">
            <v>Garuda Indonesia Domestic UPG Hasanuddin GA-609 - Garuda Indonesia  CGK Soekarno Hatta International Airport GA-609</v>
          </cell>
          <cell r="N490" t="str">
            <v>GM</v>
          </cell>
          <cell r="O490">
            <v>7412000</v>
          </cell>
          <cell r="P490" t="str">
            <v>19/08/2025 18:05:00 - 19/08/2025 19:30:00</v>
          </cell>
          <cell r="Q490">
            <v>1578600</v>
          </cell>
        </row>
        <row r="491">
          <cell r="A491">
            <v>1278121540</v>
          </cell>
          <cell r="B491" t="str">
            <v>8106329Z</v>
          </cell>
          <cell r="C491" t="str">
            <v>ANDI BASO MAKKARAKA</v>
          </cell>
          <cell r="D491">
            <v>81067403</v>
          </cell>
          <cell r="E491">
            <v>4120177247</v>
          </cell>
          <cell r="F491">
            <v>54</v>
          </cell>
          <cell r="G491" t="str">
            <v>Perjalanan Dinas Non-Diklat</v>
          </cell>
          <cell r="H491" t="str">
            <v>Kab. Luwu Timur - Kab. Luwu Timur</v>
          </cell>
          <cell r="I491" t="str">
            <v>19/08/2025 - 23/08/2025</v>
          </cell>
          <cell r="J491">
            <v>5</v>
          </cell>
          <cell r="K491" t="str">
            <v>Hotel</v>
          </cell>
          <cell r="L491" t="str">
            <v>19-08-2025 11:18:28</v>
          </cell>
          <cell r="M491" t="str">
            <v xml:space="preserve">Lusiana Hotel &amp; Restauran Soroako Sorowako - 3.0 Stars  - </v>
          </cell>
          <cell r="N491" t="str">
            <v>SPC KIN REN</v>
          </cell>
          <cell r="O491">
            <v>7412110</v>
          </cell>
          <cell r="P491" t="str">
            <v>19/08/2025 14:00:00 - 21/08/2025 12:00:00</v>
          </cell>
          <cell r="Q491">
            <v>1082462</v>
          </cell>
        </row>
        <row r="492">
          <cell r="A492">
            <v>1278328953</v>
          </cell>
          <cell r="B492" t="str">
            <v>8106329Z</v>
          </cell>
          <cell r="C492" t="str">
            <v>ANDI BASO MAKKARAKA</v>
          </cell>
          <cell r="D492">
            <v>81067403</v>
          </cell>
          <cell r="E492">
            <v>4120177247</v>
          </cell>
          <cell r="F492">
            <v>54</v>
          </cell>
          <cell r="G492" t="str">
            <v>Perjalanan Dinas Non-Diklat</v>
          </cell>
          <cell r="H492" t="str">
            <v>Kab. Luwu Timur - Kab. Luwu Timur</v>
          </cell>
          <cell r="I492" t="str">
            <v>19/08/2025 - 23/08/2025</v>
          </cell>
          <cell r="J492">
            <v>5</v>
          </cell>
          <cell r="K492" t="str">
            <v>Flight One Way</v>
          </cell>
          <cell r="L492" t="str">
            <v>20-08-2025 08:43:18</v>
          </cell>
          <cell r="M492" t="str">
            <v>Wings Air  LLO Lagaligo Airport IW-1351 - Wings Air Domestic UPG Hasanuddin IW-1351</v>
          </cell>
          <cell r="N492" t="str">
            <v>SPC KIN REN</v>
          </cell>
          <cell r="O492">
            <v>7412110</v>
          </cell>
          <cell r="P492" t="str">
            <v>23/08/2025 09:40:00 - 23/08/2025 10:35:00</v>
          </cell>
          <cell r="Q492">
            <v>1355400</v>
          </cell>
        </row>
        <row r="493">
          <cell r="A493">
            <v>1278264521</v>
          </cell>
          <cell r="B493" t="str">
            <v>9218155ZY</v>
          </cell>
          <cell r="C493" t="str">
            <v>MUHAMMAD HUSNI TAMRIN</v>
          </cell>
          <cell r="D493">
            <v>92187600</v>
          </cell>
          <cell r="E493">
            <v>4120177248</v>
          </cell>
          <cell r="F493">
            <v>54</v>
          </cell>
          <cell r="G493" t="str">
            <v>Perjalanan Dinas Non-Diklat</v>
          </cell>
          <cell r="H493" t="str">
            <v>Kota Kendari - Kota Makassar</v>
          </cell>
          <cell r="I493" t="str">
            <v>18/08/2025 - 20/08/2025</v>
          </cell>
          <cell r="J493">
            <v>3</v>
          </cell>
          <cell r="K493" t="str">
            <v>Flight One Way</v>
          </cell>
          <cell r="L493" t="str">
            <v>19-08-2025 21:11:30</v>
          </cell>
          <cell r="M493" t="str">
            <v>Lion Air Domestic UPG Hasanuddin JT-996 - Lion Air  KDI Haluoleo JT-996</v>
          </cell>
          <cell r="N493" t="str">
            <v>TL OP (KENDARI)</v>
          </cell>
          <cell r="O493">
            <v>7409342</v>
          </cell>
          <cell r="P493" t="str">
            <v>20/08/2025 17:15:00 - 20/08/2025 18:20:00</v>
          </cell>
          <cell r="Q493">
            <v>893000</v>
          </cell>
        </row>
        <row r="494">
          <cell r="A494">
            <v>1277779793</v>
          </cell>
          <cell r="B494" t="str">
            <v>9619391ZY</v>
          </cell>
          <cell r="C494" t="str">
            <v>KRISNA DIAN SAPUTRA</v>
          </cell>
          <cell r="D494">
            <v>96196204</v>
          </cell>
          <cell r="E494">
            <v>4120177229</v>
          </cell>
          <cell r="F494">
            <v>54</v>
          </cell>
          <cell r="G494" t="str">
            <v>Perjalanan Dinas Non-Diklat</v>
          </cell>
          <cell r="H494" t="str">
            <v>Kota Baubau - Kota Makassar</v>
          </cell>
          <cell r="I494" t="str">
            <v>18/08/2025 - 20/08/2025</v>
          </cell>
          <cell r="J494">
            <v>3</v>
          </cell>
          <cell r="K494" t="str">
            <v>Flight One Way</v>
          </cell>
          <cell r="L494" t="str">
            <v>17-08-2025 20:01:46</v>
          </cell>
          <cell r="M494" t="str">
            <v>Super Air Jet  UPG Hasanuddin IU-572 - Super Air Jet  BUW Betoambari IU-572</v>
          </cell>
          <cell r="N494" t="str">
            <v>TL HAR ELEKTRO (BAUBAU)</v>
          </cell>
          <cell r="O494">
            <v>7412340</v>
          </cell>
          <cell r="P494" t="str">
            <v>20/08/2025 14:10:00 - 20/08/2025 14:55:00</v>
          </cell>
          <cell r="Q494">
            <v>844100</v>
          </cell>
        </row>
        <row r="495">
          <cell r="A495">
            <v>1278037660</v>
          </cell>
          <cell r="B495" t="str">
            <v>95191469ZY</v>
          </cell>
          <cell r="C495" t="str">
            <v>ANDI WARIS</v>
          </cell>
          <cell r="D495">
            <v>95197613</v>
          </cell>
          <cell r="E495">
            <v>4120177210</v>
          </cell>
          <cell r="F495">
            <v>54</v>
          </cell>
          <cell r="G495" t="str">
            <v>Perjalanan Dinas Non-Diklat</v>
          </cell>
          <cell r="H495" t="str">
            <v>Kota Kendari - Kota Makassar</v>
          </cell>
          <cell r="I495" t="str">
            <v>18/08/2025 - 20/08/2025</v>
          </cell>
          <cell r="J495">
            <v>3</v>
          </cell>
          <cell r="K495" t="str">
            <v>Flight One Way</v>
          </cell>
          <cell r="L495" t="str">
            <v>18-08-2025 22:14:15</v>
          </cell>
          <cell r="M495" t="str">
            <v>Batik Air Domestic UPG Hasanuddin ID-6751 - Batik Air  KDI Haluoleo ID-6751</v>
          </cell>
          <cell r="N495" t="str">
            <v>TL HAR ELEKTRO (KENDARI)</v>
          </cell>
          <cell r="O495">
            <v>7412340</v>
          </cell>
          <cell r="P495" t="str">
            <v>20/08/2025 08:30:00 - 20/08/2025 09:35:00</v>
          </cell>
          <cell r="Q495">
            <v>782100</v>
          </cell>
        </row>
        <row r="496">
          <cell r="A496">
            <v>1279825408</v>
          </cell>
          <cell r="B496" t="str">
            <v>9818133FBY</v>
          </cell>
          <cell r="C496" t="str">
            <v>BOBY ALFIYANTO</v>
          </cell>
          <cell r="D496">
            <v>98187623</v>
          </cell>
          <cell r="E496">
            <v>4120176451</v>
          </cell>
          <cell r="F496">
            <v>54</v>
          </cell>
          <cell r="G496" t="str">
            <v>Perjalanan Dinas Diklat</v>
          </cell>
          <cell r="H496" t="str">
            <v>Kab.Bone-KotaSemarang</v>
          </cell>
          <cell r="I496" t="str">
            <v>06/07/2025 - 28/08/2025</v>
          </cell>
          <cell r="J496">
            <v>54</v>
          </cell>
          <cell r="K496" t="str">
            <v>Flight One Way</v>
          </cell>
          <cell r="L496" t="str">
            <v>26-08-2025 13:52:44</v>
          </cell>
          <cell r="M496" t="str">
            <v>Lion Air Domestic SRG Achmad Yani JT-270 - Lion Air Domestic UPG Hasanuddin JT-270</v>
          </cell>
          <cell r="N496" t="str">
            <v>JTC PDKB</v>
          </cell>
          <cell r="O496">
            <v>7409231</v>
          </cell>
          <cell r="P496" t="str">
            <v>28/08/2025 07:00:00 - 28/08/2025 16:00:00</v>
          </cell>
          <cell r="Q496">
            <v>1690000</v>
          </cell>
        </row>
      </sheetData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ge 2"/>
      <sheetName val="page 3"/>
      <sheetName val="page 4"/>
      <sheetName val="page 5"/>
      <sheetName val="page 6"/>
      <sheetName val="page 7"/>
      <sheetName val="page 8"/>
      <sheetName val="page 9"/>
      <sheetName val="Invoice "/>
      <sheetName val="report"/>
      <sheetName val="Rekapitula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>
            <v>1285721968</v>
          </cell>
          <cell r="B2" t="str">
            <v>8108240Z</v>
          </cell>
          <cell r="C2" t="str">
            <v>ANDI FITHRI ZAKIAH MULYADI</v>
          </cell>
          <cell r="D2">
            <v>81087404</v>
          </cell>
          <cell r="E2">
            <v>4120177893</v>
          </cell>
          <cell r="F2">
            <v>54</v>
          </cell>
          <cell r="G2" t="str">
            <v>Perjalanan Dinas Non-Diklat</v>
          </cell>
          <cell r="H2" t="str">
            <v>Kota Makassar - Kab. Mamuju</v>
          </cell>
          <cell r="I2" t="str">
            <v>21/09/2025 - 24/09/2025</v>
          </cell>
          <cell r="J2">
            <v>4</v>
          </cell>
          <cell r="K2" t="str">
            <v>Flight One Way</v>
          </cell>
          <cell r="L2" t="str">
            <v>19-09-2025 16:44:58</v>
          </cell>
          <cell r="M2" t="str">
            <v>Batik Air Domestic UPG Hasanuddin ID-6788 - Batik Air  MJU Tampa Padang ID-6788</v>
          </cell>
          <cell r="N2" t="str">
            <v>SOF YAN GAN</v>
          </cell>
          <cell r="O2">
            <v>7411140</v>
          </cell>
          <cell r="P2" t="str">
            <v>21/09/2025 10:00:00 - 21/09/2025 10:55:00</v>
          </cell>
          <cell r="Q2">
            <v>873400</v>
          </cell>
        </row>
        <row r="3">
          <cell r="A3">
            <v>1285696078</v>
          </cell>
          <cell r="B3" t="str">
            <v>9717071FBY</v>
          </cell>
          <cell r="C3" t="str">
            <v>MUHAMMAD ANDRI LAODE</v>
          </cell>
          <cell r="D3">
            <v>97177618</v>
          </cell>
          <cell r="E3">
            <v>4120177878</v>
          </cell>
          <cell r="F3">
            <v>54</v>
          </cell>
          <cell r="G3" t="str">
            <v>Perjalanan Dinas Non-Diklat</v>
          </cell>
          <cell r="H3" t="str">
            <v>Kab. Bone - Kota Makassar - Kota Semarang</v>
          </cell>
          <cell r="I3" t="str">
            <v>19/09/2025 - 24/09/2025</v>
          </cell>
          <cell r="J3">
            <v>6</v>
          </cell>
          <cell r="K3" t="str">
            <v>Hotel</v>
          </cell>
          <cell r="L3" t="str">
            <v>19-09-2025 15:05:55</v>
          </cell>
          <cell r="M3" t="str">
            <v xml:space="preserve">Dalton Makassar - 3.0 Stars  - </v>
          </cell>
          <cell r="N3" t="str">
            <v>JTC PDKB</v>
          </cell>
          <cell r="O3">
            <v>7409231</v>
          </cell>
          <cell r="P3" t="str">
            <v>19/09/2025 14:00:00 - 20/09/2025 12:00:00</v>
          </cell>
          <cell r="Q3">
            <v>618644</v>
          </cell>
        </row>
        <row r="4">
          <cell r="A4">
            <v>1285587769</v>
          </cell>
          <cell r="B4" t="str">
            <v>9717071FBY</v>
          </cell>
          <cell r="C4" t="str">
            <v>MUHAMMAD ANDRI LAODE</v>
          </cell>
          <cell r="D4">
            <v>97177618</v>
          </cell>
          <cell r="E4">
            <v>4120177878</v>
          </cell>
          <cell r="F4">
            <v>54</v>
          </cell>
          <cell r="G4" t="str">
            <v>Perjalanan Dinas Non-Diklat</v>
          </cell>
          <cell r="H4" t="str">
            <v>Kab. Bone - Kota Makassar - Kota Semarang</v>
          </cell>
          <cell r="I4" t="str">
            <v>19/09/2025 - 24/09/2025</v>
          </cell>
          <cell r="J4">
            <v>6</v>
          </cell>
          <cell r="K4" t="str">
            <v>Flight One Way</v>
          </cell>
          <cell r="L4" t="str">
            <v>19-09-2025 07:31:19</v>
          </cell>
          <cell r="M4" t="str">
            <v>Garuda Indonesia Domestic UPG Hasanuddin GA-605 - Garuda Indonesia Domestic SRG Achmad Yani GA-605</v>
          </cell>
          <cell r="N4" t="str">
            <v>JTC PDKB</v>
          </cell>
          <cell r="O4">
            <v>7409231</v>
          </cell>
          <cell r="P4" t="str">
            <v>20/09/2025 10:55:00 - 20/09/2025 14:40:00</v>
          </cell>
          <cell r="Q4">
            <v>3485800</v>
          </cell>
        </row>
        <row r="5">
          <cell r="A5">
            <v>1285587001</v>
          </cell>
          <cell r="B5" t="str">
            <v>9817009FBY</v>
          </cell>
          <cell r="C5" t="str">
            <v>AKMAL FADIL</v>
          </cell>
          <cell r="D5">
            <v>98177603</v>
          </cell>
          <cell r="E5">
            <v>4120177858</v>
          </cell>
          <cell r="F5">
            <v>54</v>
          </cell>
          <cell r="G5" t="str">
            <v>Perjalanan Dinas Non-Diklat</v>
          </cell>
          <cell r="H5" t="str">
            <v>Kab. Bone - Kota Makassar - Kota Semarang</v>
          </cell>
          <cell r="I5" t="str">
            <v>19/09/2025 - 24/09/2025</v>
          </cell>
          <cell r="J5">
            <v>6</v>
          </cell>
          <cell r="K5" t="str">
            <v>Flight One Way</v>
          </cell>
          <cell r="L5" t="str">
            <v>19-09-2025 07:25:13</v>
          </cell>
          <cell r="M5" t="str">
            <v>Garuda Indonesia Domestic UPG Hasanuddin GA-605 - Garuda Indonesia Domestic SRG Achmad Yani GA-605</v>
          </cell>
          <cell r="N5" t="str">
            <v>JTC PDKB</v>
          </cell>
          <cell r="O5">
            <v>7409231</v>
          </cell>
          <cell r="P5" t="str">
            <v>20/09/2025 10:55:00 - 20/09/2025 14:40:00</v>
          </cell>
          <cell r="Q5">
            <v>3487800</v>
          </cell>
        </row>
        <row r="6">
          <cell r="A6">
            <v>1285702748</v>
          </cell>
          <cell r="B6" t="str">
            <v>9618015FBY</v>
          </cell>
          <cell r="C6" t="str">
            <v>ANDI FADLI</v>
          </cell>
          <cell r="D6">
            <v>96187616</v>
          </cell>
          <cell r="E6">
            <v>4120177862</v>
          </cell>
          <cell r="F6">
            <v>54</v>
          </cell>
          <cell r="G6" t="str">
            <v>Perjalanan Dinas Non-Diklat</v>
          </cell>
          <cell r="H6" t="str">
            <v>Kab. Bone - Kota Makassar - Kota Semarang</v>
          </cell>
          <cell r="I6" t="str">
            <v>19/09/2025 - 24/09/2025</v>
          </cell>
          <cell r="J6">
            <v>6</v>
          </cell>
          <cell r="K6" t="str">
            <v>Hotel</v>
          </cell>
          <cell r="L6" t="str">
            <v>19-09-2025 15:30:52</v>
          </cell>
          <cell r="M6" t="str">
            <v xml:space="preserve">Dalton Makassar - 3.0 Stars  - </v>
          </cell>
          <cell r="N6" t="str">
            <v>JTC PDKB</v>
          </cell>
          <cell r="O6">
            <v>7409231</v>
          </cell>
          <cell r="P6" t="str">
            <v>19/09/2025 14:00:00 - 20/09/2025 12:00:00</v>
          </cell>
          <cell r="Q6">
            <v>595000</v>
          </cell>
        </row>
        <row r="7">
          <cell r="A7">
            <v>1285587149</v>
          </cell>
          <cell r="B7" t="str">
            <v>9618015FBY</v>
          </cell>
          <cell r="C7" t="str">
            <v>ANDI FADLI</v>
          </cell>
          <cell r="D7">
            <v>96187616</v>
          </cell>
          <cell r="E7">
            <v>4120177862</v>
          </cell>
          <cell r="F7">
            <v>54</v>
          </cell>
          <cell r="G7" t="str">
            <v>Perjalanan Dinas Non-Diklat</v>
          </cell>
          <cell r="H7" t="str">
            <v>Kab. Bone - Kota Makassar - Kota Semarang</v>
          </cell>
          <cell r="I7" t="str">
            <v>19/09/2025 - 24/09/2025</v>
          </cell>
          <cell r="J7">
            <v>6</v>
          </cell>
          <cell r="K7" t="str">
            <v>Flight One Way</v>
          </cell>
          <cell r="L7" t="str">
            <v>19-09-2025 07:26:06</v>
          </cell>
          <cell r="M7" t="str">
            <v>Garuda Indonesia Domestic UPG Hasanuddin GA-605 - Garuda Indonesia Domestic SRG Achmad Yani GA-605</v>
          </cell>
          <cell r="N7" t="str">
            <v>JTC PDKB</v>
          </cell>
          <cell r="O7">
            <v>7409231</v>
          </cell>
          <cell r="P7" t="str">
            <v>20/09/2025 10:55:00 - 20/09/2025 14:40:00</v>
          </cell>
          <cell r="Q7">
            <v>3487800</v>
          </cell>
        </row>
        <row r="8">
          <cell r="A8">
            <v>1285586633</v>
          </cell>
          <cell r="B8" t="str">
            <v>9817016FBY</v>
          </cell>
          <cell r="C8" t="str">
            <v>ANDI ARLANGGA BUSPADI</v>
          </cell>
          <cell r="D8">
            <v>98177607</v>
          </cell>
          <cell r="E8">
            <v>4120177860</v>
          </cell>
          <cell r="F8">
            <v>54</v>
          </cell>
          <cell r="G8" t="str">
            <v>Perjalanan Dinas Non-Diklat</v>
          </cell>
          <cell r="H8" t="str">
            <v>Kab. Bone - Kota Makassar - Kota Semarang</v>
          </cell>
          <cell r="I8" t="str">
            <v>19/09/2025 - 24/09/2025</v>
          </cell>
          <cell r="J8">
            <v>6</v>
          </cell>
          <cell r="K8" t="str">
            <v>Flight One Way</v>
          </cell>
          <cell r="L8" t="str">
            <v>19-09-2025 07:22:11</v>
          </cell>
          <cell r="M8" t="str">
            <v>Garuda Indonesia Domestic UPG Hasanuddin GA-605 - Garuda Indonesia Domestic SRG Achmad Yani GA-605</v>
          </cell>
          <cell r="N8" t="str">
            <v>JTC PDKB</v>
          </cell>
          <cell r="O8">
            <v>7409231</v>
          </cell>
          <cell r="P8" t="str">
            <v>20/09/2025 10:55:00 - 20/09/2025 16:55:00</v>
          </cell>
          <cell r="Q8">
            <v>3487800</v>
          </cell>
        </row>
        <row r="9">
          <cell r="A9">
            <v>1285722038</v>
          </cell>
          <cell r="B9" t="str">
            <v>9817016FBY</v>
          </cell>
          <cell r="C9" t="str">
            <v>ANDI ARLANGGA BUSPADI</v>
          </cell>
          <cell r="D9">
            <v>98177607</v>
          </cell>
          <cell r="E9">
            <v>4120177860</v>
          </cell>
          <cell r="F9">
            <v>54</v>
          </cell>
          <cell r="G9" t="str">
            <v>Perjalanan Dinas Non-Diklat</v>
          </cell>
          <cell r="H9" t="str">
            <v>Kab. Bone - Kota Makassar - Kota Semarang</v>
          </cell>
          <cell r="I9" t="str">
            <v>19/09/2025 - 24/09/2025</v>
          </cell>
          <cell r="J9">
            <v>6</v>
          </cell>
          <cell r="K9" t="str">
            <v>Hotel</v>
          </cell>
          <cell r="L9" t="str">
            <v>19-09-2025 16:45:18</v>
          </cell>
          <cell r="M9" t="str">
            <v xml:space="preserve">Dalton Makassar - 3.0 Stars  - </v>
          </cell>
          <cell r="N9" t="str">
            <v>JTC PDKB</v>
          </cell>
          <cell r="O9">
            <v>7409231</v>
          </cell>
          <cell r="P9" t="str">
            <v>19/09/2025 14:00:00 - 20/09/2025 12:00:00</v>
          </cell>
          <cell r="Q9">
            <v>618644</v>
          </cell>
        </row>
        <row r="10">
          <cell r="A10">
            <v>1285706086</v>
          </cell>
          <cell r="B10" t="str">
            <v>9212073FY</v>
          </cell>
          <cell r="C10" t="str">
            <v>ALIM BAMULY</v>
          </cell>
          <cell r="D10">
            <v>92127630</v>
          </cell>
          <cell r="E10">
            <v>4120177857</v>
          </cell>
          <cell r="F10">
            <v>54</v>
          </cell>
          <cell r="G10" t="str">
            <v>Perjalanan Dinas Non-Diklat</v>
          </cell>
          <cell r="H10" t="str">
            <v>Kab. Bone - Kota Makassar - Kota Semarang</v>
          </cell>
          <cell r="I10" t="str">
            <v>19/09/2025 - 24/09/2025</v>
          </cell>
          <cell r="J10">
            <v>6</v>
          </cell>
          <cell r="K10" t="str">
            <v>Hotel</v>
          </cell>
          <cell r="L10" t="str">
            <v>19-09-2025 15:43:30</v>
          </cell>
          <cell r="M10" t="str">
            <v xml:space="preserve">Dalton Makassar - 3.0 Stars  - </v>
          </cell>
          <cell r="N10" t="str">
            <v>TC PDKB</v>
          </cell>
          <cell r="O10">
            <v>7409231</v>
          </cell>
          <cell r="P10" t="str">
            <v>19/09/2025 14:00:00 - 20/09/2025 12:00:00</v>
          </cell>
          <cell r="Q10">
            <v>618644</v>
          </cell>
        </row>
        <row r="11">
          <cell r="A11">
            <v>1285587495</v>
          </cell>
          <cell r="B11" t="str">
            <v>9212073FY</v>
          </cell>
          <cell r="C11" t="str">
            <v>ALIM BAMULY</v>
          </cell>
          <cell r="D11">
            <v>92127630</v>
          </cell>
          <cell r="E11">
            <v>4120177857</v>
          </cell>
          <cell r="F11">
            <v>54</v>
          </cell>
          <cell r="G11" t="str">
            <v>Perjalanan Dinas Non-Diklat</v>
          </cell>
          <cell r="H11" t="str">
            <v>Kab. Bone - Kota Makassar - Kota Semarang</v>
          </cell>
          <cell r="I11" t="str">
            <v>19/09/2025 - 24/09/2025</v>
          </cell>
          <cell r="J11">
            <v>6</v>
          </cell>
          <cell r="K11" t="str">
            <v>Flight One Way</v>
          </cell>
          <cell r="L11" t="str">
            <v>19-09-2025 07:28:42</v>
          </cell>
          <cell r="M11" t="str">
            <v>Garuda Indonesia Domestic UPG Hasanuddin GA-605 - Garuda Indonesia Domestic SRG Achmad Yani GA-605</v>
          </cell>
          <cell r="N11" t="str">
            <v>TC PDKB</v>
          </cell>
          <cell r="O11">
            <v>7409231</v>
          </cell>
          <cell r="P11" t="str">
            <v>20/09/2025 10:55:00 - 20/09/2025 14:40:00</v>
          </cell>
          <cell r="Q11">
            <v>3485800</v>
          </cell>
        </row>
        <row r="12">
          <cell r="A12">
            <v>1285590724</v>
          </cell>
          <cell r="B12" t="str">
            <v>9718076FBY</v>
          </cell>
          <cell r="C12" t="str">
            <v>ANDI ASNAM IRFAN</v>
          </cell>
          <cell r="D12">
            <v>97187628</v>
          </cell>
          <cell r="E12">
            <v>4120177859</v>
          </cell>
          <cell r="F12">
            <v>54</v>
          </cell>
          <cell r="G12" t="str">
            <v>Perjalanan Dinas Non-Diklat</v>
          </cell>
          <cell r="H12" t="str">
            <v>Kab. Bone - Kota Makassar - Kota Semarang</v>
          </cell>
          <cell r="I12" t="str">
            <v>19/09/2025 - 24/09/2025</v>
          </cell>
          <cell r="J12">
            <v>6</v>
          </cell>
          <cell r="K12" t="str">
            <v>Flight One Way</v>
          </cell>
          <cell r="L12" t="str">
            <v>19-09-2025 07:51:54</v>
          </cell>
          <cell r="M12" t="str">
            <v>Garuda Indonesia Domestic UPG Hasanuddin GA-605 - Garuda Indonesia Domestic SRG Achmad Yani GA-605</v>
          </cell>
          <cell r="N12" t="str">
            <v>JTC PDKB</v>
          </cell>
          <cell r="O12">
            <v>7409231</v>
          </cell>
          <cell r="P12" t="str">
            <v>20/09/2025 10:55:00 - 20/09/2025 14:40:00</v>
          </cell>
          <cell r="Q12">
            <v>3485800</v>
          </cell>
        </row>
        <row r="13">
          <cell r="A13">
            <v>1285703959</v>
          </cell>
          <cell r="B13" t="str">
            <v>9718076FBY</v>
          </cell>
          <cell r="C13" t="str">
            <v>ANDI ASNAM IRFAN</v>
          </cell>
          <cell r="D13">
            <v>97187628</v>
          </cell>
          <cell r="E13">
            <v>4120177859</v>
          </cell>
          <cell r="F13">
            <v>54</v>
          </cell>
          <cell r="G13" t="str">
            <v>Perjalanan Dinas Non-Diklat</v>
          </cell>
          <cell r="H13" t="str">
            <v>Kab. Bone - Kota Makassar - Kota Semarang</v>
          </cell>
          <cell r="I13" t="str">
            <v>19/09/2025 - 24/09/2025</v>
          </cell>
          <cell r="J13">
            <v>6</v>
          </cell>
          <cell r="K13" t="str">
            <v>Hotel</v>
          </cell>
          <cell r="L13" t="str">
            <v>19-09-2025 15:35:20</v>
          </cell>
          <cell r="M13" t="str">
            <v xml:space="preserve">Dalton Makassar - 3.0 Stars  - </v>
          </cell>
          <cell r="N13" t="str">
            <v>JTC PDKB</v>
          </cell>
          <cell r="O13">
            <v>7409231</v>
          </cell>
          <cell r="P13" t="str">
            <v>19/09/2025 14:00:00 - 20/09/2025 12:00:00</v>
          </cell>
          <cell r="Q13">
            <v>618644</v>
          </cell>
        </row>
        <row r="14">
          <cell r="A14">
            <v>1285587115</v>
          </cell>
          <cell r="B14" t="str">
            <v>9818133FBY</v>
          </cell>
          <cell r="C14" t="str">
            <v>BOBY ALFIYANTO</v>
          </cell>
          <cell r="D14">
            <v>98187623</v>
          </cell>
          <cell r="E14">
            <v>4120177851</v>
          </cell>
          <cell r="F14">
            <v>54</v>
          </cell>
          <cell r="G14" t="str">
            <v>Perjalanan Dinas Non-Diklat</v>
          </cell>
          <cell r="H14" t="str">
            <v>Kab. Bone - Kota Makassar - Kota Semarang</v>
          </cell>
          <cell r="I14" t="str">
            <v>19/09/2025 - 24/09/2025</v>
          </cell>
          <cell r="J14">
            <v>6</v>
          </cell>
          <cell r="K14" t="str">
            <v>Flight One Way</v>
          </cell>
          <cell r="L14" t="str">
            <v>19-09-2025 07:26:09</v>
          </cell>
          <cell r="M14" t="str">
            <v>Garuda Indonesia Domestic UPG Hasanuddin GA-605 - Garuda Indonesia Domestic SRG Achmad Yani GA-605</v>
          </cell>
          <cell r="N14" t="str">
            <v>JTC PDKB</v>
          </cell>
          <cell r="O14">
            <v>7409231</v>
          </cell>
          <cell r="P14" t="str">
            <v>20/09/2025 10:55:00 - 20/09/2025 14:40:00</v>
          </cell>
          <cell r="Q14">
            <v>3487800</v>
          </cell>
        </row>
        <row r="15">
          <cell r="A15">
            <v>1285589374</v>
          </cell>
          <cell r="B15" t="str">
            <v>9716067FY</v>
          </cell>
          <cell r="C15" t="str">
            <v>FARHAN ALBAR MIFTAHULHUDA</v>
          </cell>
          <cell r="D15">
            <v>97167849</v>
          </cell>
          <cell r="E15">
            <v>4120177853</v>
          </cell>
          <cell r="F15">
            <v>54</v>
          </cell>
          <cell r="G15" t="str">
            <v>Perjalanan Dinas Non-Diklat</v>
          </cell>
          <cell r="H15" t="str">
            <v>Kab. Bone - Kota Makassar - Kota Semarang</v>
          </cell>
          <cell r="I15" t="str">
            <v>19/09/2025 - 24/09/2025</v>
          </cell>
          <cell r="J15">
            <v>6</v>
          </cell>
          <cell r="K15" t="str">
            <v>Flight One Way</v>
          </cell>
          <cell r="L15" t="str">
            <v>19-09-2025 07:43:07</v>
          </cell>
          <cell r="M15" t="str">
            <v>Garuda Indonesia Domestic UPG Hasanuddin GA-605 - Garuda Indonesia Domestic SRG Achmad Yani GA-605</v>
          </cell>
          <cell r="N15" t="str">
            <v>JTC PDKB</v>
          </cell>
          <cell r="O15">
            <v>7409231</v>
          </cell>
          <cell r="P15" t="str">
            <v>20/09/2025 10:55:00 - 20/09/2025 14:40:00</v>
          </cell>
          <cell r="Q15">
            <v>3485800</v>
          </cell>
        </row>
        <row r="16">
          <cell r="A16">
            <v>1285705069</v>
          </cell>
          <cell r="B16" t="str">
            <v>9716067FY</v>
          </cell>
          <cell r="C16" t="str">
            <v>FARHAN ALBAR MIFTAHULHUDA</v>
          </cell>
          <cell r="D16">
            <v>97167849</v>
          </cell>
          <cell r="E16">
            <v>4120177853</v>
          </cell>
          <cell r="F16">
            <v>54</v>
          </cell>
          <cell r="G16" t="str">
            <v>Perjalanan Dinas Non-Diklat</v>
          </cell>
          <cell r="H16" t="str">
            <v>Kab. Bone - Kota Makassar - Kota Semarang</v>
          </cell>
          <cell r="I16" t="str">
            <v>19/09/2025 - 24/09/2025</v>
          </cell>
          <cell r="J16">
            <v>6</v>
          </cell>
          <cell r="K16" t="str">
            <v>Hotel</v>
          </cell>
          <cell r="L16" t="str">
            <v>19-09-2025 15:39:33</v>
          </cell>
          <cell r="M16" t="str">
            <v xml:space="preserve">Dalton Makassar - 3.0 Stars  - </v>
          </cell>
          <cell r="N16" t="str">
            <v>JTC PDKB</v>
          </cell>
          <cell r="O16">
            <v>7409231</v>
          </cell>
          <cell r="P16" t="str">
            <v>19/09/2025 14:00:00 - 24/09/2025 12:00:00</v>
          </cell>
          <cell r="Q16">
            <v>2975000</v>
          </cell>
        </row>
        <row r="17">
          <cell r="A17">
            <v>1285587774</v>
          </cell>
          <cell r="B17" t="str">
            <v>8308017F</v>
          </cell>
          <cell r="C17" t="str">
            <v xml:space="preserve">YUSDI </v>
          </cell>
          <cell r="D17">
            <v>83087609</v>
          </cell>
          <cell r="E17">
            <v>4120177854</v>
          </cell>
          <cell r="F17">
            <v>54</v>
          </cell>
          <cell r="G17" t="str">
            <v>Perjalanan Dinas Non-Diklat</v>
          </cell>
          <cell r="H17" t="str">
            <v>Kab. Bone - Kota Makassar - Kota Semarang</v>
          </cell>
          <cell r="I17" t="str">
            <v>19/09/2025 - 24/09/2025</v>
          </cell>
          <cell r="J17">
            <v>6</v>
          </cell>
          <cell r="K17" t="str">
            <v>Flight One Way</v>
          </cell>
          <cell r="L17" t="str">
            <v>19-09-2025 07:30:54</v>
          </cell>
          <cell r="M17" t="str">
            <v>Garuda Indonesia Domestic UPG Hasanuddin GA-605 - Garuda Indonesia Domestic SRG Achmad Yani GA-605</v>
          </cell>
          <cell r="N17" t="str">
            <v>TL PDKB</v>
          </cell>
          <cell r="O17">
            <v>7409231</v>
          </cell>
          <cell r="P17" t="str">
            <v>20/09/2025 10:55:00 - 20/09/2025 14:40:00</v>
          </cell>
          <cell r="Q17">
            <v>3485800</v>
          </cell>
        </row>
        <row r="18">
          <cell r="A18">
            <v>1285773577</v>
          </cell>
          <cell r="B18" t="str">
            <v>8308017F</v>
          </cell>
          <cell r="C18" t="str">
            <v xml:space="preserve">YUSDI </v>
          </cell>
          <cell r="D18">
            <v>83087609</v>
          </cell>
          <cell r="E18">
            <v>4120177854</v>
          </cell>
          <cell r="F18">
            <v>54</v>
          </cell>
          <cell r="G18" t="str">
            <v>Perjalanan Dinas Non-Diklat</v>
          </cell>
          <cell r="H18" t="str">
            <v>Kab. Bone - Kota Makassar - Kota Semarang</v>
          </cell>
          <cell r="I18" t="str">
            <v>19/09/2025 - 24/09/2025</v>
          </cell>
          <cell r="J18">
            <v>6</v>
          </cell>
          <cell r="K18" t="str">
            <v>Hotel</v>
          </cell>
          <cell r="L18" t="str">
            <v>19-09-2025 20:17:27</v>
          </cell>
          <cell r="M18" t="str">
            <v xml:space="preserve">Dalton Makassar - 3.0 Stars  - </v>
          </cell>
          <cell r="N18" t="str">
            <v>TL PDKB</v>
          </cell>
          <cell r="O18">
            <v>7409231</v>
          </cell>
          <cell r="P18" t="str">
            <v>19/09/2025 14:00:00 - 20/09/2025 12:00:00</v>
          </cell>
          <cell r="Q18">
            <v>595000</v>
          </cell>
        </row>
        <row r="19">
          <cell r="A19">
            <v>1285587565</v>
          </cell>
          <cell r="B19" t="str">
            <v>9213020FY</v>
          </cell>
          <cell r="C19" t="str">
            <v>ANDI NURDIN</v>
          </cell>
          <cell r="D19">
            <v>92137649</v>
          </cell>
          <cell r="E19">
            <v>4120177849</v>
          </cell>
          <cell r="F19">
            <v>54</v>
          </cell>
          <cell r="G19" t="str">
            <v>Perjalanan Dinas Non-Diklat</v>
          </cell>
          <cell r="H19" t="str">
            <v>Kab. Bone - Kota Makassar - Kota Semarang</v>
          </cell>
          <cell r="I19" t="str">
            <v>19/09/2025 - 24/09/2025</v>
          </cell>
          <cell r="J19">
            <v>6</v>
          </cell>
          <cell r="K19" t="str">
            <v>Flight One Way</v>
          </cell>
          <cell r="L19" t="str">
            <v>19-09-2025 07:29:14</v>
          </cell>
          <cell r="M19" t="str">
            <v>Garuda Indonesia Domestic UPG Hasanuddin GA-605 - Garuda Indonesia Domestic SRG Achmad Yani GA-605</v>
          </cell>
          <cell r="N19" t="str">
            <v>TC PDKB</v>
          </cell>
          <cell r="O19">
            <v>7409231</v>
          </cell>
          <cell r="P19" t="str">
            <v>20/09/2025 10:55:00 - 20/09/2025 14:40:00</v>
          </cell>
          <cell r="Q19">
            <v>3485800</v>
          </cell>
        </row>
        <row r="20">
          <cell r="A20">
            <v>1285706224</v>
          </cell>
          <cell r="B20" t="str">
            <v>9213020FY</v>
          </cell>
          <cell r="C20" t="str">
            <v>ANDI NURDIN</v>
          </cell>
          <cell r="D20">
            <v>92137649</v>
          </cell>
          <cell r="E20">
            <v>4120177849</v>
          </cell>
          <cell r="F20">
            <v>54</v>
          </cell>
          <cell r="G20" t="str">
            <v>Perjalanan Dinas Non-Diklat</v>
          </cell>
          <cell r="H20" t="str">
            <v>Kab. Bone - Kota Makassar - Kota Semarang</v>
          </cell>
          <cell r="I20" t="str">
            <v>19/09/2025 - 24/09/2025</v>
          </cell>
          <cell r="J20">
            <v>6</v>
          </cell>
          <cell r="K20" t="str">
            <v>Hotel</v>
          </cell>
          <cell r="L20" t="str">
            <v>19-09-2025 15:43:57</v>
          </cell>
          <cell r="M20" t="str">
            <v xml:space="preserve">Dalton Makassar - 3.0 Stars  - </v>
          </cell>
          <cell r="N20" t="str">
            <v>TC PDKB</v>
          </cell>
          <cell r="O20">
            <v>7409231</v>
          </cell>
          <cell r="P20" t="str">
            <v>19/09/2025 14:00:00 - 20/09/2025 12:00:00</v>
          </cell>
          <cell r="Q20">
            <v>618644</v>
          </cell>
        </row>
        <row r="21">
          <cell r="A21">
            <v>1285584825</v>
          </cell>
          <cell r="B21" t="str">
            <v>8408025F</v>
          </cell>
          <cell r="C21" t="str">
            <v>HARYADI KASIM</v>
          </cell>
          <cell r="D21">
            <v>84087606</v>
          </cell>
          <cell r="E21">
            <v>4120177875</v>
          </cell>
          <cell r="F21">
            <v>54</v>
          </cell>
          <cell r="G21" t="str">
            <v>Perjalanan Dinas Non-Diklat</v>
          </cell>
          <cell r="H21" t="str">
            <v>Kota Makassar - Kota Semarang</v>
          </cell>
          <cell r="I21" t="str">
            <v>20/09/2025 - 27/09/2025</v>
          </cell>
          <cell r="J21">
            <v>8</v>
          </cell>
          <cell r="K21" t="str">
            <v>Flight One Way</v>
          </cell>
          <cell r="L21" t="str">
            <v>19-09-2025 07:06:36</v>
          </cell>
          <cell r="M21" t="str">
            <v>Batik Air Domestic UPG Hasanuddin ID-6265 - Batik Air Domestic SRG Achmad Yani ID-6265</v>
          </cell>
          <cell r="N21" t="str">
            <v>ASMAN PDKB</v>
          </cell>
          <cell r="O21">
            <v>7412000</v>
          </cell>
          <cell r="P21" t="str">
            <v>20/09/2025 06:25:00 - 20/09/2025 10:55:00</v>
          </cell>
          <cell r="Q21">
            <v>2320600</v>
          </cell>
        </row>
        <row r="22">
          <cell r="A22">
            <v>1285787380</v>
          </cell>
          <cell r="B22" t="str">
            <v>8408025F</v>
          </cell>
          <cell r="C22" t="str">
            <v>HARYADI KASIM</v>
          </cell>
          <cell r="D22">
            <v>84087606</v>
          </cell>
          <cell r="E22">
            <v>4120177875</v>
          </cell>
          <cell r="F22">
            <v>54</v>
          </cell>
          <cell r="G22" t="str">
            <v>Perjalanan Dinas Non-Diklat</v>
          </cell>
          <cell r="H22" t="str">
            <v>Kota Makassar - Kota Semarang</v>
          </cell>
          <cell r="I22" t="str">
            <v>20/09/2025 - 27/09/2025</v>
          </cell>
          <cell r="J22">
            <v>8</v>
          </cell>
          <cell r="K22" t="str">
            <v>Hotel</v>
          </cell>
          <cell r="L22" t="str">
            <v>19-09-2025 21:15:37</v>
          </cell>
          <cell r="M22" t="str">
            <v xml:space="preserve">Holiday Inn Express SEMARANG SIMPANG LIMA by IHG, an IHG Hotel - 3.0 Stars  - </v>
          </cell>
          <cell r="N22" t="str">
            <v>ASMAN PDKB</v>
          </cell>
          <cell r="O22">
            <v>7412000</v>
          </cell>
          <cell r="P22" t="str">
            <v>20/09/2025 14:00:00 - 24/09/2025 12:00:00</v>
          </cell>
          <cell r="Q22">
            <v>3235993</v>
          </cell>
        </row>
        <row r="23">
          <cell r="A23">
            <v>1285500782</v>
          </cell>
          <cell r="B23" t="str">
            <v>9924438ZY</v>
          </cell>
          <cell r="C23" t="str">
            <v>ANDHY PRASETIYO</v>
          </cell>
          <cell r="D23">
            <v>99241438</v>
          </cell>
          <cell r="E23">
            <v>4120177761</v>
          </cell>
          <cell r="F23">
            <v>54</v>
          </cell>
          <cell r="G23" t="str">
            <v>Perjalanan Dinas Diklat</v>
          </cell>
          <cell r="H23" t="str">
            <v>Kab. Mamasa - Kab. Pasuruan</v>
          </cell>
          <cell r="I23" t="str">
            <v>28/09/2025 - 04/10/2025</v>
          </cell>
          <cell r="J23">
            <v>7</v>
          </cell>
          <cell r="K23" t="str">
            <v>Flight One Way</v>
          </cell>
          <cell r="L23" t="str">
            <v>18-09-2025 18:55:14</v>
          </cell>
          <cell r="M23" t="str">
            <v>Citilink Domestic UPG Hasanuddin QG-351 - Citilink 1A SUB Juanda QG-351</v>
          </cell>
          <cell r="N23" t="str">
            <v>JTC OP DAN HAR DIST</v>
          </cell>
          <cell r="O23">
            <v>7409658</v>
          </cell>
          <cell r="P23" t="str">
            <v>28/09/2025 09:05:00 - 28/09/2025 09:40:00</v>
          </cell>
          <cell r="Q23">
            <v>1065100</v>
          </cell>
        </row>
        <row r="24">
          <cell r="A24">
            <v>1285684705</v>
          </cell>
          <cell r="B24" t="str">
            <v>8209147Z</v>
          </cell>
          <cell r="C24" t="str">
            <v>WENNY DIANA</v>
          </cell>
          <cell r="D24">
            <v>82097400</v>
          </cell>
          <cell r="E24">
            <v>4120177866</v>
          </cell>
          <cell r="F24">
            <v>54</v>
          </cell>
          <cell r="G24" t="str">
            <v>Perjalanan Dinas Non-Diklat</v>
          </cell>
          <cell r="H24" t="str">
            <v>Kota Makassar - Jakarta Selatan</v>
          </cell>
          <cell r="I24" t="str">
            <v>18/09/2025 - 19/09/2025</v>
          </cell>
          <cell r="J24">
            <v>2</v>
          </cell>
          <cell r="K24" t="str">
            <v>Flight One Way</v>
          </cell>
          <cell r="L24" t="str">
            <v>19-09-2025 14:23:05</v>
          </cell>
          <cell r="M24" t="str">
            <v>Garuda Indonesia  CGK Soekarno Hatta International Airport GA-616 - Garuda Indonesia Domestic UPG Hasanuddin GA-616</v>
          </cell>
          <cell r="N24" t="str">
            <v>SOF IPP DAN EXCESS POWER</v>
          </cell>
          <cell r="O24">
            <v>7412110</v>
          </cell>
          <cell r="P24" t="str">
            <v>19/09/2025 18:30:00 - 19/09/2025 22:05:00</v>
          </cell>
          <cell r="Q24">
            <v>2232900</v>
          </cell>
        </row>
        <row r="25">
          <cell r="A25">
            <v>1285494464</v>
          </cell>
          <cell r="B25" t="str">
            <v>8209147Z</v>
          </cell>
          <cell r="C25" t="str">
            <v>WENNY DIANA</v>
          </cell>
          <cell r="D25">
            <v>82097400</v>
          </cell>
          <cell r="E25">
            <v>4120177866</v>
          </cell>
          <cell r="F25">
            <v>54</v>
          </cell>
          <cell r="G25" t="str">
            <v>Perjalanan Dinas Non-Diklat</v>
          </cell>
          <cell r="H25" t="str">
            <v>Kota Makassar - Jakarta Selatan</v>
          </cell>
          <cell r="I25" t="str">
            <v>18/09/2025 - 19/09/2025</v>
          </cell>
          <cell r="J25">
            <v>2</v>
          </cell>
          <cell r="K25" t="str">
            <v>Hotel</v>
          </cell>
          <cell r="L25" t="str">
            <v>18-09-2025 18:28:08</v>
          </cell>
          <cell r="M25" t="str">
            <v xml:space="preserve">Ambhara Hotel - 4.0 Stars  - </v>
          </cell>
          <cell r="N25" t="str">
            <v>SOF IPP DAN EXCESS POWER</v>
          </cell>
          <cell r="O25">
            <v>7412110</v>
          </cell>
          <cell r="P25" t="str">
            <v>18/09/2025 14:00:00 - 19/09/2025 12:00:00</v>
          </cell>
          <cell r="Q25">
            <v>894882</v>
          </cell>
        </row>
        <row r="26">
          <cell r="A26">
            <v>1285426407</v>
          </cell>
          <cell r="B26" t="str">
            <v>8209147Z</v>
          </cell>
          <cell r="C26" t="str">
            <v>WENNY DIANA</v>
          </cell>
          <cell r="D26">
            <v>82097400</v>
          </cell>
          <cell r="E26">
            <v>4120177866</v>
          </cell>
          <cell r="F26">
            <v>54</v>
          </cell>
          <cell r="G26" t="str">
            <v>Perjalanan Dinas Non-Diklat</v>
          </cell>
          <cell r="H26" t="str">
            <v>Kota Makassar - Jakarta Selatan</v>
          </cell>
          <cell r="I26" t="str">
            <v>18/09/2025 - 19/09/2025</v>
          </cell>
          <cell r="J26">
            <v>2</v>
          </cell>
          <cell r="K26" t="str">
            <v>Flight One Way</v>
          </cell>
          <cell r="L26" t="str">
            <v>18-09-2025 13:46:32</v>
          </cell>
          <cell r="M26" t="str">
            <v>Garuda Indonesia Domestic UPG Hasanuddin GA-615 - Garuda Indonesia  CGK Soekarno Hatta International Airport GA-615</v>
          </cell>
          <cell r="N26" t="str">
            <v>SOF IPP DAN EXCESS POWER</v>
          </cell>
          <cell r="O26">
            <v>7412110</v>
          </cell>
          <cell r="P26" t="str">
            <v>18/09/2025 19:30:00 - 18/09/2025 21:00:00</v>
          </cell>
          <cell r="Q26">
            <v>2334400</v>
          </cell>
        </row>
        <row r="27">
          <cell r="A27">
            <v>1285684670</v>
          </cell>
          <cell r="B27" t="str">
            <v>7802014F</v>
          </cell>
          <cell r="C27" t="str">
            <v>MUHAMMAD ISMAIL</v>
          </cell>
          <cell r="D27">
            <v>78027603</v>
          </cell>
          <cell r="E27">
            <v>4120177865</v>
          </cell>
          <cell r="F27">
            <v>54</v>
          </cell>
          <cell r="G27" t="str">
            <v>Perjalanan Dinas Non-Diklat</v>
          </cell>
          <cell r="H27" t="str">
            <v>Kota Makassar - Jakarta Selatan</v>
          </cell>
          <cell r="I27" t="str">
            <v>18/09/2025 - 19/09/2025</v>
          </cell>
          <cell r="J27">
            <v>2</v>
          </cell>
          <cell r="K27" t="str">
            <v>Flight One Way</v>
          </cell>
          <cell r="L27" t="str">
            <v>19-09-2025 14:22:57</v>
          </cell>
          <cell r="M27" t="str">
            <v>Garuda Indonesia  CGK Soekarno Hatta International Airport GA-616 - Garuda Indonesia Domestic UPG Hasanuddin GA-616</v>
          </cell>
          <cell r="N27" t="str">
            <v>MAN IPP DAN EXCESS POWER</v>
          </cell>
          <cell r="O27">
            <v>7412110</v>
          </cell>
          <cell r="P27" t="str">
            <v>19/09/2025 18:30:00 - 19/09/2025 22:05:00</v>
          </cell>
          <cell r="Q27">
            <v>2232900</v>
          </cell>
        </row>
        <row r="28">
          <cell r="A28">
            <v>1285459789</v>
          </cell>
          <cell r="B28" t="str">
            <v>7802014F</v>
          </cell>
          <cell r="C28" t="str">
            <v>MUHAMMAD ISMAIL</v>
          </cell>
          <cell r="D28">
            <v>78027603</v>
          </cell>
          <cell r="E28">
            <v>4120177865</v>
          </cell>
          <cell r="F28">
            <v>54</v>
          </cell>
          <cell r="G28" t="str">
            <v>Perjalanan Dinas Non-Diklat</v>
          </cell>
          <cell r="H28" t="str">
            <v>Kota Makassar - Jakarta Selatan</v>
          </cell>
          <cell r="I28" t="str">
            <v>18/09/2025 - 19/09/2025</v>
          </cell>
          <cell r="J28">
            <v>2</v>
          </cell>
          <cell r="K28" t="str">
            <v>Flight One Way</v>
          </cell>
          <cell r="L28" t="str">
            <v>18-09-2025 15:59:12</v>
          </cell>
          <cell r="M28" t="str">
            <v>Garuda Indonesia Domestic UPG Hasanuddin GA-615 - Garuda Indonesia  CGK Soekarno Hatta International Airport GA-615</v>
          </cell>
          <cell r="N28" t="str">
            <v>MAN IPP DAN EXCESS POWER</v>
          </cell>
          <cell r="O28">
            <v>7412110</v>
          </cell>
          <cell r="P28" t="str">
            <v>18/09/2025 19:30:00 - 18/09/2025 21:00:00</v>
          </cell>
          <cell r="Q28">
            <v>2345200</v>
          </cell>
        </row>
        <row r="29">
          <cell r="A29">
            <v>1285492688</v>
          </cell>
          <cell r="B29" t="str">
            <v>7802014F</v>
          </cell>
          <cell r="C29" t="str">
            <v>MUHAMMAD ISMAIL</v>
          </cell>
          <cell r="D29">
            <v>78027603</v>
          </cell>
          <cell r="E29">
            <v>4120177865</v>
          </cell>
          <cell r="F29">
            <v>54</v>
          </cell>
          <cell r="G29" t="str">
            <v>Perjalanan Dinas Non-Diklat</v>
          </cell>
          <cell r="H29" t="str">
            <v>Kota Makassar - Jakarta Selatan</v>
          </cell>
          <cell r="I29" t="str">
            <v>18/09/2025 - 19/09/2025</v>
          </cell>
          <cell r="J29">
            <v>2</v>
          </cell>
          <cell r="K29" t="str">
            <v>Hotel</v>
          </cell>
          <cell r="L29" t="str">
            <v>18-09-2025 18:20:06</v>
          </cell>
          <cell r="M29" t="str">
            <v xml:space="preserve">Ambhara Hotel - 4.0 Stars  - </v>
          </cell>
          <cell r="N29" t="str">
            <v>MAN IPP DAN EXCESS POWER</v>
          </cell>
          <cell r="O29">
            <v>7412110</v>
          </cell>
          <cell r="P29" t="str">
            <v>18/09/2025 14:00:00 - 19/09/2025 12:00:00</v>
          </cell>
          <cell r="Q29">
            <v>1098264</v>
          </cell>
        </row>
        <row r="30">
          <cell r="A30">
            <v>1285480229</v>
          </cell>
          <cell r="B30" t="str">
            <v>9413115FY</v>
          </cell>
          <cell r="C30" t="str">
            <v>FUADUL FAKHIR</v>
          </cell>
          <cell r="D30">
            <v>96137689</v>
          </cell>
          <cell r="E30">
            <v>4120177822</v>
          </cell>
          <cell r="F30">
            <v>54</v>
          </cell>
          <cell r="G30" t="str">
            <v>Perjalanan Dinas Non-Diklat</v>
          </cell>
          <cell r="H30" t="str">
            <v>Kota Makassar - Kota Semarang</v>
          </cell>
          <cell r="I30" t="str">
            <v>20/09/2025 - 24/09/2025</v>
          </cell>
          <cell r="J30">
            <v>5</v>
          </cell>
          <cell r="K30" t="str">
            <v>Hotel</v>
          </cell>
          <cell r="L30" t="str">
            <v>18-09-2025 17:24:41</v>
          </cell>
          <cell r="M30" t="str">
            <v xml:space="preserve">Quest Hotel Simpang Lima - Semarang by ASTON - 4.0 Stars  - </v>
          </cell>
          <cell r="N30" t="str">
            <v>JTC PDKB</v>
          </cell>
          <cell r="O30">
            <v>74092705</v>
          </cell>
          <cell r="P30" t="str">
            <v>20/09/2025 14:00:00 - 24/09/2025 12:00:00</v>
          </cell>
          <cell r="Q30">
            <v>2928617</v>
          </cell>
        </row>
        <row r="31">
          <cell r="A31">
            <v>1285475227</v>
          </cell>
          <cell r="B31" t="str">
            <v>9413115FY</v>
          </cell>
          <cell r="C31" t="str">
            <v>FUADUL FAKHIR</v>
          </cell>
          <cell r="D31">
            <v>96137689</v>
          </cell>
          <cell r="E31">
            <v>4120177822</v>
          </cell>
          <cell r="F31">
            <v>54</v>
          </cell>
          <cell r="G31" t="str">
            <v>Perjalanan Dinas Non-Diklat</v>
          </cell>
          <cell r="H31" t="str">
            <v>Kota Makassar - Kota Semarang</v>
          </cell>
          <cell r="I31" t="str">
            <v>20/09/2025 - 24/09/2025</v>
          </cell>
          <cell r="J31">
            <v>5</v>
          </cell>
          <cell r="K31" t="str">
            <v>Flight One Way</v>
          </cell>
          <cell r="L31" t="str">
            <v>18-09-2025 17:02:34</v>
          </cell>
          <cell r="M31" t="str">
            <v>Lion Air Domestic UPG Hasanuddin JT-871 - Lion Air Domestic SRG Achmad Yani JT-871</v>
          </cell>
          <cell r="N31" t="str">
            <v>JTC PDKB</v>
          </cell>
          <cell r="O31">
            <v>74092705</v>
          </cell>
          <cell r="P31" t="str">
            <v>20/09/2025 09:00:00 - 20/09/2025 14:00:00</v>
          </cell>
          <cell r="Q31">
            <v>2138100</v>
          </cell>
        </row>
        <row r="32">
          <cell r="A32">
            <v>1285472907</v>
          </cell>
          <cell r="B32" t="str">
            <v>9313099FY</v>
          </cell>
          <cell r="C32" t="str">
            <v>REZA ANUGRAH</v>
          </cell>
          <cell r="D32">
            <v>96137687</v>
          </cell>
          <cell r="E32">
            <v>4120177834</v>
          </cell>
          <cell r="F32">
            <v>54</v>
          </cell>
          <cell r="G32" t="str">
            <v>Perjalanan Dinas Non-Diklat</v>
          </cell>
          <cell r="H32" t="str">
            <v>Kota Makassar - Kota Semarang</v>
          </cell>
          <cell r="I32" t="str">
            <v>20/09/2025 - 24/09/2025</v>
          </cell>
          <cell r="J32">
            <v>5</v>
          </cell>
          <cell r="K32" t="str">
            <v>Flight One Way</v>
          </cell>
          <cell r="L32" t="str">
            <v>18-09-2025 16:52:23</v>
          </cell>
          <cell r="M32" t="str">
            <v>Lion Air Domestic UPG Hasanuddin JT-871 - Lion Air Domestic SRG Achmad Yani JT-871</v>
          </cell>
          <cell r="N32" t="str">
            <v>JTC PDKB</v>
          </cell>
          <cell r="O32">
            <v>74092705</v>
          </cell>
          <cell r="P32" t="str">
            <v>20/09/2025 09:00:00 - 20/09/2025 14:00:00</v>
          </cell>
          <cell r="Q32">
            <v>2138100</v>
          </cell>
        </row>
        <row r="33">
          <cell r="A33">
            <v>1285480897</v>
          </cell>
          <cell r="B33" t="str">
            <v>9313099FY</v>
          </cell>
          <cell r="C33" t="str">
            <v>REZA ANUGRAH</v>
          </cell>
          <cell r="D33">
            <v>96137687</v>
          </cell>
          <cell r="E33">
            <v>4120177834</v>
          </cell>
          <cell r="F33">
            <v>54</v>
          </cell>
          <cell r="G33" t="str">
            <v>Perjalanan Dinas Non-Diklat</v>
          </cell>
          <cell r="H33" t="str">
            <v>Kota Makassar - Kota Semarang</v>
          </cell>
          <cell r="I33" t="str">
            <v>20/09/2025 - 24/09/2025</v>
          </cell>
          <cell r="J33">
            <v>5</v>
          </cell>
          <cell r="K33" t="str">
            <v>Hotel</v>
          </cell>
          <cell r="L33" t="str">
            <v>18-09-2025 17:27:51</v>
          </cell>
          <cell r="M33" t="str">
            <v xml:space="preserve">Quest Hotel Simpang Lima - Semarang by ASTON - 4.0 Stars  - </v>
          </cell>
          <cell r="N33" t="str">
            <v>JTC PDKB</v>
          </cell>
          <cell r="O33">
            <v>74092705</v>
          </cell>
          <cell r="P33" t="str">
            <v>20/09/2025 14:00:00 - 24/09/2025 12:00:00</v>
          </cell>
          <cell r="Q33">
            <v>2928617</v>
          </cell>
        </row>
        <row r="34">
          <cell r="A34">
            <v>1285473007</v>
          </cell>
          <cell r="B34" t="str">
            <v>9718071FBY</v>
          </cell>
          <cell r="C34" t="str">
            <v>SIGIT TRI HARTANTO</v>
          </cell>
          <cell r="D34">
            <v>97187621</v>
          </cell>
          <cell r="E34">
            <v>4120177824</v>
          </cell>
          <cell r="F34">
            <v>54</v>
          </cell>
          <cell r="G34" t="str">
            <v>Perjalanan Dinas Non-Diklat</v>
          </cell>
          <cell r="H34" t="str">
            <v>Kota Makassar - Kota Semarang</v>
          </cell>
          <cell r="I34" t="str">
            <v>20/09/2025 - 24/09/2025</v>
          </cell>
          <cell r="J34">
            <v>5</v>
          </cell>
          <cell r="K34" t="str">
            <v>Flight One Way</v>
          </cell>
          <cell r="L34" t="str">
            <v>18-09-2025 16:52:46</v>
          </cell>
          <cell r="M34" t="str">
            <v>Lion Air Domestic UPG Hasanuddin JT-871 - Lion Air Domestic SRG Achmad Yani JT-871</v>
          </cell>
          <cell r="N34" t="str">
            <v>JTC PDKB</v>
          </cell>
          <cell r="O34">
            <v>74092705</v>
          </cell>
          <cell r="P34" t="str">
            <v>20/09/2025 09:00:00 - 20/09/2025 14:00:00</v>
          </cell>
          <cell r="Q34">
            <v>2138100</v>
          </cell>
        </row>
        <row r="35">
          <cell r="A35">
            <v>1285480119</v>
          </cell>
          <cell r="B35" t="str">
            <v>9718071FBY</v>
          </cell>
          <cell r="C35" t="str">
            <v>SIGIT TRI HARTANTO</v>
          </cell>
          <cell r="D35">
            <v>97187621</v>
          </cell>
          <cell r="E35">
            <v>4120177824</v>
          </cell>
          <cell r="F35">
            <v>54</v>
          </cell>
          <cell r="G35" t="str">
            <v>Perjalanan Dinas Non-Diklat</v>
          </cell>
          <cell r="H35" t="str">
            <v>Kota Makassar - Kota Semarang</v>
          </cell>
          <cell r="I35" t="str">
            <v>20/09/2025 - 24/09/2025</v>
          </cell>
          <cell r="J35">
            <v>5</v>
          </cell>
          <cell r="K35" t="str">
            <v>Hotel</v>
          </cell>
          <cell r="L35" t="str">
            <v>18-09-2025 17:24:15</v>
          </cell>
          <cell r="M35" t="str">
            <v xml:space="preserve">Quest Hotel Simpang Lima - Semarang by ASTON - 4.0 Stars  - </v>
          </cell>
          <cell r="N35" t="str">
            <v>JTC PDKB</v>
          </cell>
          <cell r="O35">
            <v>74092705</v>
          </cell>
          <cell r="P35" t="str">
            <v>20/09/2025 14:00:00 - 24/09/2025 12:00:00</v>
          </cell>
          <cell r="Q35">
            <v>2928617</v>
          </cell>
        </row>
        <row r="36">
          <cell r="A36">
            <v>1285472663</v>
          </cell>
          <cell r="B36" t="str">
            <v>9617079FBY</v>
          </cell>
          <cell r="C36" t="str">
            <v>MUHAMMAD RAMADHAN</v>
          </cell>
          <cell r="D36">
            <v>96177625</v>
          </cell>
          <cell r="E36">
            <v>4120177839</v>
          </cell>
          <cell r="F36">
            <v>54</v>
          </cell>
          <cell r="G36" t="str">
            <v>Perjalanan Dinas Non-Diklat</v>
          </cell>
          <cell r="H36" t="str">
            <v>Kota Makassar - Kota Semarang</v>
          </cell>
          <cell r="I36" t="str">
            <v>20/09/2025 - 24/09/2025</v>
          </cell>
          <cell r="J36">
            <v>5</v>
          </cell>
          <cell r="K36" t="str">
            <v>Flight One Way</v>
          </cell>
          <cell r="L36" t="str">
            <v>18-09-2025 16:51:29</v>
          </cell>
          <cell r="M36" t="str">
            <v>Lion Air Domestic UPG Hasanuddin JT-871 - Lion Air Domestic SRG Achmad Yani JT-871</v>
          </cell>
          <cell r="N36" t="str">
            <v>JTC PDKB</v>
          </cell>
          <cell r="O36">
            <v>74092705</v>
          </cell>
          <cell r="P36" t="str">
            <v>20/09/2025 09:00:00 - 20/09/2025 14:00:00</v>
          </cell>
          <cell r="Q36">
            <v>2138100</v>
          </cell>
        </row>
        <row r="37">
          <cell r="A37">
            <v>1285472622</v>
          </cell>
          <cell r="B37" t="str">
            <v>9718078FBY</v>
          </cell>
          <cell r="C37" t="str">
            <v>MUHAMMAD NUR HADI</v>
          </cell>
          <cell r="D37">
            <v>97187630</v>
          </cell>
          <cell r="E37">
            <v>4120177821</v>
          </cell>
          <cell r="F37">
            <v>54</v>
          </cell>
          <cell r="G37" t="str">
            <v>Perjalanan Dinas Non-Diklat</v>
          </cell>
          <cell r="H37" t="str">
            <v>Kota Makassar - Kota Semarang</v>
          </cell>
          <cell r="I37" t="str">
            <v>20/09/2025 - 24/09/2025</v>
          </cell>
          <cell r="J37">
            <v>5</v>
          </cell>
          <cell r="K37" t="str">
            <v>Flight One Way</v>
          </cell>
          <cell r="L37" t="str">
            <v>18-09-2025 16:51:20</v>
          </cell>
          <cell r="M37" t="str">
            <v>Lion Air Domestic UPG Hasanuddin JT-871 - Lion Air Domestic SRG Achmad Yani JT-871</v>
          </cell>
          <cell r="N37" t="str">
            <v>JTC PDKB</v>
          </cell>
          <cell r="O37">
            <v>74092705</v>
          </cell>
          <cell r="P37" t="str">
            <v>20/09/2025 09:00:00 - 20/09/2025 14:00:00</v>
          </cell>
          <cell r="Q37">
            <v>2138100</v>
          </cell>
        </row>
        <row r="38">
          <cell r="A38">
            <v>1285480189</v>
          </cell>
          <cell r="B38" t="str">
            <v>9618028FBY</v>
          </cell>
          <cell r="C38" t="str">
            <v>NURUL SOFIANSYAH</v>
          </cell>
          <cell r="D38">
            <v>96187630</v>
          </cell>
          <cell r="E38">
            <v>4120177831</v>
          </cell>
          <cell r="F38">
            <v>54</v>
          </cell>
          <cell r="G38" t="str">
            <v>Perjalanan Dinas Non-Diklat</v>
          </cell>
          <cell r="H38" t="str">
            <v>Kota Makassar - Kota Semarang</v>
          </cell>
          <cell r="I38" t="str">
            <v>20/09/2025 - 24/09/2025</v>
          </cell>
          <cell r="J38">
            <v>5</v>
          </cell>
          <cell r="K38" t="str">
            <v>Hotel</v>
          </cell>
          <cell r="L38" t="str">
            <v>18-09-2025 17:24:32</v>
          </cell>
          <cell r="M38" t="str">
            <v xml:space="preserve">Quest Hotel Simpang Lima - Semarang by ASTON - 4.0 Stars  - </v>
          </cell>
          <cell r="N38" t="str">
            <v>JTC PDKB</v>
          </cell>
          <cell r="O38">
            <v>74092705</v>
          </cell>
          <cell r="P38" t="str">
            <v>20/09/2025 14:00:00 - 24/09/2025 12:00:00</v>
          </cell>
          <cell r="Q38">
            <v>2928617</v>
          </cell>
        </row>
        <row r="39">
          <cell r="A39">
            <v>1285472366</v>
          </cell>
          <cell r="B39" t="str">
            <v>9618028FBY</v>
          </cell>
          <cell r="C39" t="str">
            <v>NURUL SOFIANSYAH</v>
          </cell>
          <cell r="D39">
            <v>96187630</v>
          </cell>
          <cell r="E39">
            <v>4120177831</v>
          </cell>
          <cell r="F39">
            <v>54</v>
          </cell>
          <cell r="G39" t="str">
            <v>Perjalanan Dinas Non-Diklat</v>
          </cell>
          <cell r="H39" t="str">
            <v>Kota Makassar - Kota Semarang</v>
          </cell>
          <cell r="I39" t="str">
            <v>20/09/2025 - 24/09/2025</v>
          </cell>
          <cell r="J39">
            <v>5</v>
          </cell>
          <cell r="K39" t="str">
            <v>Flight One Way</v>
          </cell>
          <cell r="L39" t="str">
            <v>18-09-2025 16:50:15</v>
          </cell>
          <cell r="M39" t="str">
            <v>Lion Air Domestic UPG Hasanuddin JT-871 - Lion Air Domestic SRG Achmad Yani JT-871</v>
          </cell>
          <cell r="N39" t="str">
            <v>JTC PDKB</v>
          </cell>
          <cell r="O39">
            <v>74092705</v>
          </cell>
          <cell r="P39" t="str">
            <v>20/09/2025 09:00:00 - 20/09/2025 14:00:00</v>
          </cell>
          <cell r="Q39">
            <v>2138100</v>
          </cell>
        </row>
        <row r="40">
          <cell r="A40">
            <v>1285472884</v>
          </cell>
          <cell r="B40" t="str">
            <v>9718056FBY</v>
          </cell>
          <cell r="C40" t="str">
            <v>SYAHRUL HARDIANSYAH</v>
          </cell>
          <cell r="D40">
            <v>97187605</v>
          </cell>
          <cell r="E40">
            <v>4120177838</v>
          </cell>
          <cell r="F40">
            <v>54</v>
          </cell>
          <cell r="G40" t="str">
            <v>Perjalanan Dinas Non-Diklat</v>
          </cell>
          <cell r="H40" t="str">
            <v>Kota Makassar - Kota Semarang</v>
          </cell>
          <cell r="I40" t="str">
            <v>20/09/2025 - 24/09/2025</v>
          </cell>
          <cell r="J40">
            <v>5</v>
          </cell>
          <cell r="K40" t="str">
            <v>Flight One Way</v>
          </cell>
          <cell r="L40" t="str">
            <v>18-09-2025 16:52:19</v>
          </cell>
          <cell r="M40" t="str">
            <v>Lion Air Domestic UPG Hasanuddin JT-871 - Lion Air Domestic SRG Achmad Yani JT-871</v>
          </cell>
          <cell r="N40" t="str">
            <v>JTC PDKB</v>
          </cell>
          <cell r="O40">
            <v>74092705</v>
          </cell>
          <cell r="P40" t="str">
            <v>20/09/2025 09:00:00 - 20/09/2025 14:00:00</v>
          </cell>
          <cell r="Q40">
            <v>2138100</v>
          </cell>
        </row>
        <row r="41">
          <cell r="A41">
            <v>1285479553</v>
          </cell>
          <cell r="B41" t="str">
            <v>9718056FBY</v>
          </cell>
          <cell r="C41" t="str">
            <v>SYAHRUL HARDIANSYAH</v>
          </cell>
          <cell r="D41">
            <v>97187605</v>
          </cell>
          <cell r="E41">
            <v>4120177838</v>
          </cell>
          <cell r="F41">
            <v>54</v>
          </cell>
          <cell r="G41" t="str">
            <v>Perjalanan Dinas Non-Diklat</v>
          </cell>
          <cell r="H41" t="str">
            <v>Kota Makassar - Kota Semarang</v>
          </cell>
          <cell r="I41" t="str">
            <v>20/09/2025 - 24/09/2025</v>
          </cell>
          <cell r="J41">
            <v>5</v>
          </cell>
          <cell r="K41" t="str">
            <v>Hotel</v>
          </cell>
          <cell r="L41" t="str">
            <v>18-09-2025 17:21:47</v>
          </cell>
          <cell r="M41" t="str">
            <v xml:space="preserve">Quest Hotel Simpang Lima - Semarang by ASTON - 4.0 Stars  - </v>
          </cell>
          <cell r="N41" t="str">
            <v>JTC PDKB</v>
          </cell>
          <cell r="O41">
            <v>74092705</v>
          </cell>
          <cell r="P41" t="str">
            <v>20/09/2025 14:00:00 - 24/09/2025 12:00:00</v>
          </cell>
          <cell r="Q41">
            <v>2928617</v>
          </cell>
        </row>
        <row r="42">
          <cell r="A42">
            <v>1285473075</v>
          </cell>
          <cell r="B42" t="str">
            <v>9717076FBY</v>
          </cell>
          <cell r="C42" t="str">
            <v>MUHAMMAD ISLAH FADHIL</v>
          </cell>
          <cell r="D42">
            <v>97177619</v>
          </cell>
          <cell r="E42">
            <v>4120177837</v>
          </cell>
          <cell r="F42">
            <v>54</v>
          </cell>
          <cell r="G42" t="str">
            <v>Perjalanan Dinas Non-Diklat</v>
          </cell>
          <cell r="H42" t="str">
            <v>Kota Makassar - Kota Semarang</v>
          </cell>
          <cell r="I42" t="str">
            <v>20/09/2025 - 24/09/2025</v>
          </cell>
          <cell r="J42">
            <v>5</v>
          </cell>
          <cell r="K42" t="str">
            <v>Flight One Way</v>
          </cell>
          <cell r="L42" t="str">
            <v>18-09-2025 16:53:05</v>
          </cell>
          <cell r="M42" t="str">
            <v>Lion Air Domestic UPG Hasanuddin JT-871 - Lion Air Domestic SRG Achmad Yani JT-871</v>
          </cell>
          <cell r="N42" t="str">
            <v>JTC PDKB</v>
          </cell>
          <cell r="O42">
            <v>74092705</v>
          </cell>
          <cell r="P42" t="str">
            <v>20/09/2025 09:00:00 - 20/09/2025 14:00:00</v>
          </cell>
          <cell r="Q42">
            <v>2138100</v>
          </cell>
        </row>
        <row r="43">
          <cell r="A43">
            <v>1285480886</v>
          </cell>
          <cell r="B43" t="str">
            <v>9717076FBY</v>
          </cell>
          <cell r="C43" t="str">
            <v>MUHAMMAD ISLAH FADHIL</v>
          </cell>
          <cell r="D43">
            <v>97177619</v>
          </cell>
          <cell r="E43">
            <v>4120177837</v>
          </cell>
          <cell r="F43">
            <v>54</v>
          </cell>
          <cell r="G43" t="str">
            <v>Perjalanan Dinas Non-Diklat</v>
          </cell>
          <cell r="H43" t="str">
            <v>Kota Makassar - Kota Semarang</v>
          </cell>
          <cell r="I43" t="str">
            <v>20/09/2025 - 24/09/2025</v>
          </cell>
          <cell r="J43">
            <v>5</v>
          </cell>
          <cell r="K43" t="str">
            <v>Hotel</v>
          </cell>
          <cell r="L43" t="str">
            <v>18-09-2025 17:27:48</v>
          </cell>
          <cell r="M43" t="str">
            <v xml:space="preserve">Quest Hotel Simpang Lima - Semarang by ASTON - 4.0 Stars  - </v>
          </cell>
          <cell r="N43" t="str">
            <v>JTC PDKB</v>
          </cell>
          <cell r="O43">
            <v>74092705</v>
          </cell>
          <cell r="P43" t="str">
            <v>20/09/2025 14:00:00 - 24/09/2025 12:00:00</v>
          </cell>
          <cell r="Q43">
            <v>2928617</v>
          </cell>
        </row>
        <row r="44">
          <cell r="A44">
            <v>1285472732</v>
          </cell>
          <cell r="B44" t="str">
            <v>9718052FBY</v>
          </cell>
          <cell r="C44" t="str">
            <v>MUHAMMAD FAJAR DWI AFANDI</v>
          </cell>
          <cell r="D44">
            <v>97187600</v>
          </cell>
          <cell r="E44">
            <v>4120177832</v>
          </cell>
          <cell r="F44">
            <v>54</v>
          </cell>
          <cell r="G44" t="str">
            <v>Perjalanan Dinas Non-Diklat</v>
          </cell>
          <cell r="H44" t="str">
            <v>Kota Makassar - Kota Semarang</v>
          </cell>
          <cell r="I44" t="str">
            <v>20/09/2025 - 24/09/2025</v>
          </cell>
          <cell r="J44">
            <v>5</v>
          </cell>
          <cell r="K44" t="str">
            <v>Flight One Way</v>
          </cell>
          <cell r="L44" t="str">
            <v>18-09-2025 16:51:45</v>
          </cell>
          <cell r="M44" t="str">
            <v>Lion Air Domestic UPG Hasanuddin JT-871 - Lion Air Domestic SRG Achmad Yani JT-871</v>
          </cell>
          <cell r="N44" t="str">
            <v>JTC PDKB</v>
          </cell>
          <cell r="O44">
            <v>74092705</v>
          </cell>
          <cell r="P44" t="str">
            <v>20/09/2025 09:00:00 - 20/09/2025 14:00:00</v>
          </cell>
          <cell r="Q44">
            <v>2138100</v>
          </cell>
        </row>
        <row r="45">
          <cell r="A45">
            <v>1285472726</v>
          </cell>
          <cell r="B45" t="str">
            <v>8308019F</v>
          </cell>
          <cell r="C45" t="str">
            <v>MUHAMMAD RUM</v>
          </cell>
          <cell r="D45">
            <v>83087611</v>
          </cell>
          <cell r="E45">
            <v>4120177828</v>
          </cell>
          <cell r="F45">
            <v>54</v>
          </cell>
          <cell r="G45" t="str">
            <v>Perjalanan Dinas Non-Diklat</v>
          </cell>
          <cell r="H45" t="str">
            <v>Kota Makassar - Kota Semarang</v>
          </cell>
          <cell r="I45" t="str">
            <v>20/09/2025 - 24/09/2025</v>
          </cell>
          <cell r="J45">
            <v>5</v>
          </cell>
          <cell r="K45" t="str">
            <v>Flight One Way</v>
          </cell>
          <cell r="L45" t="str">
            <v>18-09-2025 16:51:45</v>
          </cell>
          <cell r="M45" t="str">
            <v>Lion Air Domestic UPG Hasanuddin JT-871 - Lion Air Domestic SRG Achmad Yani JT-871</v>
          </cell>
          <cell r="N45" t="str">
            <v>TL PDKB</v>
          </cell>
          <cell r="O45">
            <v>74092705</v>
          </cell>
          <cell r="P45" t="str">
            <v>20/09/2025 09:00:00 - 20/09/2025 14:00:00</v>
          </cell>
          <cell r="Q45">
            <v>2138100</v>
          </cell>
        </row>
        <row r="46">
          <cell r="A46">
            <v>1285665821</v>
          </cell>
          <cell r="B46" t="str">
            <v>93161029ZY</v>
          </cell>
          <cell r="C46" t="str">
            <v xml:space="preserve">ASDARIA </v>
          </cell>
          <cell r="D46">
            <v>93167609</v>
          </cell>
          <cell r="E46">
            <v>4120177863</v>
          </cell>
          <cell r="F46">
            <v>54</v>
          </cell>
          <cell r="G46" t="str">
            <v>Perjalanan Dinas Non-Diklat</v>
          </cell>
          <cell r="H46" t="str">
            <v>Kota Makassar - Kab. Kolaka - Kota Kendari</v>
          </cell>
          <cell r="I46" t="str">
            <v>21/09/2025 - 24/09/2025</v>
          </cell>
          <cell r="J46">
            <v>4</v>
          </cell>
          <cell r="K46" t="str">
            <v>Hotel</v>
          </cell>
          <cell r="L46" t="str">
            <v>19-09-2025 13:12:47</v>
          </cell>
          <cell r="M46" t="str">
            <v xml:space="preserve">Sutan Raja Hotel &amp; Convention Centre Kolaka - 4.0 Stars  - </v>
          </cell>
          <cell r="N46" t="str">
            <v>OF DIG SERVICE DAN CUST EX</v>
          </cell>
          <cell r="O46">
            <v>7411140</v>
          </cell>
          <cell r="P46" t="str">
            <v>21/09/2025 14:00:00 - 22/09/2025 12:00:00</v>
          </cell>
          <cell r="Q46">
            <v>828492</v>
          </cell>
        </row>
        <row r="47">
          <cell r="A47">
            <v>1285664156</v>
          </cell>
          <cell r="B47" t="str">
            <v>93161029ZY</v>
          </cell>
          <cell r="C47" t="str">
            <v xml:space="preserve">ASDARIA </v>
          </cell>
          <cell r="D47">
            <v>93167609</v>
          </cell>
          <cell r="E47">
            <v>4120177863</v>
          </cell>
          <cell r="F47">
            <v>54</v>
          </cell>
          <cell r="G47" t="str">
            <v>Perjalanan Dinas Non-Diklat</v>
          </cell>
          <cell r="H47" t="str">
            <v>Kota Makassar - Kab. Kolaka - Kota Kendari</v>
          </cell>
          <cell r="I47" t="str">
            <v>21/09/2025 - 24/09/2025</v>
          </cell>
          <cell r="J47">
            <v>4</v>
          </cell>
          <cell r="K47" t="str">
            <v>Flight One Way</v>
          </cell>
          <cell r="L47" t="str">
            <v>19-09-2025 13:06:35</v>
          </cell>
          <cell r="M47" t="str">
            <v>Wings Air Domestic UPG Hasanuddin IW-2204 - Wings Air  KXB Sangia Nibandera IW-2204</v>
          </cell>
          <cell r="N47" t="str">
            <v>OF DIG SERVICE DAN CUST EX</v>
          </cell>
          <cell r="O47">
            <v>7411140</v>
          </cell>
          <cell r="P47" t="str">
            <v>21/09/2025 12:20:00 - 21/09/2025 13:20:00</v>
          </cell>
          <cell r="Q47">
            <v>1263600</v>
          </cell>
        </row>
        <row r="48">
          <cell r="A48">
            <v>1285665126</v>
          </cell>
          <cell r="B48" t="str">
            <v>93151397ZY</v>
          </cell>
          <cell r="C48" t="str">
            <v>KIKI RESKI ANDRIANI</v>
          </cell>
          <cell r="D48">
            <v>93153811</v>
          </cell>
          <cell r="E48">
            <v>4120177855</v>
          </cell>
          <cell r="F48">
            <v>54</v>
          </cell>
          <cell r="G48" t="str">
            <v>Perjalanan Dinas Non-Diklat</v>
          </cell>
          <cell r="H48" t="str">
            <v>Kota Makassar - Kab. Kolaka - Kota Kendari</v>
          </cell>
          <cell r="I48" t="str">
            <v>21/09/2025 - 24/09/2025</v>
          </cell>
          <cell r="J48">
            <v>4</v>
          </cell>
          <cell r="K48" t="str">
            <v>Hotel</v>
          </cell>
          <cell r="L48" t="str">
            <v>19-09-2025 13:10:09</v>
          </cell>
          <cell r="M48" t="str">
            <v xml:space="preserve">Sutan Raja Hotel &amp; Convention Centre Kolaka - 4.0 Stars  - </v>
          </cell>
          <cell r="N48" t="str">
            <v>ASMAN ADM GAN</v>
          </cell>
          <cell r="O48">
            <v>7411140</v>
          </cell>
          <cell r="P48" t="str">
            <v>21/09/2025 14:00:00 - 22/09/2025 12:00:00</v>
          </cell>
          <cell r="Q48">
            <v>979000</v>
          </cell>
        </row>
        <row r="49">
          <cell r="A49">
            <v>1285664177</v>
          </cell>
          <cell r="B49" t="str">
            <v>93151397ZY</v>
          </cell>
          <cell r="C49" t="str">
            <v>KIKI RESKI ANDRIANI</v>
          </cell>
          <cell r="D49">
            <v>93153811</v>
          </cell>
          <cell r="E49">
            <v>4120177855</v>
          </cell>
          <cell r="F49">
            <v>54</v>
          </cell>
          <cell r="G49" t="str">
            <v>Perjalanan Dinas Non-Diklat</v>
          </cell>
          <cell r="H49" t="str">
            <v>Kota Makassar - Kab. Kolaka - Kota Kendari</v>
          </cell>
          <cell r="I49" t="str">
            <v>21/09/2025 - 24/09/2025</v>
          </cell>
          <cell r="J49">
            <v>4</v>
          </cell>
          <cell r="K49" t="str">
            <v>Flight One Way</v>
          </cell>
          <cell r="L49" t="str">
            <v>19-09-2025 13:06:41</v>
          </cell>
          <cell r="M49" t="str">
            <v>Wings Air Domestic UPG Hasanuddin IW-2204 - Wings Air  KXB Sangia Nibandera IW-2204</v>
          </cell>
          <cell r="N49" t="str">
            <v>ASMAN ADM GAN</v>
          </cell>
          <cell r="O49">
            <v>7411140</v>
          </cell>
          <cell r="P49" t="str">
            <v>21/09/2025 12:20:00 - 21/09/2025 13:20:00</v>
          </cell>
          <cell r="Q49">
            <v>1263600</v>
          </cell>
        </row>
        <row r="50">
          <cell r="A50">
            <v>1285630219</v>
          </cell>
          <cell r="B50" t="str">
            <v>9008084F</v>
          </cell>
          <cell r="C50" t="str">
            <v>ZAKI ASHARI</v>
          </cell>
          <cell r="D50">
            <v>90087607</v>
          </cell>
          <cell r="E50">
            <v>4120177850</v>
          </cell>
          <cell r="F50">
            <v>54</v>
          </cell>
          <cell r="G50" t="str">
            <v>Perjalanan Dinas Non-Diklat</v>
          </cell>
          <cell r="H50" t="str">
            <v>Kota Makassar - Kota Baubau</v>
          </cell>
          <cell r="I50" t="str">
            <v>21/09/2025 - 23/09/2025</v>
          </cell>
          <cell r="J50">
            <v>3</v>
          </cell>
          <cell r="K50" t="str">
            <v>Flight One Way</v>
          </cell>
          <cell r="L50" t="str">
            <v>19-09-2025 10:49:02</v>
          </cell>
          <cell r="M50" t="str">
            <v>Super Air Jet  UPG Hasanuddin IU-572 - Super Air Jet  BUW Betoambari IU-572</v>
          </cell>
          <cell r="N50" t="str">
            <v>OF STR SAR</v>
          </cell>
          <cell r="O50">
            <v>7411143</v>
          </cell>
          <cell r="P50" t="str">
            <v>21/09/2025 09:50:00 - 21/09/2025 10:35:00</v>
          </cell>
          <cell r="Q50">
            <v>844100</v>
          </cell>
        </row>
        <row r="51">
          <cell r="A51">
            <v>1285716759</v>
          </cell>
          <cell r="B51" t="str">
            <v>9008084F</v>
          </cell>
          <cell r="C51" t="str">
            <v>ZAKI ASHARI</v>
          </cell>
          <cell r="D51">
            <v>90087607</v>
          </cell>
          <cell r="E51">
            <v>4120177850</v>
          </cell>
          <cell r="F51">
            <v>54</v>
          </cell>
          <cell r="G51" t="str">
            <v>Perjalanan Dinas Non-Diklat</v>
          </cell>
          <cell r="H51" t="str">
            <v>Kota Makassar - Kota Baubau</v>
          </cell>
          <cell r="I51" t="str">
            <v>21/09/2025 - 24/09/2025</v>
          </cell>
          <cell r="J51">
            <v>4</v>
          </cell>
          <cell r="K51" t="str">
            <v>Hotel</v>
          </cell>
          <cell r="L51" t="str">
            <v>19-09-2025 16:24:24</v>
          </cell>
          <cell r="M51" t="str">
            <v xml:space="preserve">NES_inn Hotel - 0.0 Stars  - </v>
          </cell>
          <cell r="N51" t="str">
            <v>OF STR SAR</v>
          </cell>
          <cell r="O51">
            <v>7411143</v>
          </cell>
          <cell r="P51" t="str">
            <v>21/09/2025 14:00:00 - 22/09/2025 12:00:00</v>
          </cell>
          <cell r="Q51">
            <v>590000</v>
          </cell>
        </row>
        <row r="52">
          <cell r="A52">
            <v>1285422005</v>
          </cell>
          <cell r="B52" t="str">
            <v>9114965ZY</v>
          </cell>
          <cell r="C52" t="str">
            <v>I WAYAN EDY PURNAMA ARSA</v>
          </cell>
          <cell r="D52">
            <v>91147609</v>
          </cell>
          <cell r="E52">
            <v>4120177844</v>
          </cell>
          <cell r="F52">
            <v>54</v>
          </cell>
          <cell r="G52" t="str">
            <v>Perjalanan Dinas Non-Diklat</v>
          </cell>
          <cell r="H52" t="str">
            <v>Kota Makassar - Kota Palopo</v>
          </cell>
          <cell r="I52" t="str">
            <v>22/09/2025 - 24/09/2025</v>
          </cell>
          <cell r="J52">
            <v>3</v>
          </cell>
          <cell r="K52" t="str">
            <v>Flight One Way</v>
          </cell>
          <cell r="L52" t="str">
            <v>18-09-2025 13:28:39</v>
          </cell>
          <cell r="M52" t="str">
            <v>Wings Air  LLO Lagaligo Airport IW-1351 - Wings Air Domestic UPG Hasanuddin IW-1351</v>
          </cell>
          <cell r="N52" t="str">
            <v>OF PR AE</v>
          </cell>
          <cell r="O52">
            <v>7411140</v>
          </cell>
          <cell r="P52" t="str">
            <v>24/09/2025 09:40:00 - 24/09/2025 10:35:00</v>
          </cell>
          <cell r="Q52">
            <v>1355400</v>
          </cell>
        </row>
        <row r="53">
          <cell r="A53">
            <v>1285421353</v>
          </cell>
          <cell r="B53" t="str">
            <v>9114965ZY</v>
          </cell>
          <cell r="C53" t="str">
            <v>I WAYAN EDY PURNAMA ARSA</v>
          </cell>
          <cell r="D53">
            <v>91147609</v>
          </cell>
          <cell r="E53">
            <v>4120177844</v>
          </cell>
          <cell r="F53">
            <v>54</v>
          </cell>
          <cell r="G53" t="str">
            <v>Perjalanan Dinas Non-Diklat</v>
          </cell>
          <cell r="H53" t="str">
            <v>Kota Makassar - Kota Palopo</v>
          </cell>
          <cell r="I53" t="str">
            <v>22/09/2025 - 24/09/2025</v>
          </cell>
          <cell r="J53">
            <v>3</v>
          </cell>
          <cell r="K53" t="str">
            <v>Flight One Way</v>
          </cell>
          <cell r="L53" t="str">
            <v>18-09-2025 13:26:09</v>
          </cell>
          <cell r="M53" t="str">
            <v>Wings Air Domestic UPG Hasanuddin IW-1350 - Wings Air  LLO Lagaligo Airport IW-1350</v>
          </cell>
          <cell r="N53" t="str">
            <v>OF PR AE</v>
          </cell>
          <cell r="O53">
            <v>7411140</v>
          </cell>
          <cell r="P53" t="str">
            <v>22/09/2025 08:10:00 - 22/09/2025 09:05:00</v>
          </cell>
          <cell r="Q53">
            <v>1455300</v>
          </cell>
        </row>
        <row r="54">
          <cell r="A54">
            <v>1285421342</v>
          </cell>
          <cell r="B54" t="str">
            <v>8609651Z</v>
          </cell>
          <cell r="C54" t="str">
            <v>KOMANG YEHUDA PRAWIRA</v>
          </cell>
          <cell r="D54">
            <v>86098203</v>
          </cell>
          <cell r="E54">
            <v>4120177845</v>
          </cell>
          <cell r="F54">
            <v>54</v>
          </cell>
          <cell r="G54" t="str">
            <v>Perjalanan Dinas Non-Diklat</v>
          </cell>
          <cell r="H54" t="str">
            <v>Kota Makassar - Kota Palopo</v>
          </cell>
          <cell r="I54" t="str">
            <v>22/09/2025 - 24/09/2025</v>
          </cell>
          <cell r="J54">
            <v>3</v>
          </cell>
          <cell r="K54" t="str">
            <v>Flight Round-Trip</v>
          </cell>
          <cell r="L54" t="str">
            <v>18-09-2025 13:26:07</v>
          </cell>
          <cell r="M54" t="str">
            <v>Wings Air Domestic UPG Hasanuddin IW-1350 - Wings Air  LLO Lagaligo Airport IW-1350</v>
          </cell>
          <cell r="N54" t="str">
            <v>MAN STR SAR</v>
          </cell>
          <cell r="O54">
            <v>7411143</v>
          </cell>
          <cell r="P54" t="str">
            <v>22/09/2025 08:10:00 - 22/09/2025 09:05:00</v>
          </cell>
          <cell r="Q54">
            <v>2810700</v>
          </cell>
        </row>
        <row r="55">
          <cell r="A55">
            <v>1285362783</v>
          </cell>
          <cell r="B55" t="str">
            <v>94191877ZY</v>
          </cell>
          <cell r="C55" t="str">
            <v>DHYMAS WICAKSONO</v>
          </cell>
          <cell r="D55">
            <v>94197618</v>
          </cell>
          <cell r="E55">
            <v>4120177801</v>
          </cell>
          <cell r="F55">
            <v>54</v>
          </cell>
          <cell r="G55" t="str">
            <v>Perjalanan Dinas Non-Diklat</v>
          </cell>
          <cell r="H55" t="str">
            <v>Kab. Wajo - Kota Makassar</v>
          </cell>
          <cell r="I55" t="str">
            <v>18/09/2025 - 19/09/2025</v>
          </cell>
          <cell r="J55">
            <v>2</v>
          </cell>
          <cell r="K55" t="str">
            <v>Hotel</v>
          </cell>
          <cell r="L55" t="str">
            <v>18-09-2025 09:31:30</v>
          </cell>
          <cell r="M55" t="str">
            <v xml:space="preserve">Aston Inn Pantai Losari Makassar - 3.0 Stars  - </v>
          </cell>
          <cell r="N55" t="str">
            <v>TL YAN GAN</v>
          </cell>
          <cell r="O55">
            <v>7409620</v>
          </cell>
          <cell r="P55" t="str">
            <v>18/09/2025 14:00:00 - 19/09/2025 12:00:00</v>
          </cell>
          <cell r="Q55">
            <v>625228</v>
          </cell>
        </row>
        <row r="56">
          <cell r="A56">
            <v>1285459596</v>
          </cell>
          <cell r="B56" t="str">
            <v>8509308Z</v>
          </cell>
          <cell r="C56" t="str">
            <v>LELY SRIHANDAYANI</v>
          </cell>
          <cell r="D56">
            <v>85097604</v>
          </cell>
          <cell r="E56">
            <v>4120177819</v>
          </cell>
          <cell r="F56">
            <v>54</v>
          </cell>
          <cell r="G56" t="str">
            <v>Perjalanan Dinas Non-Diklat</v>
          </cell>
          <cell r="H56" t="str">
            <v>Kota Makassar - Kota Denpasar</v>
          </cell>
          <cell r="I56" t="str">
            <v>18/09/2025 - 20/09/2025</v>
          </cell>
          <cell r="J56">
            <v>3</v>
          </cell>
          <cell r="K56" t="str">
            <v>Hotel</v>
          </cell>
          <cell r="L56" t="str">
            <v>18-09-2025 15:58:05</v>
          </cell>
          <cell r="M56" t="str">
            <v xml:space="preserve">Ramada by Wyndham Bali Sunset Road Kuta - 4.0 Stars  - </v>
          </cell>
          <cell r="N56" t="str">
            <v>SOF OP DAN HAR SIS DIST</v>
          </cell>
          <cell r="O56">
            <v>7412000</v>
          </cell>
          <cell r="P56" t="str">
            <v>18/09/2025 14:00:00 - 20/09/2025 12:00:00</v>
          </cell>
          <cell r="Q56">
            <v>1888000</v>
          </cell>
        </row>
        <row r="57">
          <cell r="A57">
            <v>1285239102</v>
          </cell>
          <cell r="B57" t="str">
            <v>8208010F</v>
          </cell>
          <cell r="C57" t="str">
            <v>ISMAIL SYAHRIR</v>
          </cell>
          <cell r="D57">
            <v>82087610</v>
          </cell>
          <cell r="E57">
            <v>4120177816</v>
          </cell>
          <cell r="F57">
            <v>54</v>
          </cell>
          <cell r="G57" t="str">
            <v>Perjalanan Dinas Non-Diklat</v>
          </cell>
          <cell r="H57" t="str">
            <v>Kab. Bulukumba - Kota Makassar</v>
          </cell>
          <cell r="I57" t="str">
            <v>18/09/2025 - 19/09/2025</v>
          </cell>
          <cell r="J57">
            <v>2</v>
          </cell>
          <cell r="K57" t="str">
            <v>Hotel</v>
          </cell>
          <cell r="L57" t="str">
            <v>17-09-2025 17:43:35</v>
          </cell>
          <cell r="M57" t="str">
            <v xml:space="preserve">Gammara Hotel Makassar - 4.0 Stars  - </v>
          </cell>
          <cell r="N57" t="str">
            <v>TL DAL SUSUT</v>
          </cell>
          <cell r="O57">
            <v>7411273</v>
          </cell>
          <cell r="P57" t="str">
            <v>18/09/2025 14:00:00 - 19/09/2025 12:00:00</v>
          </cell>
          <cell r="Q57">
            <v>700757</v>
          </cell>
        </row>
        <row r="58">
          <cell r="A58">
            <v>1285243140</v>
          </cell>
          <cell r="B58" t="str">
            <v>8512122ZY</v>
          </cell>
          <cell r="C58" t="str">
            <v>AHMAD FAUZI ALADIN SM</v>
          </cell>
          <cell r="D58">
            <v>85120401</v>
          </cell>
          <cell r="E58">
            <v>4120177749</v>
          </cell>
          <cell r="F58">
            <v>54</v>
          </cell>
          <cell r="G58" t="str">
            <v>Perjalanan Dinas Non-Diklat</v>
          </cell>
          <cell r="H58" t="str">
            <v>Kota Makassar - Kab. Toraja Utara</v>
          </cell>
          <cell r="I58" t="str">
            <v>17/09/2025 - 19/09/2025</v>
          </cell>
          <cell r="J58">
            <v>3</v>
          </cell>
          <cell r="K58" t="str">
            <v>Hotel</v>
          </cell>
          <cell r="L58" t="str">
            <v>17-09-2025 18:02:07</v>
          </cell>
          <cell r="M58" t="str">
            <v xml:space="preserve">Niel Hotel Toraja - 1.0 Stars  - </v>
          </cell>
          <cell r="N58" t="str">
            <v>SOF IPP DAN EXCESS POWER</v>
          </cell>
          <cell r="O58">
            <v>7412110</v>
          </cell>
          <cell r="P58" t="str">
            <v>17/09/2025 14:00:00 - 18/09/2025 12:00:00</v>
          </cell>
          <cell r="Q58">
            <v>925926</v>
          </cell>
        </row>
        <row r="59">
          <cell r="A59">
            <v>1285242344</v>
          </cell>
          <cell r="B59" t="str">
            <v>8714012ZY</v>
          </cell>
          <cell r="C59" t="str">
            <v>AGUS PUTRA ABBAS</v>
          </cell>
          <cell r="D59">
            <v>87147800</v>
          </cell>
          <cell r="E59">
            <v>4120177748</v>
          </cell>
          <cell r="F59">
            <v>54</v>
          </cell>
          <cell r="G59" t="str">
            <v>Perjalanan Dinas Non-Diklat</v>
          </cell>
          <cell r="H59" t="str">
            <v>Kota Makassar - Kab. Toraja Utara</v>
          </cell>
          <cell r="I59" t="str">
            <v>17/09/2025 - 19/09/2025</v>
          </cell>
          <cell r="J59">
            <v>3</v>
          </cell>
          <cell r="K59" t="str">
            <v>Hotel</v>
          </cell>
          <cell r="L59" t="str">
            <v>17-09-2025 17:58:26</v>
          </cell>
          <cell r="M59" t="str">
            <v xml:space="preserve">Niel Hotel Toraja - 1.0 Stars  - </v>
          </cell>
          <cell r="N59" t="str">
            <v>SOF IPP DAN EXCESS POWER</v>
          </cell>
          <cell r="O59">
            <v>7412110</v>
          </cell>
          <cell r="P59" t="str">
            <v>17/09/2025 14:00:00 - 18/09/2025 12:00:00</v>
          </cell>
          <cell r="Q59">
            <v>925926</v>
          </cell>
        </row>
        <row r="60">
          <cell r="A60">
            <v>1285150729</v>
          </cell>
          <cell r="B60" t="str">
            <v>94191880ZY</v>
          </cell>
          <cell r="C60" t="str">
            <v>RIKO ASHARI</v>
          </cell>
          <cell r="D60">
            <v>94197621</v>
          </cell>
          <cell r="E60">
            <v>4120177800</v>
          </cell>
          <cell r="F60">
            <v>54</v>
          </cell>
          <cell r="G60" t="str">
            <v>Perjalanan Dinas Non-Diklat</v>
          </cell>
          <cell r="H60" t="str">
            <v>Kota Palopo - Kota Makassar</v>
          </cell>
          <cell r="I60" t="str">
            <v>17/09/2025 - 19/09/2025</v>
          </cell>
          <cell r="J60">
            <v>3</v>
          </cell>
          <cell r="K60" t="str">
            <v>Hotel</v>
          </cell>
          <cell r="L60" t="str">
            <v>17-09-2025 11:39:43</v>
          </cell>
          <cell r="M60" t="str">
            <v xml:space="preserve">MaxOneHotels.com @ Resort Makassar - 4.0 Stars  - </v>
          </cell>
          <cell r="N60" t="str">
            <v>TL YAN GAN</v>
          </cell>
          <cell r="O60">
            <v>7409636</v>
          </cell>
          <cell r="P60" t="str">
            <v>17/09/2025 14:00:00 - 19/09/2025 12:00:00</v>
          </cell>
          <cell r="Q60">
            <v>1023686</v>
          </cell>
        </row>
        <row r="61">
          <cell r="A61">
            <v>1285149136</v>
          </cell>
          <cell r="B61" t="str">
            <v>9719989ZY</v>
          </cell>
          <cell r="C61" t="str">
            <v>INDAH ADELIA NUR SYAHBANI</v>
          </cell>
          <cell r="D61">
            <v>97197614</v>
          </cell>
          <cell r="E61">
            <v>4120177780</v>
          </cell>
          <cell r="F61">
            <v>54</v>
          </cell>
          <cell r="G61" t="str">
            <v>Perjalanan Dinas Non-Diklat</v>
          </cell>
          <cell r="H61" t="str">
            <v>Kab. Polewali Mandar - Kota Makassar</v>
          </cell>
          <cell r="I61" t="str">
            <v>17/09/2025 - 19/09/2025</v>
          </cell>
          <cell r="J61">
            <v>3</v>
          </cell>
          <cell r="K61" t="str">
            <v>Hotel</v>
          </cell>
          <cell r="L61" t="str">
            <v>17-09-2025 11:33:15</v>
          </cell>
          <cell r="M61" t="str">
            <v xml:space="preserve">Gammara Hotel Makassar - 4.0 Stars  - </v>
          </cell>
          <cell r="N61" t="str">
            <v>TL YAN GAN</v>
          </cell>
          <cell r="O61">
            <v>7409657</v>
          </cell>
          <cell r="P61" t="str">
            <v>17/09/2025 14:00:00 - 19/09/2025 12:00:00</v>
          </cell>
          <cell r="Q61">
            <v>1529412</v>
          </cell>
        </row>
        <row r="62">
          <cell r="A62">
            <v>1285326810</v>
          </cell>
          <cell r="B62" t="str">
            <v>9312017FY</v>
          </cell>
          <cell r="C62" t="str">
            <v>RAHMAT HIDAYAT</v>
          </cell>
          <cell r="D62">
            <v>93127602</v>
          </cell>
          <cell r="E62">
            <v>4120177791</v>
          </cell>
          <cell r="F62">
            <v>54</v>
          </cell>
          <cell r="G62" t="str">
            <v>Perjalanan Dinas Non-Diklat</v>
          </cell>
          <cell r="H62" t="str">
            <v>Kab.PolewaliMandar-KotaMakassar</v>
          </cell>
          <cell r="I62" t="str">
            <v>17/09/2025 - 19/09/2025</v>
          </cell>
          <cell r="J62">
            <v>3</v>
          </cell>
          <cell r="K62" t="str">
            <v>Hotel</v>
          </cell>
          <cell r="L62" t="str">
            <v>18-09-2025 04:27:41</v>
          </cell>
          <cell r="M62" t="str">
            <v xml:space="preserve">Swiss-Belinn Panakkukang - 4.0 Stars  - </v>
          </cell>
          <cell r="N62" t="str">
            <v>TL TE LAY GAN</v>
          </cell>
          <cell r="O62">
            <v>7409657</v>
          </cell>
          <cell r="P62" t="str">
            <v>18/09/2025 14:00:00 - 19/09/2025 12:00:00</v>
          </cell>
          <cell r="Q62">
            <v>720000</v>
          </cell>
        </row>
        <row r="63">
          <cell r="A63">
            <v>1285131374</v>
          </cell>
          <cell r="B63" t="str">
            <v>9014706ZY</v>
          </cell>
          <cell r="C63" t="str">
            <v>ROLANDI TUMPAL FERNANDES MARTUA SIREGAR</v>
          </cell>
          <cell r="D63">
            <v>90147609</v>
          </cell>
          <cell r="E63">
            <v>4120177798</v>
          </cell>
          <cell r="F63">
            <v>54</v>
          </cell>
          <cell r="G63" t="str">
            <v>Perjalanan Dinas Non-Diklat</v>
          </cell>
          <cell r="H63" t="str">
            <v>Kab. Bone - Kota Makassar</v>
          </cell>
          <cell r="I63" t="str">
            <v>17/09/2025 - 18/09/2025</v>
          </cell>
          <cell r="J63">
            <v>2</v>
          </cell>
          <cell r="K63" t="str">
            <v>Hotel</v>
          </cell>
          <cell r="L63" t="str">
            <v>17-09-2025 10:19:41</v>
          </cell>
          <cell r="M63" t="str">
            <v xml:space="preserve">Aston Makassar Hotel &amp; Convention Center - 4.0 Stars  - </v>
          </cell>
          <cell r="N63" t="str">
            <v>ASMAN TE LIST</v>
          </cell>
          <cell r="O63">
            <v>7411232</v>
          </cell>
          <cell r="P63" t="str">
            <v>17/09/2025 14:00:00 - 18/09/2025 12:00:00</v>
          </cell>
          <cell r="Q63">
            <v>954362</v>
          </cell>
        </row>
        <row r="64">
          <cell r="A64">
            <v>1285143302</v>
          </cell>
          <cell r="B64" t="str">
            <v>94191467ZY</v>
          </cell>
          <cell r="C64" t="str">
            <v>KHAERUL JIHADI</v>
          </cell>
          <cell r="D64">
            <v>94197615</v>
          </cell>
          <cell r="E64">
            <v>4120177786</v>
          </cell>
          <cell r="F64">
            <v>54</v>
          </cell>
          <cell r="G64" t="str">
            <v>Perjalanan Dinas Non-Diklat</v>
          </cell>
          <cell r="H64" t="str">
            <v>Kab. Buton Tengah - Kota Makassar</v>
          </cell>
          <cell r="I64" t="str">
            <v>17/09/2025 - 19/09/2025</v>
          </cell>
          <cell r="J64">
            <v>3</v>
          </cell>
          <cell r="K64" t="str">
            <v>Hotel</v>
          </cell>
          <cell r="L64" t="str">
            <v>17-09-2025 11:09:43</v>
          </cell>
          <cell r="M64" t="str">
            <v xml:space="preserve">Vasaka Hotel Makassar Managed By Dafam - 3.5 Stars  - </v>
          </cell>
          <cell r="N64" t="str">
            <v>TL TE LAY GAN</v>
          </cell>
          <cell r="O64">
            <v>7409654</v>
          </cell>
          <cell r="P64" t="str">
            <v>17/09/2025 14:00:00 - 19/09/2025 12:00:00</v>
          </cell>
          <cell r="Q64">
            <v>1276500</v>
          </cell>
        </row>
        <row r="65">
          <cell r="A65">
            <v>1285480123</v>
          </cell>
          <cell r="B65" t="str">
            <v>8403069F</v>
          </cell>
          <cell r="C65" t="str">
            <v>DEWI ARJUNI KUSNADI</v>
          </cell>
          <cell r="D65">
            <v>84037602</v>
          </cell>
          <cell r="E65">
            <v>4120177773</v>
          </cell>
          <cell r="F65">
            <v>54</v>
          </cell>
          <cell r="G65" t="str">
            <v>Perjalanan Dinas Non-Diklat</v>
          </cell>
          <cell r="H65" t="str">
            <v>Kota Makassar - Jakarta Selatan</v>
          </cell>
          <cell r="I65" t="str">
            <v>18/09/2025 - 19/09/2025</v>
          </cell>
          <cell r="J65">
            <v>2</v>
          </cell>
          <cell r="K65" t="str">
            <v>Hotel</v>
          </cell>
          <cell r="L65" t="str">
            <v>18-09-2025 17:24:17</v>
          </cell>
          <cell r="M65" t="str">
            <v xml:space="preserve">Harper MT Haryono, Cawang by ASTON - 3.0 Stars  - </v>
          </cell>
          <cell r="N65" t="str">
            <v>OF TJSL</v>
          </cell>
          <cell r="O65">
            <v>7412163</v>
          </cell>
          <cell r="P65" t="str">
            <v>18/09/2025 14:00:00 - 19/09/2025 12:00:00</v>
          </cell>
          <cell r="Q65">
            <v>790831</v>
          </cell>
        </row>
        <row r="66">
          <cell r="A66">
            <v>1285154028</v>
          </cell>
          <cell r="B66" t="str">
            <v>8403069F</v>
          </cell>
          <cell r="C66" t="str">
            <v>DEWI ARJUNI KUSNADI</v>
          </cell>
          <cell r="D66">
            <v>84037602</v>
          </cell>
          <cell r="E66">
            <v>4120177773</v>
          </cell>
          <cell r="F66">
            <v>54</v>
          </cell>
          <cell r="G66" t="str">
            <v>Perjalanan Dinas Non-Diklat</v>
          </cell>
          <cell r="H66" t="str">
            <v>Kota Makassar - Jakarta Selatan</v>
          </cell>
          <cell r="I66" t="str">
            <v>18/09/2025 - 19/09/2025</v>
          </cell>
          <cell r="J66">
            <v>2</v>
          </cell>
          <cell r="K66" t="str">
            <v>Flight One Way</v>
          </cell>
          <cell r="L66" t="str">
            <v>17-09-2025 11:53:10</v>
          </cell>
          <cell r="M66" t="str">
            <v>Batik Air Domestic UPG Hasanuddin ID-6265 - Batik Air 2D CGK Soekarno Hatta International Airport ID-6265</v>
          </cell>
          <cell r="N66" t="str">
            <v>OF TJSL</v>
          </cell>
          <cell r="O66">
            <v>7412163</v>
          </cell>
          <cell r="P66" t="str">
            <v>18/09/2025 06:25:00 - 18/09/2025 07:45:00</v>
          </cell>
          <cell r="Q66">
            <v>1445800</v>
          </cell>
        </row>
        <row r="67">
          <cell r="A67">
            <v>1285432488</v>
          </cell>
          <cell r="B67" t="str">
            <v>88112344Z</v>
          </cell>
          <cell r="C67" t="str">
            <v>ANGGIH PRASETYA</v>
          </cell>
          <cell r="D67">
            <v>88117613</v>
          </cell>
          <cell r="E67">
            <v>4120177784</v>
          </cell>
          <cell r="F67">
            <v>54</v>
          </cell>
          <cell r="G67" t="str">
            <v>Perjalanan Dinas Non-Diklat</v>
          </cell>
          <cell r="H67" t="str">
            <v>KotaBaubau-KotaMakassar</v>
          </cell>
          <cell r="I67" t="str">
            <v>17/09/2025 - 19/09/2025</v>
          </cell>
          <cell r="J67">
            <v>3</v>
          </cell>
          <cell r="K67" t="str">
            <v>Hotel</v>
          </cell>
          <cell r="L67" t="str">
            <v>18-09-2025 14:10:38</v>
          </cell>
          <cell r="M67" t="str">
            <v>Aston Makassar Hotel &amp; Convention Center - 4.0 Stars  - Deluxe</v>
          </cell>
          <cell r="N67" t="str">
            <v>ASMAN TE LIST</v>
          </cell>
          <cell r="O67">
            <v>7411284</v>
          </cell>
          <cell r="P67" t="str">
            <v>18/09/2025 14:00:00 - 19/09/2025 12:00:00</v>
          </cell>
          <cell r="Q67">
            <v>803950</v>
          </cell>
        </row>
        <row r="68">
          <cell r="A68">
            <v>1285096049</v>
          </cell>
          <cell r="B68" t="str">
            <v>88112344Z</v>
          </cell>
          <cell r="C68" t="str">
            <v>ANGGIH PRASETYA</v>
          </cell>
          <cell r="D68">
            <v>88117613</v>
          </cell>
          <cell r="E68">
            <v>4120177784</v>
          </cell>
          <cell r="F68">
            <v>54</v>
          </cell>
          <cell r="G68" t="str">
            <v>Perjalanan Dinas Non-Diklat</v>
          </cell>
          <cell r="H68" t="str">
            <v>Kota Baubau - Kota Makassar</v>
          </cell>
          <cell r="I68" t="str">
            <v>17/09/2025 - 19/09/2025</v>
          </cell>
          <cell r="J68">
            <v>3</v>
          </cell>
          <cell r="K68" t="str">
            <v>Flight One Way</v>
          </cell>
          <cell r="L68" t="str">
            <v>17-09-2025 07:01:11</v>
          </cell>
          <cell r="M68" t="str">
            <v>Super Air Jet  BUW Betoambari IU-573 - Super Air Jet  UPG Hasanuddin IU-573</v>
          </cell>
          <cell r="N68" t="str">
            <v>ASMAN TE LIST</v>
          </cell>
          <cell r="O68">
            <v>7411284</v>
          </cell>
          <cell r="P68" t="str">
            <v>17/09/2025 15:15:00 - 17/09/2025 16:00:00</v>
          </cell>
          <cell r="Q68">
            <v>744200</v>
          </cell>
        </row>
        <row r="69">
          <cell r="A69">
            <v>1285061599</v>
          </cell>
          <cell r="B69" t="str">
            <v>9110047F</v>
          </cell>
          <cell r="C69" t="str">
            <v>ANDY JUNIWASTIAR</v>
          </cell>
          <cell r="D69">
            <v>91107606</v>
          </cell>
          <cell r="E69">
            <v>4120177760</v>
          </cell>
          <cell r="F69">
            <v>54</v>
          </cell>
          <cell r="G69" t="str">
            <v>Perjalanan Dinas Non-Diklat</v>
          </cell>
          <cell r="H69" t="str">
            <v>Kota Makassar - Jakarta Barat</v>
          </cell>
          <cell r="I69" t="str">
            <v>17/09/2025 - 27/09/2025</v>
          </cell>
          <cell r="J69">
            <v>11</v>
          </cell>
          <cell r="K69" t="str">
            <v>Flight One Way</v>
          </cell>
          <cell r="L69" t="str">
            <v>16-09-2025 22:10:32</v>
          </cell>
          <cell r="M69" t="str">
            <v>Garuda Indonesia Domestic UPG Hasanuddin GA-641 - Garuda Indonesia  CGK Soekarno Hatta International Airport GA-641</v>
          </cell>
          <cell r="N69" t="str">
            <v>TL K3L DAN KAM</v>
          </cell>
          <cell r="O69">
            <v>74092701</v>
          </cell>
          <cell r="P69" t="str">
            <v>17/09/2025 12:15:00 - 17/09/2025 13:40:00</v>
          </cell>
          <cell r="Q69">
            <v>2345200</v>
          </cell>
        </row>
        <row r="70">
          <cell r="A70">
            <v>1285040778</v>
          </cell>
          <cell r="B70" t="str">
            <v>95201059ZY</v>
          </cell>
          <cell r="C70" t="str">
            <v>SUPRIANTO MARWING</v>
          </cell>
          <cell r="D70">
            <v>95207607</v>
          </cell>
          <cell r="E70">
            <v>4120177777</v>
          </cell>
          <cell r="F70">
            <v>54</v>
          </cell>
          <cell r="G70" t="str">
            <v>Perjalanan Dinas Non-Diklat</v>
          </cell>
          <cell r="H70" t="str">
            <v>Kab. Buton Tengah - Kota Makassar</v>
          </cell>
          <cell r="I70" t="str">
            <v>17/09/2025 - 19/09/2025</v>
          </cell>
          <cell r="J70">
            <v>3</v>
          </cell>
          <cell r="K70" t="str">
            <v>Flight One Way</v>
          </cell>
          <cell r="L70" t="str">
            <v>16-09-2025 20:33:03</v>
          </cell>
          <cell r="M70" t="str">
            <v>Wings Air  BUW Betoambari IW-1305 - Wings Air Domestic UPG Hasanuddin IW-1305</v>
          </cell>
          <cell r="N70" t="str">
            <v>TL YAN GAN</v>
          </cell>
          <cell r="O70">
            <v>7409654</v>
          </cell>
          <cell r="P70" t="str">
            <v>17/09/2025 06:30:00 - 17/09/2025 07:40:00</v>
          </cell>
          <cell r="Q70">
            <v>1139700</v>
          </cell>
        </row>
        <row r="71">
          <cell r="A71">
            <v>1285332713</v>
          </cell>
          <cell r="B71" t="str">
            <v>95201059ZY</v>
          </cell>
          <cell r="C71" t="str">
            <v>SUPRIANTO MARWING</v>
          </cell>
          <cell r="D71">
            <v>95207607</v>
          </cell>
          <cell r="E71">
            <v>4120177777</v>
          </cell>
          <cell r="F71">
            <v>54</v>
          </cell>
          <cell r="G71" t="str">
            <v>Perjalanan Dinas Non-Diklat</v>
          </cell>
          <cell r="H71" t="str">
            <v>Kab.ButonTengah-KotaMakassar</v>
          </cell>
          <cell r="I71" t="str">
            <v>17/09/2025 - 19/09/2025</v>
          </cell>
          <cell r="J71">
            <v>3</v>
          </cell>
          <cell r="K71" t="str">
            <v>Hotel</v>
          </cell>
          <cell r="L71" t="str">
            <v>18-09-2025 06:18:12</v>
          </cell>
          <cell r="M71" t="str">
            <v xml:space="preserve">Gammara Hotel Makassar - 4.0 Stars  - </v>
          </cell>
          <cell r="N71" t="str">
            <v>TL YAN GAN</v>
          </cell>
          <cell r="O71">
            <v>7412280</v>
          </cell>
          <cell r="P71" t="str">
            <v>18/09/2025 14:00:00 - 19/09/2025 12:00:00</v>
          </cell>
          <cell r="Q71">
            <v>729412</v>
          </cell>
        </row>
        <row r="72">
          <cell r="A72">
            <v>1285115802</v>
          </cell>
          <cell r="B72" t="str">
            <v>95201059ZY</v>
          </cell>
          <cell r="C72" t="str">
            <v>SUPRIANTO MARWING</v>
          </cell>
          <cell r="D72">
            <v>95207607</v>
          </cell>
          <cell r="E72">
            <v>4120177777</v>
          </cell>
          <cell r="F72">
            <v>54</v>
          </cell>
          <cell r="G72" t="str">
            <v>Perjalanan Dinas Non-Diklat</v>
          </cell>
          <cell r="H72" t="str">
            <v>Kab. Buton Tengah - Kota Makassar</v>
          </cell>
          <cell r="I72" t="str">
            <v>17/09/2025 - 19/09/2025</v>
          </cell>
          <cell r="J72">
            <v>3</v>
          </cell>
          <cell r="K72" t="str">
            <v>Flight One Way</v>
          </cell>
          <cell r="L72" t="str">
            <v>17-09-2025 09:09:55</v>
          </cell>
          <cell r="M72" t="str">
            <v>Super Air Jet  UPG Hasanuddin IU-572 - Super Air Jet  BUW Betoambari IU-572</v>
          </cell>
          <cell r="N72" t="str">
            <v>TL YAN GAN</v>
          </cell>
          <cell r="O72">
            <v>7409654</v>
          </cell>
          <cell r="P72" t="str">
            <v>19/09/2025 13:50:00 - 19/09/2025 14:35:00</v>
          </cell>
          <cell r="Q72">
            <v>844100</v>
          </cell>
        </row>
        <row r="73">
          <cell r="A73">
            <v>1285031069</v>
          </cell>
          <cell r="B73" t="str">
            <v>0124013ZY</v>
          </cell>
          <cell r="C73" t="str">
            <v>ARDAYA PRATAMA</v>
          </cell>
          <cell r="D73">
            <v>1247601</v>
          </cell>
          <cell r="E73">
            <v>4120177772</v>
          </cell>
          <cell r="F73">
            <v>54</v>
          </cell>
          <cell r="G73" t="str">
            <v>Perjalanan Dinas Non-Diklat</v>
          </cell>
          <cell r="H73" t="str">
            <v>Kota Baubau - Kota Makassar</v>
          </cell>
          <cell r="I73" t="str">
            <v>17/09/2025 - 19/09/2025</v>
          </cell>
          <cell r="J73">
            <v>3</v>
          </cell>
          <cell r="K73" t="str">
            <v>Flight One Way</v>
          </cell>
          <cell r="L73" t="str">
            <v>16-09-2025 19:50:47</v>
          </cell>
          <cell r="M73" t="str">
            <v>Wings Air  BUW Betoambari IW-1305 - Wings Air Domestic UPG Hasanuddin IW-1305</v>
          </cell>
          <cell r="N73" t="str">
            <v>TC DAL SUSUT</v>
          </cell>
          <cell r="O73">
            <v>7411284</v>
          </cell>
          <cell r="P73" t="str">
            <v>17/09/2025 06:30:00 - 17/09/2025 07:40:00</v>
          </cell>
          <cell r="Q73">
            <v>1139700</v>
          </cell>
        </row>
        <row r="74">
          <cell r="A74">
            <v>1285470867</v>
          </cell>
          <cell r="B74" t="str">
            <v>0124013ZY</v>
          </cell>
          <cell r="C74" t="str">
            <v>ARDAYA PRATAMA</v>
          </cell>
          <cell r="D74">
            <v>1247601</v>
          </cell>
          <cell r="E74">
            <v>4120177772</v>
          </cell>
          <cell r="F74">
            <v>54</v>
          </cell>
          <cell r="G74" t="str">
            <v>Perjalanan Dinas Non-Diklat</v>
          </cell>
          <cell r="H74" t="str">
            <v>KotaBaubau-KotaMakassar</v>
          </cell>
          <cell r="I74" t="str">
            <v>17/09/2025 - 19/09/2025</v>
          </cell>
          <cell r="J74">
            <v>3</v>
          </cell>
          <cell r="K74" t="str">
            <v>Flight One Way</v>
          </cell>
          <cell r="L74" t="str">
            <v>18-09-2025 16:44:20</v>
          </cell>
          <cell r="M74" t="str">
            <v>Super Air Jet  UPG Hasanuddin IU-572 - Super Air Jet  BUW Betoambari IU-572</v>
          </cell>
          <cell r="N74" t="str">
            <v>TC DAL SUSUT</v>
          </cell>
          <cell r="O74">
            <v>7411284</v>
          </cell>
          <cell r="P74" t="str">
            <v>19/09/2025 09:50:00 - 19/09/2025 10:35:00</v>
          </cell>
          <cell r="Q74">
            <v>844100</v>
          </cell>
        </row>
        <row r="75">
          <cell r="A75">
            <v>1285051591</v>
          </cell>
          <cell r="B75" t="str">
            <v>0124013ZY</v>
          </cell>
          <cell r="C75" t="str">
            <v>ARDAYA PRATAMA</v>
          </cell>
          <cell r="D75">
            <v>1247601</v>
          </cell>
          <cell r="E75">
            <v>4120177772</v>
          </cell>
          <cell r="F75">
            <v>54</v>
          </cell>
          <cell r="G75" t="str">
            <v>Perjalanan Dinas Non-Diklat</v>
          </cell>
          <cell r="H75" t="str">
            <v>Kota Baubau - Kota Makassar</v>
          </cell>
          <cell r="I75" t="str">
            <v>17/09/2025 - 19/09/2025</v>
          </cell>
          <cell r="J75">
            <v>3</v>
          </cell>
          <cell r="K75" t="str">
            <v>Hotel</v>
          </cell>
          <cell r="L75" t="str">
            <v>16-09-2025 21:21:21</v>
          </cell>
          <cell r="M75" t="str">
            <v xml:space="preserve">Aston Makassar Hotel &amp; Convention Center - 4.0 Stars  - </v>
          </cell>
          <cell r="N75" t="str">
            <v>TC DAL SUSUT</v>
          </cell>
          <cell r="O75">
            <v>7411284</v>
          </cell>
          <cell r="P75" t="str">
            <v>17/09/2025 14:00:00 - 19/09/2025 12:00:00</v>
          </cell>
          <cell r="Q75">
            <v>1447110</v>
          </cell>
        </row>
        <row r="76">
          <cell r="A76">
            <v>1285031276</v>
          </cell>
          <cell r="B76" t="str">
            <v>8909011F</v>
          </cell>
          <cell r="C76" t="str">
            <v>MUHAMMAD IQBAL NUR</v>
          </cell>
          <cell r="D76">
            <v>89097601</v>
          </cell>
          <cell r="E76">
            <v>4120177765</v>
          </cell>
          <cell r="F76">
            <v>54</v>
          </cell>
          <cell r="G76" t="str">
            <v>Perjalanan Dinas Non-Diklat</v>
          </cell>
          <cell r="H76" t="str">
            <v>Kota Baubau - Kota Makassar</v>
          </cell>
          <cell r="I76" t="str">
            <v>17/09/2025 - 19/09/2025</v>
          </cell>
          <cell r="J76">
            <v>3</v>
          </cell>
          <cell r="K76" t="str">
            <v>Flight One Way</v>
          </cell>
          <cell r="L76" t="str">
            <v>16-09-2025 19:51:44</v>
          </cell>
          <cell r="M76" t="str">
            <v>Wings Air  BUW Betoambari IW-1305 - Wings Air Domestic UPG Hasanuddin IW-1305</v>
          </cell>
          <cell r="N76" t="str">
            <v>TL DAL SUSUT</v>
          </cell>
          <cell r="O76">
            <v>7411284</v>
          </cell>
          <cell r="P76" t="str">
            <v>17/09/2025 06:30:00 - 17/09/2025 07:40:00</v>
          </cell>
          <cell r="Q76">
            <v>1139700</v>
          </cell>
        </row>
        <row r="77">
          <cell r="A77">
            <v>1285120216</v>
          </cell>
          <cell r="B77" t="str">
            <v>8909011F</v>
          </cell>
          <cell r="C77" t="str">
            <v>MUHAMMAD IQBAL NUR</v>
          </cell>
          <cell r="D77">
            <v>89097601</v>
          </cell>
          <cell r="E77">
            <v>4120177765</v>
          </cell>
          <cell r="F77">
            <v>54</v>
          </cell>
          <cell r="G77" t="str">
            <v>Perjalanan Dinas Non-Diklat</v>
          </cell>
          <cell r="H77" t="str">
            <v>Kota Baubau - Kota Makassar</v>
          </cell>
          <cell r="I77" t="str">
            <v>17/09/2025 - 19/09/2025</v>
          </cell>
          <cell r="J77">
            <v>3</v>
          </cell>
          <cell r="K77" t="str">
            <v>Hotel</v>
          </cell>
          <cell r="L77" t="str">
            <v>17-09-2025 09:30:40</v>
          </cell>
          <cell r="M77" t="str">
            <v xml:space="preserve">Four Points by Sheraton Makassar - 4.0 Stars  - </v>
          </cell>
          <cell r="N77" t="str">
            <v>TL DAL SUSUT</v>
          </cell>
          <cell r="O77">
            <v>7411284</v>
          </cell>
          <cell r="P77" t="str">
            <v>17/09/2025 14:00:00 - 19/09/2025 12:00:00</v>
          </cell>
          <cell r="Q77">
            <v>1500400</v>
          </cell>
        </row>
        <row r="78">
          <cell r="A78">
            <v>1285483435</v>
          </cell>
          <cell r="B78" t="str">
            <v>89112122Z</v>
          </cell>
          <cell r="C78" t="str">
            <v>SOBRI FADILLAH</v>
          </cell>
          <cell r="D78">
            <v>89117600</v>
          </cell>
          <cell r="E78">
            <v>4120177775</v>
          </cell>
          <cell r="F78">
            <v>54</v>
          </cell>
          <cell r="G78" t="str">
            <v>Perjalanan Dinas Non-Diklat</v>
          </cell>
          <cell r="H78" t="str">
            <v>KotaParepare-KotaMakassar</v>
          </cell>
          <cell r="I78" t="str">
            <v>18/09/2025 - 19/09/2025</v>
          </cell>
          <cell r="J78">
            <v>2</v>
          </cell>
          <cell r="K78" t="str">
            <v>Hotel</v>
          </cell>
          <cell r="L78" t="str">
            <v>18-09-2025 17:39:24</v>
          </cell>
          <cell r="M78" t="str">
            <v xml:space="preserve">Swiss-Belinn Panakkukang - 4.0 Stars  - </v>
          </cell>
          <cell r="N78" t="str">
            <v>TL DAL SUSUT</v>
          </cell>
          <cell r="O78">
            <v>7411222</v>
          </cell>
          <cell r="P78" t="str">
            <v>18/09/2025 14:00:00 - 19/09/2025 12:00:00</v>
          </cell>
          <cell r="Q78">
            <v>845868</v>
          </cell>
        </row>
        <row r="79">
          <cell r="A79">
            <v>1285156349</v>
          </cell>
          <cell r="B79" t="str">
            <v>7394038F</v>
          </cell>
          <cell r="C79" t="str">
            <v>SARLINA M.KILYKILY</v>
          </cell>
          <cell r="D79">
            <v>73947604</v>
          </cell>
          <cell r="E79">
            <v>4120177771</v>
          </cell>
          <cell r="F79">
            <v>54</v>
          </cell>
          <cell r="G79" t="str">
            <v>Perjalanan Dinas Non-Diklat</v>
          </cell>
          <cell r="H79" t="str">
            <v>Kota Kendari - Kota Makassar</v>
          </cell>
          <cell r="I79" t="str">
            <v>17/09/2025 - 19/09/2025</v>
          </cell>
          <cell r="J79">
            <v>3</v>
          </cell>
          <cell r="K79" t="str">
            <v>Hotel</v>
          </cell>
          <cell r="L79" t="str">
            <v>17-09-2025 12:02:36</v>
          </cell>
          <cell r="M79" t="str">
            <v xml:space="preserve">Vasaka Hotel Makassar Managed By Dafam - 3.5 Stars  - </v>
          </cell>
          <cell r="N79" t="str">
            <v>ASMAN AGA DAN SAR</v>
          </cell>
          <cell r="O79">
            <v>7412243</v>
          </cell>
          <cell r="P79" t="str">
            <v>17/09/2025 14:00:00 - 19/09/2025 12:00:00</v>
          </cell>
          <cell r="Q79">
            <v>1746029</v>
          </cell>
        </row>
        <row r="80">
          <cell r="A80">
            <v>1284993573</v>
          </cell>
          <cell r="B80" t="str">
            <v>7394038F</v>
          </cell>
          <cell r="C80" t="str">
            <v>SARLINA M.KILYKILY</v>
          </cell>
          <cell r="D80">
            <v>73947604</v>
          </cell>
          <cell r="E80">
            <v>4120177771</v>
          </cell>
          <cell r="F80">
            <v>54</v>
          </cell>
          <cell r="G80" t="str">
            <v>Perjalanan Dinas Non-Diklat</v>
          </cell>
          <cell r="H80" t="str">
            <v>Kota Kendari - Kota Makassar</v>
          </cell>
          <cell r="I80" t="str">
            <v>17/09/2025 - 19/09/2025</v>
          </cell>
          <cell r="J80">
            <v>3</v>
          </cell>
          <cell r="K80" t="str">
            <v>Flight Round-Trip</v>
          </cell>
          <cell r="L80" t="str">
            <v>16-09-2025 16:59:56</v>
          </cell>
          <cell r="M80" t="str">
            <v>Lion Air  KDI Haluoleo JT-993 - Lion Air Domestic UPG Hasanuddin JT-993</v>
          </cell>
          <cell r="N80" t="str">
            <v>ASMAN AGA DAN SAR</v>
          </cell>
          <cell r="O80">
            <v>7412243</v>
          </cell>
          <cell r="P80" t="str">
            <v>17/09/2025 14:30:00 - 17/09/2025 15:25:00</v>
          </cell>
          <cell r="Q80">
            <v>1504000</v>
          </cell>
        </row>
        <row r="81">
          <cell r="A81">
            <v>1285006362</v>
          </cell>
          <cell r="B81" t="str">
            <v>9012488ZY</v>
          </cell>
          <cell r="C81" t="str">
            <v>RHAMADANI WIBISONO</v>
          </cell>
          <cell r="D81">
            <v>90127601</v>
          </cell>
          <cell r="E81">
            <v>4120177752</v>
          </cell>
          <cell r="F81">
            <v>54</v>
          </cell>
          <cell r="G81" t="str">
            <v>Perjalanan Dinas Non-Diklat</v>
          </cell>
          <cell r="H81" t="str">
            <v>Kota Palopo - Kota Makassar</v>
          </cell>
          <cell r="I81" t="str">
            <v>17/09/2025 - 19/09/2025</v>
          </cell>
          <cell r="J81">
            <v>3</v>
          </cell>
          <cell r="K81" t="str">
            <v>Hotel</v>
          </cell>
          <cell r="L81" t="str">
            <v>16-09-2025 17:58:17</v>
          </cell>
          <cell r="M81" t="str">
            <v>Swiss-Belinn Panakkukang - 4.0 Stars  - Deluxe Twin</v>
          </cell>
          <cell r="N81" t="str">
            <v>ASMAN TE LIST</v>
          </cell>
          <cell r="O81">
            <v>7411262</v>
          </cell>
          <cell r="P81" t="str">
            <v>17/09/2025 14:00:00 - 18/09/2025 12:00:00</v>
          </cell>
          <cell r="Q81">
            <v>862341</v>
          </cell>
        </row>
        <row r="82">
          <cell r="A82">
            <v>1285008102</v>
          </cell>
          <cell r="B82" t="str">
            <v>9012488ZY</v>
          </cell>
          <cell r="C82" t="str">
            <v>RHAMADANI WIBISONO</v>
          </cell>
          <cell r="D82">
            <v>90127601</v>
          </cell>
          <cell r="E82">
            <v>4120177752</v>
          </cell>
          <cell r="F82">
            <v>54</v>
          </cell>
          <cell r="G82" t="str">
            <v>Perjalanan Dinas Non-Diklat</v>
          </cell>
          <cell r="H82" t="str">
            <v>Kota Palopo - Kota Makassar</v>
          </cell>
          <cell r="I82" t="str">
            <v>17/09/2025 - 19/09/2025</v>
          </cell>
          <cell r="J82">
            <v>3</v>
          </cell>
          <cell r="K82" t="str">
            <v>Hotel</v>
          </cell>
          <cell r="L82" t="str">
            <v>16-09-2025 18:06:05</v>
          </cell>
          <cell r="M82" t="str">
            <v xml:space="preserve">Harper Perintis by ASTON - 4.0 Stars  - </v>
          </cell>
          <cell r="N82" t="str">
            <v>ASMAN TE LIST</v>
          </cell>
          <cell r="O82">
            <v>7411262</v>
          </cell>
          <cell r="P82" t="str">
            <v>18/09/2025 14:00:00 - 19/09/2025 12:00:00</v>
          </cell>
          <cell r="Q82">
            <v>776900</v>
          </cell>
        </row>
        <row r="83">
          <cell r="A83">
            <v>1284975861</v>
          </cell>
          <cell r="B83" t="str">
            <v>9012488ZY</v>
          </cell>
          <cell r="C83" t="str">
            <v>RHAMADANI WIBISONO</v>
          </cell>
          <cell r="D83">
            <v>90127601</v>
          </cell>
          <cell r="E83">
            <v>4120177752</v>
          </cell>
          <cell r="F83">
            <v>54</v>
          </cell>
          <cell r="G83" t="str">
            <v>Perjalanan Dinas Non-Diklat</v>
          </cell>
          <cell r="H83" t="str">
            <v>Kota Palopo - Kota Makassar</v>
          </cell>
          <cell r="I83" t="str">
            <v>17/09/2025 - 19/09/2025</v>
          </cell>
          <cell r="J83">
            <v>3</v>
          </cell>
          <cell r="K83" t="str">
            <v>Flight Round-Trip</v>
          </cell>
          <cell r="L83" t="str">
            <v>16-09-2025 15:42:56</v>
          </cell>
          <cell r="M83" t="str">
            <v>Wings Air  LLO Lagaligo Airport IW-1351 - Wings Air Domestic UPG Hasanuddin IW-1351</v>
          </cell>
          <cell r="N83" t="str">
            <v>ASMAN TE LIST</v>
          </cell>
          <cell r="O83">
            <v>7411262</v>
          </cell>
          <cell r="P83" t="str">
            <v>17/09/2025 09:40:00 - 17/09/2025 10:35:00</v>
          </cell>
          <cell r="Q83">
            <v>2615300</v>
          </cell>
        </row>
        <row r="84">
          <cell r="A84">
            <v>1285098985</v>
          </cell>
          <cell r="B84" t="str">
            <v>9110016F</v>
          </cell>
          <cell r="C84" t="str">
            <v>AMI PRAWOTO RANDALAYUK</v>
          </cell>
          <cell r="D84">
            <v>91107604</v>
          </cell>
          <cell r="E84">
            <v>4120177751</v>
          </cell>
          <cell r="F84">
            <v>54</v>
          </cell>
          <cell r="G84" t="str">
            <v>Perjalanan Dinas Non-Diklat</v>
          </cell>
          <cell r="H84" t="str">
            <v>Kota Palopo - Kota Makassar</v>
          </cell>
          <cell r="I84" t="str">
            <v>17/09/2025 - 19/09/2025</v>
          </cell>
          <cell r="J84">
            <v>3</v>
          </cell>
          <cell r="K84" t="str">
            <v>Hotel</v>
          </cell>
          <cell r="L84" t="str">
            <v>17-09-2025 07:27:33</v>
          </cell>
          <cell r="M84" t="str">
            <v xml:space="preserve">Swiss-Belinn Panakkukang - 4.0 Stars  - </v>
          </cell>
          <cell r="N84" t="str">
            <v>TL DAL SUSUT</v>
          </cell>
          <cell r="O84">
            <v>7411262</v>
          </cell>
          <cell r="P84" t="str">
            <v>17/09/2025 14:00:00 - 19/09/2025 12:00:00</v>
          </cell>
          <cell r="Q84">
            <v>1560000</v>
          </cell>
        </row>
        <row r="85">
          <cell r="A85">
            <v>1285086433</v>
          </cell>
          <cell r="B85" t="str">
            <v>8808036F</v>
          </cell>
          <cell r="C85" t="str">
            <v xml:space="preserve">SYAHLAN </v>
          </cell>
          <cell r="D85">
            <v>88087602</v>
          </cell>
          <cell r="E85">
            <v>4120177762</v>
          </cell>
          <cell r="F85">
            <v>54</v>
          </cell>
          <cell r="G85" t="str">
            <v>Perjalanan Dinas Non-Diklat</v>
          </cell>
          <cell r="H85" t="str">
            <v>Kota Makassar - Jakarta Selatan</v>
          </cell>
          <cell r="I85" t="str">
            <v>18/09/2025 - 19/09/2025</v>
          </cell>
          <cell r="J85">
            <v>2</v>
          </cell>
          <cell r="K85" t="str">
            <v>Flight Round-Trip</v>
          </cell>
          <cell r="L85" t="str">
            <v>17-09-2025 04:01:20</v>
          </cell>
          <cell r="M85" t="str">
            <v>Citilink Domestic UPG Hasanuddin QG-345 - Citilink 1B CGK Soekarno Hatta International Airport QG-345</v>
          </cell>
          <cell r="N85" t="str">
            <v>ASMAN TJSL</v>
          </cell>
          <cell r="O85">
            <v>7412163</v>
          </cell>
          <cell r="P85" t="str">
            <v>18/09/2025 04:05:00 - 18/09/2025 05:25:00</v>
          </cell>
          <cell r="Q85">
            <v>2757900</v>
          </cell>
        </row>
        <row r="86">
          <cell r="A86">
            <v>1285475881</v>
          </cell>
          <cell r="B86" t="str">
            <v>8808036F</v>
          </cell>
          <cell r="C86" t="str">
            <v>SYAHLAN</v>
          </cell>
          <cell r="D86">
            <v>88087602</v>
          </cell>
          <cell r="E86">
            <v>4120177762</v>
          </cell>
          <cell r="F86">
            <v>54</v>
          </cell>
          <cell r="G86" t="str">
            <v>Perjalanan Dinas Non-Diklat</v>
          </cell>
          <cell r="H86" t="str">
            <v>KotaMakassar-JakartaSelatan</v>
          </cell>
          <cell r="I86" t="str">
            <v>18/09/2025 - 19/09/2025</v>
          </cell>
          <cell r="J86">
            <v>2</v>
          </cell>
          <cell r="K86" t="str">
            <v>Hotel</v>
          </cell>
          <cell r="L86" t="str">
            <v>18-09-2025 17:05:31</v>
          </cell>
          <cell r="M86" t="str">
            <v xml:space="preserve">AI HOTEL JAKARTA THAMRIN - 0.0 Stars  - </v>
          </cell>
          <cell r="N86" t="str">
            <v>ASMAN TJSL</v>
          </cell>
          <cell r="O86">
            <v>7412163</v>
          </cell>
          <cell r="P86" t="str">
            <v>18/09/2025 14:00:00 - 19/09/2025 12:00:00</v>
          </cell>
          <cell r="Q86">
            <v>815904</v>
          </cell>
        </row>
        <row r="87">
          <cell r="A87">
            <v>1285551951</v>
          </cell>
          <cell r="B87" t="str">
            <v>7904006F</v>
          </cell>
          <cell r="C87" t="str">
            <v>YULI ASHANIAIS RAMADANI</v>
          </cell>
          <cell r="D87">
            <v>79047601</v>
          </cell>
          <cell r="E87">
            <v>4120177763</v>
          </cell>
          <cell r="F87">
            <v>54</v>
          </cell>
          <cell r="G87" t="str">
            <v>Perjalanan Dinas Non-Diklat</v>
          </cell>
          <cell r="H87" t="str">
            <v>KotaMakassar-JakartaSelatan</v>
          </cell>
          <cell r="I87" t="str">
            <v>17/09/2025 - 19/09/2025</v>
          </cell>
          <cell r="J87">
            <v>3</v>
          </cell>
          <cell r="K87" t="str">
            <v>Flight One Way</v>
          </cell>
          <cell r="L87" t="str">
            <v>18-09-2025 22:42:07</v>
          </cell>
          <cell r="M87" t="str">
            <v>Garuda Indonesia  CGK Soekarno Hatta International Airport GA-618 - Garuda Indonesia Domestic UPG Hasanuddin GA-618</v>
          </cell>
          <cell r="N87" t="str">
            <v>SM AGA DAN MANJ GAN</v>
          </cell>
          <cell r="O87">
            <v>7411140</v>
          </cell>
          <cell r="P87" t="str">
            <v>19/09/2025 20:15:00 - 19/09/2025 23:50:00</v>
          </cell>
          <cell r="Q87">
            <v>2383300</v>
          </cell>
        </row>
        <row r="88">
          <cell r="A88">
            <v>1285072768</v>
          </cell>
          <cell r="B88" t="str">
            <v>7904006F</v>
          </cell>
          <cell r="C88" t="str">
            <v>YULI ASHANIAIS RAMADANI</v>
          </cell>
          <cell r="D88">
            <v>79047601</v>
          </cell>
          <cell r="E88">
            <v>4120177763</v>
          </cell>
          <cell r="F88">
            <v>54</v>
          </cell>
          <cell r="G88" t="str">
            <v>Perjalanan Dinas Non-Diklat</v>
          </cell>
          <cell r="H88" t="str">
            <v>Kota Makassar - Jakarta Selatan</v>
          </cell>
          <cell r="I88" t="str">
            <v>17/09/2025 - 19/09/2025</v>
          </cell>
          <cell r="J88">
            <v>3</v>
          </cell>
          <cell r="K88" t="str">
            <v>Flight One Way</v>
          </cell>
          <cell r="L88" t="str">
            <v>16-09-2025 23:21:11</v>
          </cell>
          <cell r="M88" t="str">
            <v>Garuda Indonesia Domestic UPG Hasanuddin GA-615 - Garuda Indonesia  CGK Soekarno Hatta International Airport GA-615</v>
          </cell>
          <cell r="N88" t="str">
            <v>SM AGA DAN MANJ GAN</v>
          </cell>
          <cell r="O88">
            <v>7411140</v>
          </cell>
          <cell r="P88" t="str">
            <v>17/09/2025 19:00:00 - 17/09/2025 20:25:00</v>
          </cell>
          <cell r="Q88">
            <v>2303500</v>
          </cell>
        </row>
        <row r="89">
          <cell r="A89">
            <v>1284975236</v>
          </cell>
          <cell r="B89" t="str">
            <v>7904006F</v>
          </cell>
          <cell r="C89" t="str">
            <v>YULI ASHANIAIS RAMADANI</v>
          </cell>
          <cell r="D89">
            <v>79047601</v>
          </cell>
          <cell r="E89">
            <v>4120177763</v>
          </cell>
          <cell r="F89">
            <v>54</v>
          </cell>
          <cell r="G89" t="str">
            <v>Perjalanan Dinas Non-Diklat</v>
          </cell>
          <cell r="H89" t="str">
            <v>Kota Makassar - Jakarta Selatan</v>
          </cell>
          <cell r="I89" t="str">
            <v>17/09/2025 - 19/09/2025</v>
          </cell>
          <cell r="J89">
            <v>3</v>
          </cell>
          <cell r="K89" t="str">
            <v>Hotel</v>
          </cell>
          <cell r="L89" t="str">
            <v>16-09-2025 15:40:27</v>
          </cell>
          <cell r="M89" t="str">
            <v>JS Luwansa Hotel And Convention Center - 4.0 Stars  - Deluxe</v>
          </cell>
          <cell r="N89" t="str">
            <v>SM AGA DAN MANJ GAN</v>
          </cell>
          <cell r="O89">
            <v>7411140</v>
          </cell>
          <cell r="P89" t="str">
            <v>17/09/2025 14:00:00 - 19/09/2025 12:00:00</v>
          </cell>
          <cell r="Q89">
            <v>3544694</v>
          </cell>
        </row>
        <row r="90">
          <cell r="A90">
            <v>1284964943</v>
          </cell>
          <cell r="B90" t="str">
            <v>8309472Z</v>
          </cell>
          <cell r="C90" t="str">
            <v>WAWANG WIRATAMA</v>
          </cell>
          <cell r="D90">
            <v>83098401</v>
          </cell>
          <cell r="E90">
            <v>4120177759</v>
          </cell>
          <cell r="F90">
            <v>54</v>
          </cell>
          <cell r="G90" t="str">
            <v>Perjalanan Dinas Non-Diklat</v>
          </cell>
          <cell r="H90" t="str">
            <v>Kota Makassar - Kota Malang</v>
          </cell>
          <cell r="I90" t="str">
            <v>16/09/2025 - 20/09/2025</v>
          </cell>
          <cell r="J90">
            <v>5</v>
          </cell>
          <cell r="K90" t="str">
            <v>Hotel</v>
          </cell>
          <cell r="L90" t="str">
            <v>16-09-2025 14:56:35</v>
          </cell>
          <cell r="M90" t="str">
            <v xml:space="preserve">THE 1O1 Malang OJ - 4.0 Stars  - </v>
          </cell>
          <cell r="N90" t="str">
            <v>MAN PNGMANAN PDPT</v>
          </cell>
          <cell r="O90">
            <v>7411141</v>
          </cell>
          <cell r="P90" t="str">
            <v>16/09/2025 14:00:00 - 20/09/2025 12:00:00</v>
          </cell>
          <cell r="Q90">
            <v>4760000</v>
          </cell>
        </row>
        <row r="91">
          <cell r="A91">
            <v>1285355082</v>
          </cell>
          <cell r="B91" t="str">
            <v>8711130Z</v>
          </cell>
          <cell r="C91" t="str">
            <v>HADHI BAGUS SETYANTO</v>
          </cell>
          <cell r="D91">
            <v>87117602</v>
          </cell>
          <cell r="E91">
            <v>4120177758</v>
          </cell>
          <cell r="F91">
            <v>54</v>
          </cell>
          <cell r="G91" t="str">
            <v>Perjalanan Dinas Non-Diklat</v>
          </cell>
          <cell r="H91" t="str">
            <v>Kota Makassar - Kota Malang</v>
          </cell>
          <cell r="I91" t="str">
            <v>16/09/2025 - 20/09/2025</v>
          </cell>
          <cell r="J91">
            <v>5</v>
          </cell>
          <cell r="K91" t="str">
            <v>Flight One Way</v>
          </cell>
          <cell r="L91" t="str">
            <v>18-09-2025 08:56:22</v>
          </cell>
          <cell r="M91" t="str">
            <v>Batik Air 1 SUB Juanda ID-6136 - Batik Air Domestic UPG Hasanuddin ID-6136</v>
          </cell>
          <cell r="N91" t="str">
            <v>ASMAN MANJ BILLING</v>
          </cell>
          <cell r="O91">
            <v>7411141</v>
          </cell>
          <cell r="P91" t="str">
            <v>19/09/2025 22:00:00 - 20/09/2025 00:30:00</v>
          </cell>
          <cell r="Q91">
            <v>1141400</v>
          </cell>
        </row>
        <row r="92">
          <cell r="A92">
            <v>1284928569</v>
          </cell>
          <cell r="B92" t="str">
            <v>8711130Z</v>
          </cell>
          <cell r="C92" t="str">
            <v>HADHI BAGUS SETYANTO</v>
          </cell>
          <cell r="D92">
            <v>87117602</v>
          </cell>
          <cell r="E92">
            <v>4120177758</v>
          </cell>
          <cell r="F92">
            <v>54</v>
          </cell>
          <cell r="G92" t="str">
            <v>Perjalanan Dinas Non-Diklat</v>
          </cell>
          <cell r="H92" t="str">
            <v>Kota Makassar - Kota Malang</v>
          </cell>
          <cell r="I92" t="str">
            <v>16/09/2025 - 20/09/2025</v>
          </cell>
          <cell r="J92">
            <v>5</v>
          </cell>
          <cell r="K92" t="str">
            <v>Hotel</v>
          </cell>
          <cell r="L92" t="str">
            <v>16-09-2025 12:21:54</v>
          </cell>
          <cell r="M92" t="str">
            <v xml:space="preserve">THE 1O1 Malang OJ - 4.0 Stars  - </v>
          </cell>
          <cell r="N92" t="str">
            <v>ASMAN MANJ BILLING</v>
          </cell>
          <cell r="O92">
            <v>7411141</v>
          </cell>
          <cell r="P92" t="str">
            <v>16/09/2025 14:00:00 - 18/09/2025 12:00:00</v>
          </cell>
          <cell r="Q92">
            <v>1618400</v>
          </cell>
        </row>
        <row r="93">
          <cell r="A93">
            <v>1284903059</v>
          </cell>
          <cell r="B93" t="str">
            <v>7493036F</v>
          </cell>
          <cell r="C93" t="str">
            <v xml:space="preserve">ARMAN </v>
          </cell>
          <cell r="D93">
            <v>74937601</v>
          </cell>
          <cell r="E93">
            <v>4120177755</v>
          </cell>
          <cell r="F93">
            <v>54</v>
          </cell>
          <cell r="G93" t="str">
            <v>Perjalanan Dinas Diklat</v>
          </cell>
          <cell r="H93" t="str">
            <v>Kota Makassar - Jakarta Barat</v>
          </cell>
          <cell r="I93" t="str">
            <v>17/09/2025 - 27/09/2025</v>
          </cell>
          <cell r="J93">
            <v>11</v>
          </cell>
          <cell r="K93" t="str">
            <v>Flight One Way</v>
          </cell>
          <cell r="L93" t="str">
            <v>16-09-2025 10:37:21</v>
          </cell>
          <cell r="M93" t="str">
            <v>Garuda Indonesia Domestic UPG Hasanuddin GA-611 - Garuda Indonesia  CGK Soekarno Hatta International Airport GA-611</v>
          </cell>
          <cell r="N93" t="str">
            <v>MAN K3L DAN KAM</v>
          </cell>
          <cell r="O93">
            <v>7412000</v>
          </cell>
          <cell r="P93" t="str">
            <v>17/09/2025 11:20:00 - 17/09/2025 12:45:00</v>
          </cell>
          <cell r="Q93">
            <v>1939100</v>
          </cell>
        </row>
        <row r="94">
          <cell r="A94">
            <v>1284899346</v>
          </cell>
          <cell r="B94" t="str">
            <v>8712617ZY</v>
          </cell>
          <cell r="C94" t="str">
            <v>M. LUKMAN HAKIM</v>
          </cell>
          <cell r="D94">
            <v>87127603</v>
          </cell>
          <cell r="E94">
            <v>4120177747</v>
          </cell>
          <cell r="F94">
            <v>54</v>
          </cell>
          <cell r="G94" t="str">
            <v>Perjalanan Dinas Non-Diklat</v>
          </cell>
          <cell r="H94" t="str">
            <v>Kota Makassar - Jakarta Selatan</v>
          </cell>
          <cell r="I94" t="str">
            <v>17/09/2025 - 19/09/2025</v>
          </cell>
          <cell r="J94">
            <v>3</v>
          </cell>
          <cell r="K94" t="str">
            <v>Flight One Way</v>
          </cell>
          <cell r="L94" t="str">
            <v>16-09-2025 10:22:36</v>
          </cell>
          <cell r="M94" t="str">
            <v>Garuda Indonesia Domestic UPG Hasanuddin GA-641 - Garuda Indonesia  CGK Soekarno Hatta International Airport GA-641</v>
          </cell>
          <cell r="N94" t="str">
            <v>ASMAN DIG SERVICE DAN CUST EX</v>
          </cell>
          <cell r="O94">
            <v>7411140</v>
          </cell>
          <cell r="P94" t="str">
            <v>17/09/2025 12:15:00 - 17/09/2025 13:40:00</v>
          </cell>
          <cell r="Q94">
            <v>2303500</v>
          </cell>
        </row>
        <row r="95">
          <cell r="A95">
            <v>1285619102</v>
          </cell>
          <cell r="B95" t="str">
            <v>8712617ZY</v>
          </cell>
          <cell r="C95" t="str">
            <v>M. LUKMAN HAKIM</v>
          </cell>
          <cell r="D95">
            <v>87127603</v>
          </cell>
          <cell r="E95">
            <v>4120177747</v>
          </cell>
          <cell r="F95">
            <v>54</v>
          </cell>
          <cell r="G95" t="str">
            <v>Perjalanan Dinas Non-Diklat</v>
          </cell>
          <cell r="H95" t="str">
            <v>KotaMakassar-JakartaSelatan</v>
          </cell>
          <cell r="I95" t="str">
            <v>17/09/2025 - 19/09/2025</v>
          </cell>
          <cell r="J95">
            <v>3</v>
          </cell>
          <cell r="K95" t="str">
            <v>Flight One Way</v>
          </cell>
          <cell r="L95" t="str">
            <v>19-09-2025 10:04:59</v>
          </cell>
          <cell r="M95" t="str">
            <v>Garuda Indonesia  CGK Soekarno Hatta International Airport GA-616 - Garuda Indonesia Domestic UPG Hasanuddin GA-616</v>
          </cell>
          <cell r="N95" t="str">
            <v>ASMAN DIG SERVICE DAN CUST EX</v>
          </cell>
          <cell r="O95">
            <v>7411140</v>
          </cell>
          <cell r="P95" t="str">
            <v>19/09/2025 18:30:00 - 19/09/2025 22:05:00</v>
          </cell>
          <cell r="Q95">
            <v>1921000</v>
          </cell>
        </row>
        <row r="96">
          <cell r="A96">
            <v>1284932326</v>
          </cell>
          <cell r="B96" t="str">
            <v>9317719ZY</v>
          </cell>
          <cell r="C96" t="str">
            <v>NUR LAYLA SARI HS</v>
          </cell>
          <cell r="D96">
            <v>93177609</v>
          </cell>
          <cell r="E96">
            <v>4120177754</v>
          </cell>
          <cell r="F96">
            <v>54</v>
          </cell>
          <cell r="G96" t="str">
            <v>Perjalanan Dinas Diklat</v>
          </cell>
          <cell r="H96" t="str">
            <v>Kota Makassar - Jakarta Barat</v>
          </cell>
          <cell r="I96" t="str">
            <v>17/09/2025 - 27/09/2025</v>
          </cell>
          <cell r="J96">
            <v>11</v>
          </cell>
          <cell r="K96" t="str">
            <v>Flight Round-Trip</v>
          </cell>
          <cell r="L96" t="str">
            <v>16-09-2025 12:38:12</v>
          </cell>
          <cell r="M96" t="str">
            <v>Garuda Indonesia Domestic UPG Hasanuddin GA-617 - Garuda Indonesia  CGK Soekarno Hatta International Airport GA-617</v>
          </cell>
          <cell r="N96" t="str">
            <v>OF K3 DAN KAM</v>
          </cell>
          <cell r="O96">
            <v>7412000</v>
          </cell>
          <cell r="P96" t="str">
            <v>17/09/2025 07:15:00 - 17/09/2025 08:45:00</v>
          </cell>
          <cell r="Q96">
            <v>4740600</v>
          </cell>
        </row>
        <row r="97">
          <cell r="A97">
            <v>1284993363</v>
          </cell>
          <cell r="B97" t="str">
            <v>8908085F</v>
          </cell>
          <cell r="C97" t="str">
            <v>ANDI ANGGA SAPUTRA BATARA</v>
          </cell>
          <cell r="D97">
            <v>89087603</v>
          </cell>
          <cell r="E97">
            <v>4120177753</v>
          </cell>
          <cell r="F97">
            <v>54</v>
          </cell>
          <cell r="G97" t="str">
            <v>Perjalanan Dinas Non-Diklat</v>
          </cell>
          <cell r="H97" t="str">
            <v>Kota Kendari - Kota Makassar</v>
          </cell>
          <cell r="I97" t="str">
            <v>17/09/2025 - 19/09/2025</v>
          </cell>
          <cell r="J97">
            <v>3</v>
          </cell>
          <cell r="K97" t="str">
            <v>Flight One Way</v>
          </cell>
          <cell r="L97" t="str">
            <v>16-09-2025 16:59:07</v>
          </cell>
          <cell r="M97" t="str">
            <v>Garuda Indonesia  KDI Haluoleo GA-605 - Garuda Indonesia Domestic UPG Hasanuddin GA-605</v>
          </cell>
          <cell r="N97" t="str">
            <v>TL AGA DAN YAN GAN</v>
          </cell>
          <cell r="O97">
            <v>7412243</v>
          </cell>
          <cell r="P97" t="str">
            <v>17/09/2025 09:10:00 - 17/09/2025 10:10:00</v>
          </cell>
          <cell r="Q97">
            <v>975600</v>
          </cell>
        </row>
        <row r="98">
          <cell r="A98">
            <v>1285005327</v>
          </cell>
          <cell r="B98" t="str">
            <v>8908085F</v>
          </cell>
          <cell r="C98" t="str">
            <v>ANDI ANGGA SAPUTRA BATARA</v>
          </cell>
          <cell r="D98">
            <v>89087603</v>
          </cell>
          <cell r="E98">
            <v>4120177753</v>
          </cell>
          <cell r="F98">
            <v>54</v>
          </cell>
          <cell r="G98" t="str">
            <v>Perjalanan Dinas Non-Diklat</v>
          </cell>
          <cell r="H98" t="str">
            <v>Kota Kendari - Kota Makassar</v>
          </cell>
          <cell r="I98" t="str">
            <v>17/09/2025 - 19/09/2025</v>
          </cell>
          <cell r="J98">
            <v>3</v>
          </cell>
          <cell r="K98" t="str">
            <v>Hotel</v>
          </cell>
          <cell r="L98" t="str">
            <v>16-09-2025 17:53:33</v>
          </cell>
          <cell r="M98" t="str">
            <v xml:space="preserve">Vasaka Hotel Makassar Managed By Dafam - 3.5 Stars  - </v>
          </cell>
          <cell r="N98" t="str">
            <v>TL AGA DAN YAN GAN</v>
          </cell>
          <cell r="O98">
            <v>7412243</v>
          </cell>
          <cell r="P98" t="str">
            <v>17/09/2025 14:00:00 - 19/09/2025 12:00:00</v>
          </cell>
          <cell r="Q98">
            <v>1518000</v>
          </cell>
        </row>
        <row r="99">
          <cell r="A99">
            <v>1285345975</v>
          </cell>
          <cell r="B99" t="str">
            <v>8908085F</v>
          </cell>
          <cell r="C99" t="str">
            <v>ANDI ANGGA SAPUTRA BATARA</v>
          </cell>
          <cell r="D99">
            <v>89087603</v>
          </cell>
          <cell r="E99">
            <v>4120177753</v>
          </cell>
          <cell r="F99">
            <v>54</v>
          </cell>
          <cell r="G99" t="str">
            <v>Perjalanan Dinas Non-Diklat</v>
          </cell>
          <cell r="H99" t="str">
            <v>KotaKendari-KotaMakassar</v>
          </cell>
          <cell r="I99" t="str">
            <v>17/09/2025 - 19/09/2025</v>
          </cell>
          <cell r="J99">
            <v>3</v>
          </cell>
          <cell r="K99" t="str">
            <v>Flight One Way</v>
          </cell>
          <cell r="L99" t="str">
            <v>18-09-2025 08:09:20</v>
          </cell>
          <cell r="M99" t="str">
            <v>Batik Air Domestic UPG Hasanuddin ID-6751 - Batik Air  KDI Haluoleo ID-6751</v>
          </cell>
          <cell r="N99" t="str">
            <v>TL AGA DAN YAN GAN</v>
          </cell>
          <cell r="O99">
            <v>7412243</v>
          </cell>
          <cell r="P99" t="str">
            <v>19/09/2025 08:30:00 - 19/09/2025 09:35:00</v>
          </cell>
          <cell r="Q99">
            <v>741000</v>
          </cell>
        </row>
        <row r="100">
          <cell r="A100">
            <v>1285480948</v>
          </cell>
          <cell r="B100" t="str">
            <v>9212112FY</v>
          </cell>
          <cell r="C100" t="str">
            <v>RIFAL PRATOMO</v>
          </cell>
          <cell r="D100">
            <v>92127645</v>
          </cell>
          <cell r="E100">
            <v>4120177713</v>
          </cell>
          <cell r="F100">
            <v>54</v>
          </cell>
          <cell r="G100" t="str">
            <v>Perjalanan Dinas Diklat</v>
          </cell>
          <cell r="H100" t="str">
            <v>KotaKendari-JakartaPusat</v>
          </cell>
          <cell r="I100" t="str">
            <v>14/09/2025 - 19/09/2025</v>
          </cell>
          <cell r="J100">
            <v>6</v>
          </cell>
          <cell r="K100" t="str">
            <v>Flight One Way</v>
          </cell>
          <cell r="L100" t="str">
            <v>18-09-2025 17:28:07</v>
          </cell>
          <cell r="M100" t="str">
            <v>Citilink 1B CGK Soekarno Hatta International Airport QG-330 - Citilink  KDI Haluoleo QG-330</v>
          </cell>
          <cell r="N100" t="str">
            <v>TC KONS LISDES</v>
          </cell>
          <cell r="O100">
            <v>7412240</v>
          </cell>
          <cell r="P100" t="str">
            <v>19/09/2025 13:00:00 - 19/09/2025 16:55:00</v>
          </cell>
          <cell r="Q100">
            <v>1122800</v>
          </cell>
        </row>
        <row r="101">
          <cell r="A101">
            <v>1285300577</v>
          </cell>
          <cell r="B101" t="str">
            <v>7602002F</v>
          </cell>
          <cell r="C101" t="str">
            <v>AMBO TUWO</v>
          </cell>
          <cell r="D101">
            <v>76027600</v>
          </cell>
          <cell r="E101">
            <v>4120177743</v>
          </cell>
          <cell r="F101">
            <v>54</v>
          </cell>
          <cell r="G101" t="str">
            <v>Perjalanan Dinas Non-Diklat</v>
          </cell>
          <cell r="H101" t="str">
            <v>Kota Makassar - Kota Bandung</v>
          </cell>
          <cell r="I101" t="str">
            <v>16/09/2025 - 18/09/2025</v>
          </cell>
          <cell r="J101">
            <v>3</v>
          </cell>
          <cell r="K101" t="str">
            <v>Flight One Way</v>
          </cell>
          <cell r="L101" t="str">
            <v>17-09-2025 22:13:33</v>
          </cell>
          <cell r="M101" t="str">
            <v>Garuda Indonesia  CGK Soekarno Hatta International Airport GA-612 - Garuda Indonesia Domestic UPG Hasanuddin GA-612</v>
          </cell>
          <cell r="N101" t="str">
            <v>SM KEU, KOM DAN MUM</v>
          </cell>
          <cell r="O101">
            <v>7412150</v>
          </cell>
          <cell r="P101" t="str">
            <v>18/09/2025 14:25:00 - 18/09/2025 18:00:00</v>
          </cell>
          <cell r="Q101">
            <v>2309700</v>
          </cell>
        </row>
        <row r="102">
          <cell r="A102">
            <v>1284934687</v>
          </cell>
          <cell r="B102" t="str">
            <v>7602002F</v>
          </cell>
          <cell r="C102" t="str">
            <v>AMBO TUWO</v>
          </cell>
          <cell r="D102">
            <v>76027600</v>
          </cell>
          <cell r="E102">
            <v>4120177743</v>
          </cell>
          <cell r="F102">
            <v>54</v>
          </cell>
          <cell r="G102" t="str">
            <v>Perjalanan Dinas Non-Diklat</v>
          </cell>
          <cell r="H102" t="str">
            <v>Kota Makassar - Kota Bandung</v>
          </cell>
          <cell r="I102" t="str">
            <v>16/09/2025 - 18/09/2025</v>
          </cell>
          <cell r="J102">
            <v>3</v>
          </cell>
          <cell r="K102" t="str">
            <v>Hotel</v>
          </cell>
          <cell r="L102" t="str">
            <v>16-09-2025 12:48:09</v>
          </cell>
          <cell r="M102" t="str">
            <v xml:space="preserve">The Papandayan Hotel - 5.0 Stars  - </v>
          </cell>
          <cell r="N102" t="str">
            <v>SM KEU, KOM DAN MUM</v>
          </cell>
          <cell r="O102">
            <v>7412150</v>
          </cell>
          <cell r="P102" t="str">
            <v>16/09/2025 14:00:00 - 18/09/2025 12:00:00</v>
          </cell>
          <cell r="Q102">
            <v>3562428</v>
          </cell>
        </row>
        <row r="103">
          <cell r="A103">
            <v>1284827806</v>
          </cell>
          <cell r="B103" t="str">
            <v>7602002F</v>
          </cell>
          <cell r="C103" t="str">
            <v>AMBO TUWO</v>
          </cell>
          <cell r="D103">
            <v>76027600</v>
          </cell>
          <cell r="E103">
            <v>4120177743</v>
          </cell>
          <cell r="F103">
            <v>54</v>
          </cell>
          <cell r="G103" t="str">
            <v>Perjalanan Dinas Non-Diklat</v>
          </cell>
          <cell r="H103" t="str">
            <v>Kota Makassar - Kota Bandung</v>
          </cell>
          <cell r="I103" t="str">
            <v>16/09/2025 - 18/09/2025</v>
          </cell>
          <cell r="J103">
            <v>3</v>
          </cell>
          <cell r="K103" t="str">
            <v>Flight One Way</v>
          </cell>
          <cell r="L103" t="str">
            <v>15-09-2025 22:01:02</v>
          </cell>
          <cell r="M103" t="str">
            <v>Citilink Domestic UPG Hasanuddin QG-213 - Citilink 1B CGK Soekarno Hatta International Airport QG-213</v>
          </cell>
          <cell r="N103" t="str">
            <v>SM KEU, KOM DAN MUM</v>
          </cell>
          <cell r="O103">
            <v>7412150</v>
          </cell>
          <cell r="P103" t="str">
            <v>16/09/2025 13:35:00 - 16/09/2025 15:00:00</v>
          </cell>
          <cell r="Q103">
            <v>1831600</v>
          </cell>
        </row>
        <row r="104">
          <cell r="A104">
            <v>1285251713</v>
          </cell>
          <cell r="B104" t="str">
            <v>92191254ZY</v>
          </cell>
          <cell r="C104" t="str">
            <v>MUCHAMAD PAMUNGKAS</v>
          </cell>
          <cell r="D104">
            <v>92197600</v>
          </cell>
          <cell r="E104">
            <v>4120177741</v>
          </cell>
          <cell r="F104">
            <v>54</v>
          </cell>
          <cell r="G104" t="str">
            <v>Perjalanan Dinas Non-Diklat</v>
          </cell>
          <cell r="H104" t="str">
            <v>Kota Makassar - Kota Kendari</v>
          </cell>
          <cell r="I104" t="str">
            <v>16/09/2025 - 19/09/2025</v>
          </cell>
          <cell r="J104">
            <v>4</v>
          </cell>
          <cell r="K104" t="str">
            <v>Flight One Way</v>
          </cell>
          <cell r="L104" t="str">
            <v>17-09-2025 18:40:00</v>
          </cell>
          <cell r="M104" t="str">
            <v>Garuda Indonesia  KDI Haluoleo GA-605 - Garuda Indonesia Domestic UPG Hasanuddin GA-605</v>
          </cell>
          <cell r="N104" t="str">
            <v>TL PROTEK DAN MTR</v>
          </cell>
          <cell r="O104">
            <v>7409342</v>
          </cell>
          <cell r="P104" t="str">
            <v>19/09/2025 09:10:00 - 19/09/2025 10:10:00</v>
          </cell>
          <cell r="Q104">
            <v>975600</v>
          </cell>
        </row>
        <row r="105">
          <cell r="A105">
            <v>1284829367</v>
          </cell>
          <cell r="B105" t="str">
            <v>92191254ZY</v>
          </cell>
          <cell r="C105" t="str">
            <v>MUCHAMAD PAMUNGKAS</v>
          </cell>
          <cell r="D105">
            <v>92197600</v>
          </cell>
          <cell r="E105">
            <v>4120177741</v>
          </cell>
          <cell r="F105">
            <v>54</v>
          </cell>
          <cell r="G105" t="str">
            <v>Perjalanan Dinas Non-Diklat</v>
          </cell>
          <cell r="H105" t="str">
            <v>Kota Makassar - Kota Kendari</v>
          </cell>
          <cell r="I105" t="str">
            <v>16/09/2025 - 19/09/2025</v>
          </cell>
          <cell r="J105">
            <v>4</v>
          </cell>
          <cell r="K105" t="str">
            <v>Hotel</v>
          </cell>
          <cell r="L105" t="str">
            <v>15-09-2025 22:09:18</v>
          </cell>
          <cell r="M105" t="str">
            <v xml:space="preserve">Swiss-Belhotel Kendari - 4.0 Stars  - </v>
          </cell>
          <cell r="N105" t="str">
            <v>TL PROTEK DAN MTR</v>
          </cell>
          <cell r="O105">
            <v>7409342</v>
          </cell>
          <cell r="P105" t="str">
            <v>18/09/2025 14:00:00 - 19/09/2025 12:00:00</v>
          </cell>
          <cell r="Q105">
            <v>800000</v>
          </cell>
        </row>
        <row r="106">
          <cell r="A106">
            <v>1284828810</v>
          </cell>
          <cell r="B106" t="str">
            <v>92191254ZY</v>
          </cell>
          <cell r="C106" t="str">
            <v>MUCHAMAD PAMUNGKAS</v>
          </cell>
          <cell r="D106">
            <v>92197600</v>
          </cell>
          <cell r="E106">
            <v>4120177741</v>
          </cell>
          <cell r="F106">
            <v>54</v>
          </cell>
          <cell r="G106" t="str">
            <v>Perjalanan Dinas Non-Diklat</v>
          </cell>
          <cell r="H106" t="str">
            <v>Kota Makassar - Kota Kendari</v>
          </cell>
          <cell r="I106" t="str">
            <v>16/09/2025 - 19/09/2025</v>
          </cell>
          <cell r="J106">
            <v>4</v>
          </cell>
          <cell r="K106" t="str">
            <v>Hotel</v>
          </cell>
          <cell r="L106" t="str">
            <v>15-09-2025 22:06:20</v>
          </cell>
          <cell r="M106" t="str">
            <v xml:space="preserve">Swiss-Belhotel Kendari - 4.0 Stars  - </v>
          </cell>
          <cell r="N106" t="str">
            <v>TL PROTEK DAN MTR</v>
          </cell>
          <cell r="O106">
            <v>7409342</v>
          </cell>
          <cell r="P106" t="str">
            <v>17/09/2025 14:00:00 - 18/09/2025 12:00:00</v>
          </cell>
          <cell r="Q106">
            <v>800000</v>
          </cell>
        </row>
        <row r="107">
          <cell r="A107">
            <v>1284828532</v>
          </cell>
          <cell r="B107" t="str">
            <v>92191254ZY</v>
          </cell>
          <cell r="C107" t="str">
            <v>MUCHAMAD PAMUNGKAS</v>
          </cell>
          <cell r="D107">
            <v>92197600</v>
          </cell>
          <cell r="E107">
            <v>4120177741</v>
          </cell>
          <cell r="F107">
            <v>54</v>
          </cell>
          <cell r="G107" t="str">
            <v>Perjalanan Dinas Non-Diklat</v>
          </cell>
          <cell r="H107" t="str">
            <v>Kota Makassar - Kota Kendari</v>
          </cell>
          <cell r="I107" t="str">
            <v>16/09/2025 - 19/09/2025</v>
          </cell>
          <cell r="J107">
            <v>4</v>
          </cell>
          <cell r="K107" t="str">
            <v>Hotel</v>
          </cell>
          <cell r="L107" t="str">
            <v>15-09-2025 22:04:48</v>
          </cell>
          <cell r="M107" t="str">
            <v xml:space="preserve">Swiss-Belhotel Kendari - 4.0 Stars  - </v>
          </cell>
          <cell r="N107" t="str">
            <v>TL PROTEK DAN MTR</v>
          </cell>
          <cell r="O107">
            <v>7409342</v>
          </cell>
          <cell r="P107" t="str">
            <v>16/09/2025 14:00:00 - 17/09/2025 12:00:00</v>
          </cell>
          <cell r="Q107">
            <v>800000</v>
          </cell>
        </row>
        <row r="108">
          <cell r="A108">
            <v>1284817734</v>
          </cell>
          <cell r="B108" t="str">
            <v>92191254ZY</v>
          </cell>
          <cell r="C108" t="str">
            <v>MUCHAMAD PAMUNGKAS</v>
          </cell>
          <cell r="D108">
            <v>92197600</v>
          </cell>
          <cell r="E108">
            <v>4120177741</v>
          </cell>
          <cell r="F108">
            <v>54</v>
          </cell>
          <cell r="G108" t="str">
            <v>Perjalanan Dinas Non-Diklat</v>
          </cell>
          <cell r="H108" t="str">
            <v>Kota Makassar - Kota Kendari</v>
          </cell>
          <cell r="I108" t="str">
            <v>16/09/2025 - 19/09/2025</v>
          </cell>
          <cell r="J108">
            <v>4</v>
          </cell>
          <cell r="K108" t="str">
            <v>Flight One Way</v>
          </cell>
          <cell r="L108" t="str">
            <v>15-09-2025 21:11:21</v>
          </cell>
          <cell r="M108" t="str">
            <v>Garuda Indonesia Domestic UPG Hasanuddin GA-604 - Garuda Indonesia  KDI Haluoleo GA-604</v>
          </cell>
          <cell r="N108" t="str">
            <v>TL PROTEK DAN MTR</v>
          </cell>
          <cell r="O108">
            <v>7409342</v>
          </cell>
          <cell r="P108" t="str">
            <v>16/09/2025 07:25:00 - 16/09/2025 08:25:00</v>
          </cell>
          <cell r="Q108">
            <v>1024700</v>
          </cell>
        </row>
        <row r="109">
          <cell r="A109">
            <v>1284882684</v>
          </cell>
          <cell r="B109" t="str">
            <v>8810040F</v>
          </cell>
          <cell r="C109" t="str">
            <v xml:space="preserve">IBRAHIM </v>
          </cell>
          <cell r="D109">
            <v>88107607</v>
          </cell>
          <cell r="E109">
            <v>4120177736</v>
          </cell>
          <cell r="F109">
            <v>54</v>
          </cell>
          <cell r="G109" t="str">
            <v>Perjalanan Dinas Non-Diklat</v>
          </cell>
          <cell r="H109" t="str">
            <v>Kota Makassar - Kota Kendari</v>
          </cell>
          <cell r="I109" t="str">
            <v>16/09/2025 - 19/09/2025</v>
          </cell>
          <cell r="J109">
            <v>4</v>
          </cell>
          <cell r="K109" t="str">
            <v>Flight One Way</v>
          </cell>
          <cell r="L109" t="str">
            <v>16-09-2025 09:06:46</v>
          </cell>
          <cell r="M109" t="str">
            <v>Garuda Indonesia  KDI Haluoleo GA-605 - Garuda Indonesia Domestic UPG Hasanuddin GA-605</v>
          </cell>
          <cell r="N109" t="str">
            <v>TL HAR ELEKTRO (MKS BAG UTARA)</v>
          </cell>
          <cell r="O109">
            <v>7409342</v>
          </cell>
          <cell r="P109" t="str">
            <v>19/09/2025 09:10:00 - 19/09/2025 10:10:00</v>
          </cell>
          <cell r="Q109">
            <v>975600</v>
          </cell>
        </row>
        <row r="110">
          <cell r="A110">
            <v>1284882100</v>
          </cell>
          <cell r="B110" t="str">
            <v>8810040F</v>
          </cell>
          <cell r="C110" t="str">
            <v xml:space="preserve">IBRAHIM </v>
          </cell>
          <cell r="D110">
            <v>88107607</v>
          </cell>
          <cell r="E110">
            <v>4120177736</v>
          </cell>
          <cell r="F110">
            <v>54</v>
          </cell>
          <cell r="G110" t="str">
            <v>Perjalanan Dinas Non-Diklat</v>
          </cell>
          <cell r="H110" t="str">
            <v>Kota Makassar - Kota Kendari</v>
          </cell>
          <cell r="I110" t="str">
            <v>16/09/2025 - 19/09/2025</v>
          </cell>
          <cell r="J110">
            <v>4</v>
          </cell>
          <cell r="K110" t="str">
            <v>Hotel</v>
          </cell>
          <cell r="L110" t="str">
            <v>16-09-2025 09:03:38</v>
          </cell>
          <cell r="M110" t="str">
            <v xml:space="preserve">Swiss-Belhotel Kendari - 4.0 Stars  - </v>
          </cell>
          <cell r="N110" t="str">
            <v>TL HAR ELEKTRO (MKS BAG UTARA)</v>
          </cell>
          <cell r="O110">
            <v>7409342</v>
          </cell>
          <cell r="P110" t="str">
            <v>16/09/2025 14:00:00 - 19/09/2025 12:00:00</v>
          </cell>
          <cell r="Q110">
            <v>2940000</v>
          </cell>
        </row>
        <row r="111">
          <cell r="A111">
            <v>1284819356</v>
          </cell>
          <cell r="B111" t="str">
            <v>8810040F</v>
          </cell>
          <cell r="C111" t="str">
            <v xml:space="preserve">IBRAHIM </v>
          </cell>
          <cell r="D111">
            <v>88107607</v>
          </cell>
          <cell r="E111">
            <v>4120177736</v>
          </cell>
          <cell r="F111">
            <v>54</v>
          </cell>
          <cell r="G111" t="str">
            <v>Perjalanan Dinas Non-Diklat</v>
          </cell>
          <cell r="H111" t="str">
            <v>Kota Makassar - Kota Kendari</v>
          </cell>
          <cell r="I111" t="str">
            <v>16/09/2025 - 19/09/2025</v>
          </cell>
          <cell r="J111">
            <v>4</v>
          </cell>
          <cell r="K111" t="str">
            <v>Flight One Way</v>
          </cell>
          <cell r="L111" t="str">
            <v>15-09-2025 21:18:40</v>
          </cell>
          <cell r="M111" t="str">
            <v>Garuda Indonesia Domestic UPG Hasanuddin GA-604 - Garuda Indonesia  KDI Haluoleo GA-604</v>
          </cell>
          <cell r="N111" t="str">
            <v>TL HAR ELEKTRO (MKS BAG UTARA)</v>
          </cell>
          <cell r="O111">
            <v>7409342</v>
          </cell>
          <cell r="P111" t="str">
            <v>16/09/2025 07:25:00 - 16/09/2025 08:25:00</v>
          </cell>
          <cell r="Q111">
            <v>1024700</v>
          </cell>
        </row>
        <row r="112">
          <cell r="A112">
            <v>1285009610</v>
          </cell>
          <cell r="B112" t="str">
            <v>7193007G</v>
          </cell>
          <cell r="C112" t="str">
            <v>MUHAMMAD ICHLAS FATTAH</v>
          </cell>
          <cell r="D112">
            <v>71937801</v>
          </cell>
          <cell r="E112">
            <v>4120177729</v>
          </cell>
          <cell r="F112">
            <v>54</v>
          </cell>
          <cell r="G112" t="str">
            <v>Perjalanan Dinas Non-Diklat</v>
          </cell>
          <cell r="H112" t="str">
            <v>Kota Makassar - Kab. Kolaka - Kota Kendari</v>
          </cell>
          <cell r="I112" t="str">
            <v>16/09/2025 - 19/09/2025</v>
          </cell>
          <cell r="J112">
            <v>4</v>
          </cell>
          <cell r="K112" t="str">
            <v>Hotel</v>
          </cell>
          <cell r="L112" t="str">
            <v>16-09-2025 18:12:52</v>
          </cell>
          <cell r="M112" t="str">
            <v xml:space="preserve">Parade inn kendari - 0.0 Stars  - </v>
          </cell>
          <cell r="N112" t="str">
            <v>SPC KIN AGA DAN MANJ GAN</v>
          </cell>
          <cell r="O112">
            <v>7411140</v>
          </cell>
          <cell r="P112" t="str">
            <v>16/09/2025 14:00:00 - 19/09/2025 12:00:00</v>
          </cell>
          <cell r="Q112">
            <v>1923078</v>
          </cell>
        </row>
        <row r="113">
          <cell r="A113">
            <v>1284998244</v>
          </cell>
          <cell r="B113" t="str">
            <v>7193007G</v>
          </cell>
          <cell r="C113" t="str">
            <v>MUHAMMAD ICHLAS FATTAH</v>
          </cell>
          <cell r="D113">
            <v>71937801</v>
          </cell>
          <cell r="E113">
            <v>4120177729</v>
          </cell>
          <cell r="F113">
            <v>54</v>
          </cell>
          <cell r="G113" t="str">
            <v>Perjalanan Dinas Non-Diklat</v>
          </cell>
          <cell r="H113" t="str">
            <v>Kota Makassar - Kab. Kolaka - Kota Kendari</v>
          </cell>
          <cell r="I113" t="str">
            <v>16/09/2025 - 19/09/2025</v>
          </cell>
          <cell r="J113">
            <v>4</v>
          </cell>
          <cell r="K113" t="str">
            <v>Flight One Way</v>
          </cell>
          <cell r="L113" t="str">
            <v>16-09-2025 17:20:55</v>
          </cell>
          <cell r="M113" t="str">
            <v>Garuda Indonesia  KDI Haluoleo GA-605 - Garuda Indonesia Domestic UPG Hasanuddin GA-605</v>
          </cell>
          <cell r="N113" t="str">
            <v>SPC KIN AGA DAN MANJ GAN</v>
          </cell>
          <cell r="O113">
            <v>7411140</v>
          </cell>
          <cell r="P113" t="str">
            <v>19/09/2025 09:10:00 - 19/09/2025 10:10:00</v>
          </cell>
          <cell r="Q113">
            <v>975600</v>
          </cell>
        </row>
        <row r="114">
          <cell r="A114">
            <v>1284778155</v>
          </cell>
          <cell r="B114" t="str">
            <v>7193007G</v>
          </cell>
          <cell r="C114" t="str">
            <v>MUHAMMAD ICHLAS FATTAH</v>
          </cell>
          <cell r="D114">
            <v>71937801</v>
          </cell>
          <cell r="E114">
            <v>4120177729</v>
          </cell>
          <cell r="F114">
            <v>54</v>
          </cell>
          <cell r="G114" t="str">
            <v>Perjalanan Dinas Non-Diklat</v>
          </cell>
          <cell r="H114" t="str">
            <v>Kota Makassar - Kab. Kolaka - Kota Kendari</v>
          </cell>
          <cell r="I114" t="str">
            <v>16/09/2025 - 19/09/2025</v>
          </cell>
          <cell r="J114">
            <v>4</v>
          </cell>
          <cell r="K114" t="str">
            <v>Flight One Way</v>
          </cell>
          <cell r="L114" t="str">
            <v>15-09-2025 18:07:42</v>
          </cell>
          <cell r="M114" t="str">
            <v>Wings Air Domestic UPG Hasanuddin IW-1206 - Wings Air  KXB Sangia Nibandera IW-1206</v>
          </cell>
          <cell r="N114" t="str">
            <v>SPC KIN AGA DAN MANJ GAN</v>
          </cell>
          <cell r="O114">
            <v>7411140</v>
          </cell>
          <cell r="P114" t="str">
            <v>16/09/2025 07:00:00 - 16/09/2025 08:00:00</v>
          </cell>
          <cell r="Q114">
            <v>1340200</v>
          </cell>
        </row>
        <row r="115">
          <cell r="A115">
            <v>1285398477</v>
          </cell>
          <cell r="B115" t="str">
            <v>7194040F</v>
          </cell>
          <cell r="C115" t="str">
            <v>M.SYAMSUL KAMAR</v>
          </cell>
          <cell r="D115">
            <v>71947602</v>
          </cell>
          <cell r="E115">
            <v>4120177728</v>
          </cell>
          <cell r="F115">
            <v>54</v>
          </cell>
          <cell r="G115" t="str">
            <v>Perjalanan Dinas Non-Diklat</v>
          </cell>
          <cell r="H115" t="str">
            <v>Kota Makassar - Kab. Kolaka - Kota Kendari</v>
          </cell>
          <cell r="I115" t="str">
            <v>16/09/2025 - 19/09/2025</v>
          </cell>
          <cell r="J115">
            <v>4</v>
          </cell>
          <cell r="K115" t="str">
            <v>Flight One Way</v>
          </cell>
          <cell r="L115" t="str">
            <v>18-09-2025 11:54:16</v>
          </cell>
          <cell r="M115" t="str">
            <v>Lion Air  KDI Haluoleo JT-987 - Lion Air Domestic UPG Hasanuddin JT-987</v>
          </cell>
          <cell r="N115" t="str">
            <v>SOF STR SAR</v>
          </cell>
          <cell r="O115">
            <v>7411143</v>
          </cell>
          <cell r="P115" t="str">
            <v>19/09/2025 08:45:00 - 19/09/2025 09:40:00</v>
          </cell>
          <cell r="Q115">
            <v>845100</v>
          </cell>
        </row>
        <row r="116">
          <cell r="A116">
            <v>1284756891</v>
          </cell>
          <cell r="B116" t="str">
            <v>7194040F</v>
          </cell>
          <cell r="C116" t="str">
            <v>M.SYAMSUL KAMAR</v>
          </cell>
          <cell r="D116">
            <v>71947602</v>
          </cell>
          <cell r="E116">
            <v>4120177728</v>
          </cell>
          <cell r="F116">
            <v>54</v>
          </cell>
          <cell r="G116" t="str">
            <v>Perjalanan Dinas Non-Diklat</v>
          </cell>
          <cell r="H116" t="str">
            <v>Kota Makassar - Kab. Kolaka - Kota Kendari</v>
          </cell>
          <cell r="I116" t="str">
            <v>16/09/2025 - 19/09/2025</v>
          </cell>
          <cell r="J116">
            <v>4</v>
          </cell>
          <cell r="K116" t="str">
            <v>Flight One Way</v>
          </cell>
          <cell r="L116" t="str">
            <v>15-09-2025 16:29:06</v>
          </cell>
          <cell r="M116" t="str">
            <v>Wings Air Domestic UPG Hasanuddin IW-1206 - Wings Air  KXB Sangia Nibandera IW-1206</v>
          </cell>
          <cell r="N116" t="str">
            <v>SOF STR SAR</v>
          </cell>
          <cell r="O116">
            <v>7411143</v>
          </cell>
          <cell r="P116" t="str">
            <v>16/09/2025 07:00:00 - 16/09/2025 08:00:00</v>
          </cell>
          <cell r="Q116">
            <v>1415700</v>
          </cell>
        </row>
        <row r="117">
          <cell r="A117">
            <v>1285438600</v>
          </cell>
          <cell r="B117" t="str">
            <v>7194040F</v>
          </cell>
          <cell r="C117" t="str">
            <v>M.SYAMSUL KAMAR</v>
          </cell>
          <cell r="D117">
            <v>71947602</v>
          </cell>
          <cell r="E117">
            <v>4120177728</v>
          </cell>
          <cell r="F117">
            <v>54</v>
          </cell>
          <cell r="G117" t="str">
            <v>Perjalanan Dinas Non-Diklat</v>
          </cell>
          <cell r="H117" t="str">
            <v>Kota Makassar - Kab. Kolaka - Kota Kendari</v>
          </cell>
          <cell r="I117" t="str">
            <v>16/09/2025 - 19/09/2025</v>
          </cell>
          <cell r="J117">
            <v>4</v>
          </cell>
          <cell r="K117" t="str">
            <v>Flight One Way</v>
          </cell>
          <cell r="L117" t="str">
            <v>18-09-2025 14:34:39</v>
          </cell>
          <cell r="M117" t="str">
            <v>Lion Air  KDI Haluoleo JT-997 - Lion Air Domestic UPG Hasanuddin JT-997</v>
          </cell>
          <cell r="N117" t="str">
            <v>SOF STR SAR</v>
          </cell>
          <cell r="O117">
            <v>7411143</v>
          </cell>
          <cell r="P117" t="str">
            <v>19/09/2025 15:35:00 - 19/09/2025 16:30:00</v>
          </cell>
          <cell r="Q117">
            <v>845100</v>
          </cell>
        </row>
        <row r="118">
          <cell r="A118">
            <v>1285201081</v>
          </cell>
          <cell r="B118" t="str">
            <v>92172062ZY</v>
          </cell>
          <cell r="C118" t="str">
            <v>DESHINTA AMALIA SHOLIHAH</v>
          </cell>
          <cell r="D118">
            <v>92177616</v>
          </cell>
          <cell r="E118">
            <v>4120177726</v>
          </cell>
          <cell r="F118">
            <v>54</v>
          </cell>
          <cell r="G118" t="str">
            <v>Perjalanan Dinas Diklat</v>
          </cell>
          <cell r="H118" t="str">
            <v>Kota Makassar - Kota Surabaya</v>
          </cell>
          <cell r="I118" t="str">
            <v>14/09/2025 - 20/09/2025</v>
          </cell>
          <cell r="J118">
            <v>7</v>
          </cell>
          <cell r="K118" t="str">
            <v>Flight One Way</v>
          </cell>
          <cell r="L118" t="str">
            <v>17-09-2025 15:02:26</v>
          </cell>
          <cell r="M118" t="str">
            <v>Citilink 1A SUB Juanda QG-350 - Citilink Domestic UPG Hasanuddin QG-350</v>
          </cell>
          <cell r="N118" t="str">
            <v>ASMAN AKT MUM DAN BIAYA</v>
          </cell>
          <cell r="O118">
            <v>7412152</v>
          </cell>
          <cell r="P118" t="str">
            <v>20/09/2025 10:20:00 - 20/09/2025 12:55:00</v>
          </cell>
          <cell r="Q118">
            <v>1213800</v>
          </cell>
        </row>
        <row r="119">
          <cell r="A119">
            <v>1284739079</v>
          </cell>
          <cell r="B119" t="str">
            <v>8914091ZY</v>
          </cell>
          <cell r="C119" t="str">
            <v>AKBAR KHASHEMI HAMZAH</v>
          </cell>
          <cell r="D119">
            <v>89145602</v>
          </cell>
          <cell r="E119">
            <v>4120177733</v>
          </cell>
          <cell r="F119">
            <v>54</v>
          </cell>
          <cell r="G119" t="str">
            <v>Perjalanan Dinas Non-Diklat</v>
          </cell>
          <cell r="H119" t="str">
            <v>Kota Makassar - Kota Bandung</v>
          </cell>
          <cell r="I119" t="str">
            <v>16/09/2025 - 18/09/2025</v>
          </cell>
          <cell r="J119">
            <v>3</v>
          </cell>
          <cell r="K119" t="str">
            <v>Hotel</v>
          </cell>
          <cell r="L119" t="str">
            <v>15-09-2025 15:12:20</v>
          </cell>
          <cell r="M119" t="str">
            <v xml:space="preserve">Harris Hotel &amp; Conventions Festival Citilink Bandung - 4.0 Stars  - </v>
          </cell>
          <cell r="N119" t="str">
            <v>SOF LOLA ESG DAN SAFEGUARD</v>
          </cell>
          <cell r="O119">
            <v>7412111</v>
          </cell>
          <cell r="P119" t="str">
            <v>16/09/2025 14:00:00 - 18/09/2025 12:00:00</v>
          </cell>
          <cell r="Q119">
            <v>2000000</v>
          </cell>
        </row>
        <row r="120">
          <cell r="A120">
            <v>1284718336</v>
          </cell>
          <cell r="B120" t="str">
            <v>8914091ZY</v>
          </cell>
          <cell r="C120" t="str">
            <v>AKBAR KHASHEMI HAMZAH</v>
          </cell>
          <cell r="D120">
            <v>89145602</v>
          </cell>
          <cell r="E120">
            <v>4120177733</v>
          </cell>
          <cell r="F120">
            <v>54</v>
          </cell>
          <cell r="G120" t="str">
            <v>Perjalanan Dinas Non-Diklat</v>
          </cell>
          <cell r="H120" t="str">
            <v>Kota Makassar - Kota Bandung</v>
          </cell>
          <cell r="I120" t="str">
            <v>16/09/2025 - 18/09/2025</v>
          </cell>
          <cell r="J120">
            <v>3</v>
          </cell>
          <cell r="K120" t="str">
            <v>Flight One Way</v>
          </cell>
          <cell r="L120" t="str">
            <v>15-09-2025 13:47:17</v>
          </cell>
          <cell r="M120" t="str">
            <v>Garuda Indonesia Domestic UPG Hasanuddin GA-605 - Garuda Indonesia  CGK Soekarno Hatta International Airport GA-605</v>
          </cell>
          <cell r="N120" t="str">
            <v>SOF LOLA ESG DAN SAFEGUARD</v>
          </cell>
          <cell r="O120">
            <v>7412111</v>
          </cell>
          <cell r="P120" t="str">
            <v>16/09/2025 10:55:00 - 16/09/2025 12:25:00</v>
          </cell>
          <cell r="Q120">
            <v>2345200</v>
          </cell>
        </row>
        <row r="121">
          <cell r="A121">
            <v>1285086268</v>
          </cell>
          <cell r="B121" t="str">
            <v>8914091ZY</v>
          </cell>
          <cell r="C121" t="str">
            <v>AKBAR KHASHEMI HAMZAH</v>
          </cell>
          <cell r="D121">
            <v>89145602</v>
          </cell>
          <cell r="E121">
            <v>4120177733</v>
          </cell>
          <cell r="F121">
            <v>54</v>
          </cell>
          <cell r="G121" t="str">
            <v>Perjalanan Dinas Non-Diklat</v>
          </cell>
          <cell r="H121" t="str">
            <v>Kota Makassar - Kota Bandung</v>
          </cell>
          <cell r="I121" t="str">
            <v>16/09/2025 - 18/09/2025</v>
          </cell>
          <cell r="J121">
            <v>3</v>
          </cell>
          <cell r="K121" t="str">
            <v>Flight One Way</v>
          </cell>
          <cell r="L121" t="str">
            <v>17-09-2025 03:54:37</v>
          </cell>
          <cell r="M121" t="str">
            <v>Garuda Indonesia  CGK Soekarno Hatta International Airport GA-616 - Garuda Indonesia Domestic UPG Hasanuddin GA-616</v>
          </cell>
          <cell r="N121" t="str">
            <v>SOF LOLA ESG DAN SAFEGUARD</v>
          </cell>
          <cell r="O121">
            <v>7412111</v>
          </cell>
          <cell r="P121" t="str">
            <v>18/09/2025 16:45:00 - 18/09/2025 20:20:00</v>
          </cell>
          <cell r="Q121">
            <v>1837700</v>
          </cell>
        </row>
        <row r="122">
          <cell r="A122">
            <v>1285305871</v>
          </cell>
          <cell r="B122" t="str">
            <v>9618035FBY</v>
          </cell>
          <cell r="C122" t="str">
            <v>SOFYAN ASBAR</v>
          </cell>
          <cell r="D122">
            <v>96187638</v>
          </cell>
          <cell r="E122">
            <v>4120177680</v>
          </cell>
          <cell r="F122">
            <v>54</v>
          </cell>
          <cell r="G122" t="str">
            <v>Perjalanan Dinas Diklat</v>
          </cell>
          <cell r="H122" t="str">
            <v>Kab. Mamuju - Kota Cilegon</v>
          </cell>
          <cell r="I122" t="str">
            <v>14/09/2025 - 19/09/2025</v>
          </cell>
          <cell r="J122">
            <v>6</v>
          </cell>
          <cell r="K122" t="str">
            <v>Flight One Way</v>
          </cell>
          <cell r="L122" t="str">
            <v>17-09-2025 22:42:49</v>
          </cell>
          <cell r="M122" t="str">
            <v>Garuda Indonesia  CGK Soekarno Hatta International Airport GA-604 - Garuda Indonesia Domestic UPG Hasanuddin GA-604</v>
          </cell>
          <cell r="N122" t="str">
            <v>JTC KONS LISDES</v>
          </cell>
          <cell r="O122">
            <v>7412290</v>
          </cell>
          <cell r="P122" t="str">
            <v>19/09/2025 02:50:00 - 19/09/2025 06:25:00</v>
          </cell>
          <cell r="Q122">
            <v>2000200</v>
          </cell>
        </row>
        <row r="123">
          <cell r="A123">
            <v>1284464335</v>
          </cell>
          <cell r="B123" t="str">
            <v>9616015FY</v>
          </cell>
          <cell r="C123" t="str">
            <v>MUHAMMAD ANDHI</v>
          </cell>
          <cell r="D123">
            <v>96167880</v>
          </cell>
          <cell r="E123">
            <v>4120177725</v>
          </cell>
          <cell r="F123">
            <v>54</v>
          </cell>
          <cell r="G123" t="str">
            <v>Perjalanan Dinas Non-Diklat</v>
          </cell>
          <cell r="H123" t="str">
            <v>Kab. Mamasa - Kab. Mamuju</v>
          </cell>
          <cell r="I123" t="str">
            <v>14/09/2025 - 15/09/2025</v>
          </cell>
          <cell r="J123">
            <v>2</v>
          </cell>
          <cell r="K123" t="str">
            <v>Hotel</v>
          </cell>
          <cell r="L123" t="str">
            <v>14-09-2025 08:52:09</v>
          </cell>
          <cell r="M123" t="str">
            <v xml:space="preserve">Maleo Town Square - 3.0 Stars  - </v>
          </cell>
          <cell r="N123" t="str">
            <v>TL YAN GAN</v>
          </cell>
          <cell r="O123">
            <v>7409658</v>
          </cell>
          <cell r="P123" t="str">
            <v>14/09/2025 14:00:00 - 15/09/2025 12:00:00</v>
          </cell>
          <cell r="Q123">
            <v>570000</v>
          </cell>
        </row>
        <row r="124">
          <cell r="A124">
            <v>1284472867</v>
          </cell>
          <cell r="B124" t="str">
            <v>95191270ZY</v>
          </cell>
          <cell r="C124" t="str">
            <v>SEPTYANTO NUGROHO</v>
          </cell>
          <cell r="D124">
            <v>95197610</v>
          </cell>
          <cell r="E124">
            <v>4120177723</v>
          </cell>
          <cell r="F124">
            <v>54</v>
          </cell>
          <cell r="G124" t="str">
            <v>Perjalanan Dinas Non-Diklat</v>
          </cell>
          <cell r="H124" t="str">
            <v>Kota Makassar - Jakarta Selatan</v>
          </cell>
          <cell r="I124" t="str">
            <v>14/09/2025 - 17/09/2025</v>
          </cell>
          <cell r="J124">
            <v>4</v>
          </cell>
          <cell r="K124" t="str">
            <v>Flight One Way</v>
          </cell>
          <cell r="L124" t="str">
            <v>14-09-2025 09:44:59</v>
          </cell>
          <cell r="M124" t="str">
            <v>Garuda Indonesia Domestic UPG Hasanuddin GA-6154 - Garuda Indonesia  CGK Soekarno Hatta International Airport GA-6154</v>
          </cell>
          <cell r="N124" t="str">
            <v>OF IPP DAN EXCESS POWER</v>
          </cell>
          <cell r="O124">
            <v>7412110</v>
          </cell>
          <cell r="P124" t="str">
            <v>14/09/2025 19:00:00 - 14/09/2025 20:25:00</v>
          </cell>
          <cell r="Q124">
            <v>1787600</v>
          </cell>
        </row>
        <row r="125">
          <cell r="A125">
            <v>1284672926</v>
          </cell>
          <cell r="B125" t="str">
            <v>95191270ZY</v>
          </cell>
          <cell r="C125" t="str">
            <v>SEPTYANTO NUGROHO</v>
          </cell>
          <cell r="D125">
            <v>95197610</v>
          </cell>
          <cell r="E125">
            <v>4120177723</v>
          </cell>
          <cell r="F125">
            <v>54</v>
          </cell>
          <cell r="G125" t="str">
            <v>Perjalanan Dinas Non-Diklat</v>
          </cell>
          <cell r="H125" t="str">
            <v>Kota Makassar - Jakarta Selatan</v>
          </cell>
          <cell r="I125" t="str">
            <v>14/09/2025 - 17/09/2025</v>
          </cell>
          <cell r="J125">
            <v>4</v>
          </cell>
          <cell r="K125" t="str">
            <v>Flight One Way</v>
          </cell>
          <cell r="L125" t="str">
            <v>15-09-2025 10:36:58</v>
          </cell>
          <cell r="M125" t="str">
            <v>Garuda Indonesia  CGK Soekarno Hatta International Airport GA-612 - Garuda Indonesia Domestic UPG Hasanuddin GA-612</v>
          </cell>
          <cell r="N125" t="str">
            <v>OF IPP DAN EXCESS POWER</v>
          </cell>
          <cell r="O125">
            <v>7412110</v>
          </cell>
          <cell r="P125" t="str">
            <v>17/09/2025 14:25:00 - 17/09/2025 18:00:00</v>
          </cell>
          <cell r="Q125">
            <v>2395400</v>
          </cell>
        </row>
        <row r="126">
          <cell r="A126">
            <v>1284476218</v>
          </cell>
          <cell r="B126" t="str">
            <v>95191270ZY</v>
          </cell>
          <cell r="C126" t="str">
            <v>SEPTYANTO NUGROHO</v>
          </cell>
          <cell r="D126">
            <v>95197610</v>
          </cell>
          <cell r="E126">
            <v>4120177723</v>
          </cell>
          <cell r="F126">
            <v>54</v>
          </cell>
          <cell r="G126" t="str">
            <v>Perjalanan Dinas Non-Diklat</v>
          </cell>
          <cell r="H126" t="str">
            <v>Kota Makassar - Jakarta Selatan</v>
          </cell>
          <cell r="I126" t="str">
            <v>14/09/2025 - 17/09/2025</v>
          </cell>
          <cell r="J126">
            <v>4</v>
          </cell>
          <cell r="K126" t="str">
            <v>Hotel</v>
          </cell>
          <cell r="L126" t="str">
            <v>14-09-2025 10:03:20</v>
          </cell>
          <cell r="M126" t="str">
            <v xml:space="preserve">favehotel Melawai - 2.0 Stars  - </v>
          </cell>
          <cell r="N126" t="str">
            <v>OF IPP DAN EXCESS POWER</v>
          </cell>
          <cell r="O126">
            <v>7412110</v>
          </cell>
          <cell r="P126" t="str">
            <v>14/09/2025 14:00:00 - 17/09/2025 12:00:00</v>
          </cell>
          <cell r="Q126">
            <v>2034510</v>
          </cell>
        </row>
        <row r="127">
          <cell r="A127">
            <v>1284259338</v>
          </cell>
          <cell r="B127" t="str">
            <v>9719989ZY</v>
          </cell>
          <cell r="C127" t="str">
            <v>INDAH ADELIA NUR SYAHBANI</v>
          </cell>
          <cell r="D127">
            <v>97197614</v>
          </cell>
          <cell r="E127">
            <v>4120177722</v>
          </cell>
          <cell r="F127">
            <v>54</v>
          </cell>
          <cell r="G127" t="str">
            <v>Perjalanan Dinas Non-Diklat</v>
          </cell>
          <cell r="H127" t="str">
            <v>Kab. Polewali Mandar - Kab. Mamuju</v>
          </cell>
          <cell r="I127" t="str">
            <v>14/09/2025 - 15/09/2025</v>
          </cell>
          <cell r="J127">
            <v>2</v>
          </cell>
          <cell r="K127" t="str">
            <v>Hotel</v>
          </cell>
          <cell r="L127" t="str">
            <v>13-09-2025 09:33:27</v>
          </cell>
          <cell r="M127" t="str">
            <v xml:space="preserve">Maleo Town Square - 3.0 Stars  - </v>
          </cell>
          <cell r="N127" t="str">
            <v>TL YAN GAN</v>
          </cell>
          <cell r="O127">
            <v>7409657</v>
          </cell>
          <cell r="P127" t="str">
            <v>14/09/2025 14:00:00 - 15/09/2025 12:00:00</v>
          </cell>
          <cell r="Q127">
            <v>570000</v>
          </cell>
        </row>
        <row r="128">
          <cell r="A128">
            <v>1284257708</v>
          </cell>
          <cell r="B128" t="str">
            <v>9619387ZY</v>
          </cell>
          <cell r="C128" t="str">
            <v>ENDAH SURYANING WULANDARI</v>
          </cell>
          <cell r="D128">
            <v>96196200</v>
          </cell>
          <cell r="E128">
            <v>4120177717</v>
          </cell>
          <cell r="F128">
            <v>54</v>
          </cell>
          <cell r="G128" t="str">
            <v>Perjalanan Dinas Diklat</v>
          </cell>
          <cell r="H128" t="str">
            <v>Kota Parepare - Kota Surabaya</v>
          </cell>
          <cell r="I128" t="str">
            <v>14/09/2025 - 20/09/2025</v>
          </cell>
          <cell r="J128">
            <v>7</v>
          </cell>
          <cell r="K128" t="str">
            <v>Flight Round-Trip</v>
          </cell>
          <cell r="L128" t="str">
            <v>13-09-2025 09:25:50</v>
          </cell>
          <cell r="M128" t="str">
            <v>Citilink Domestic UPG Hasanuddin QG-353 - Citilink 1A SUB Juanda QG-353</v>
          </cell>
          <cell r="N128" t="str">
            <v>OF KIN KEU DAN MUM</v>
          </cell>
          <cell r="O128">
            <v>7412220</v>
          </cell>
          <cell r="P128" t="str">
            <v>14/09/2025 19:30:00 - 14/09/2025 20:05:00</v>
          </cell>
          <cell r="Q128">
            <v>2066200</v>
          </cell>
        </row>
        <row r="129">
          <cell r="A129">
            <v>1284185820</v>
          </cell>
          <cell r="B129" t="str">
            <v>7806084Z</v>
          </cell>
          <cell r="C129" t="str">
            <v>RACHMAT NUR</v>
          </cell>
          <cell r="D129">
            <v>78068001</v>
          </cell>
          <cell r="E129">
            <v>4120177718</v>
          </cell>
          <cell r="F129">
            <v>54</v>
          </cell>
          <cell r="G129" t="str">
            <v>Perjalanan Dinas Non-Diklat</v>
          </cell>
          <cell r="H129" t="str">
            <v>Kota Makassar - Kab. Kepulauan Selayar</v>
          </cell>
          <cell r="I129" t="str">
            <v>12/09/2025 - 14/09/2025</v>
          </cell>
          <cell r="J129">
            <v>3</v>
          </cell>
          <cell r="K129" t="str">
            <v>Hotel</v>
          </cell>
          <cell r="L129" t="str">
            <v>12-09-2025 21:22:37</v>
          </cell>
          <cell r="M129" t="str">
            <v xml:space="preserve">SAME Resort Bira Beach - 3.0 Stars  - </v>
          </cell>
          <cell r="N129" t="str">
            <v>MAN KIT</v>
          </cell>
          <cell r="O129">
            <v>7412000</v>
          </cell>
          <cell r="P129" t="str">
            <v>12/09/2025 14:00:00 - 13/09/2025 12:00:00</v>
          </cell>
          <cell r="Q129">
            <v>1084337</v>
          </cell>
        </row>
        <row r="130">
          <cell r="A130">
            <v>1284163454</v>
          </cell>
          <cell r="B130" t="str">
            <v>8808036F</v>
          </cell>
          <cell r="C130" t="str">
            <v xml:space="preserve">SYAHLAN </v>
          </cell>
          <cell r="D130">
            <v>88087602</v>
          </cell>
          <cell r="E130">
            <v>4120177707</v>
          </cell>
          <cell r="F130">
            <v>54</v>
          </cell>
          <cell r="G130" t="str">
            <v>Perjalanan Dinas Non-Diklat</v>
          </cell>
          <cell r="H130" t="str">
            <v>Kota Makassar - Kab. Muna</v>
          </cell>
          <cell r="I130" t="str">
            <v>14/09/2025 - 17/09/2025</v>
          </cell>
          <cell r="J130">
            <v>4</v>
          </cell>
          <cell r="K130" t="str">
            <v>Flight One Way</v>
          </cell>
          <cell r="L130" t="str">
            <v>12-09-2025 19:47:16</v>
          </cell>
          <cell r="M130" t="str">
            <v>Garuda Indonesia  KDI Haluoleo GA-605 - Garuda Indonesia Domestic UPG Hasanuddin GA-605</v>
          </cell>
          <cell r="N130" t="str">
            <v>ASMAN TJSL</v>
          </cell>
          <cell r="O130">
            <v>7412163</v>
          </cell>
          <cell r="P130" t="str">
            <v>17/09/2025 09:10:00 - 17/09/2025 10:10:00</v>
          </cell>
          <cell r="Q130">
            <v>952600</v>
          </cell>
        </row>
        <row r="131">
          <cell r="A131">
            <v>1284161577</v>
          </cell>
          <cell r="B131" t="str">
            <v>8808036F</v>
          </cell>
          <cell r="C131" t="str">
            <v xml:space="preserve">SYAHLAN </v>
          </cell>
          <cell r="D131">
            <v>88087602</v>
          </cell>
          <cell r="E131">
            <v>4120177707</v>
          </cell>
          <cell r="F131">
            <v>54</v>
          </cell>
          <cell r="G131" t="str">
            <v>Perjalanan Dinas Non-Diklat</v>
          </cell>
          <cell r="H131" t="str">
            <v>Kota Makassar - Kab. Muna</v>
          </cell>
          <cell r="I131" t="str">
            <v>14/09/2025 - 17/09/2025</v>
          </cell>
          <cell r="J131">
            <v>4</v>
          </cell>
          <cell r="K131" t="str">
            <v>Flight One Way</v>
          </cell>
          <cell r="L131" t="str">
            <v>12-09-2025 19:39:10</v>
          </cell>
          <cell r="M131" t="str">
            <v>Garuda Indonesia Domestic UPG Hasanuddin GA-604 - Garuda Indonesia  KDI Haluoleo GA-604</v>
          </cell>
          <cell r="N131" t="str">
            <v>ASMAN TJSL</v>
          </cell>
          <cell r="O131">
            <v>7412163</v>
          </cell>
          <cell r="P131" t="str">
            <v>14/09/2025 07:25:00 - 14/09/2025 08:25:00</v>
          </cell>
          <cell r="Q131">
            <v>866600</v>
          </cell>
        </row>
        <row r="132">
          <cell r="A132">
            <v>1284050674</v>
          </cell>
          <cell r="B132" t="str">
            <v>9818160FBY</v>
          </cell>
          <cell r="C132" t="str">
            <v>FACHRUDDIN SYARIF</v>
          </cell>
          <cell r="D132">
            <v>98187625</v>
          </cell>
          <cell r="E132">
            <v>4120177710</v>
          </cell>
          <cell r="F132">
            <v>54</v>
          </cell>
          <cell r="G132" t="str">
            <v>Perjalanan Dinas Diklat</v>
          </cell>
          <cell r="H132" t="str">
            <v>Kota Kendari - Jakarta Pusat</v>
          </cell>
          <cell r="I132" t="str">
            <v>14/09/2025 - 19/09/2025</v>
          </cell>
          <cell r="J132">
            <v>6</v>
          </cell>
          <cell r="K132" t="str">
            <v>Flight One Way</v>
          </cell>
          <cell r="L132" t="str">
            <v>12-09-2025 12:12:40</v>
          </cell>
          <cell r="M132" t="str">
            <v>Pelita Air  KDI Haluoleo IP-811 - Pelita Air 3 CGK Soekarno Hatta International Airport IP-811</v>
          </cell>
          <cell r="N132" t="str">
            <v>JTC KONS LISDES</v>
          </cell>
          <cell r="O132">
            <v>7412240</v>
          </cell>
          <cell r="P132" t="str">
            <v>14/09/2025 10:35:00 - 14/09/2025 12:20:00</v>
          </cell>
          <cell r="Q132">
            <v>1867300</v>
          </cell>
        </row>
        <row r="133">
          <cell r="A133">
            <v>1284048970</v>
          </cell>
          <cell r="B133" t="str">
            <v>9212027FY</v>
          </cell>
          <cell r="C133" t="str">
            <v>MUHAMMAD RAHMAT PATI YUNUS</v>
          </cell>
          <cell r="D133">
            <v>92127609</v>
          </cell>
          <cell r="E133">
            <v>4120177712</v>
          </cell>
          <cell r="F133">
            <v>54</v>
          </cell>
          <cell r="G133" t="str">
            <v>Perjalanan Dinas Diklat</v>
          </cell>
          <cell r="H133" t="str">
            <v>Kota Kendari - Kota Cilegon</v>
          </cell>
          <cell r="I133" t="str">
            <v>14/09/2025 - 19/09/2025</v>
          </cell>
          <cell r="J133">
            <v>6</v>
          </cell>
          <cell r="K133" t="str">
            <v>Flight One Way</v>
          </cell>
          <cell r="L133" t="str">
            <v>12-09-2025 12:06:01</v>
          </cell>
          <cell r="M133" t="str">
            <v>Pelita Air  KDI Haluoleo IP-811 - Pelita Air 3 CGK Soekarno Hatta International Airport IP-811</v>
          </cell>
          <cell r="N133" t="str">
            <v>TC KONS LISDES</v>
          </cell>
          <cell r="O133">
            <v>7412240</v>
          </cell>
          <cell r="P133" t="str">
            <v>14/09/2025 10:35:00 - 14/09/2025 12:20:00</v>
          </cell>
          <cell r="Q133">
            <v>1867300</v>
          </cell>
        </row>
        <row r="134">
          <cell r="A134">
            <v>1284114323</v>
          </cell>
          <cell r="B134" t="str">
            <v>96191275ZY</v>
          </cell>
          <cell r="C134" t="str">
            <v>BAMA RUSMALI</v>
          </cell>
          <cell r="D134">
            <v>96197617</v>
          </cell>
          <cell r="E134">
            <v>4120177706</v>
          </cell>
          <cell r="F134">
            <v>54</v>
          </cell>
          <cell r="G134" t="str">
            <v>Perjalanan Dinas Diklat</v>
          </cell>
          <cell r="H134" t="str">
            <v>Kota Makassar - Kota Cilegon</v>
          </cell>
          <cell r="I134" t="str">
            <v>14/09/2025 - 19/09/2025</v>
          </cell>
          <cell r="J134">
            <v>6</v>
          </cell>
          <cell r="K134" t="str">
            <v>Flight One Way</v>
          </cell>
          <cell r="L134" t="str">
            <v>12-09-2025 16:19:03</v>
          </cell>
          <cell r="M134" t="str">
            <v>Garuda Indonesia Domestic UPG Hasanuddin GA-641 - Garuda Indonesia  CGK Soekarno Hatta International Airport GA-641</v>
          </cell>
          <cell r="N134" t="str">
            <v>OF REN LIST PERDESAAN</v>
          </cell>
          <cell r="O134">
            <v>7412000</v>
          </cell>
          <cell r="P134" t="str">
            <v>14/09/2025 12:15:00 - 14/09/2025 13:40:00</v>
          </cell>
          <cell r="Q134">
            <v>2182800</v>
          </cell>
        </row>
        <row r="135">
          <cell r="A135">
            <v>1285306862</v>
          </cell>
          <cell r="B135" t="str">
            <v>9717057FBY</v>
          </cell>
          <cell r="C135" t="str">
            <v>MUH ISMAIL ANWAR</v>
          </cell>
          <cell r="D135">
            <v>97177614</v>
          </cell>
          <cell r="E135">
            <v>4120177687</v>
          </cell>
          <cell r="F135">
            <v>54</v>
          </cell>
          <cell r="G135" t="str">
            <v>Perjalanan Dinas Diklat</v>
          </cell>
          <cell r="H135" t="str">
            <v>KotaMakassar-KotaCilegon</v>
          </cell>
          <cell r="I135" t="str">
            <v>14/09/2025 - 19/09/2025</v>
          </cell>
          <cell r="J135">
            <v>6</v>
          </cell>
          <cell r="K135" t="str">
            <v>Flight One Way</v>
          </cell>
          <cell r="L135" t="str">
            <v>17-09-2025 22:48:06</v>
          </cell>
          <cell r="M135" t="str">
            <v>Garuda Indonesia  CGK Soekarno Hatta International Airport GA-616 - Garuda Indonesia Domestic UPG Hasanuddin GA-616</v>
          </cell>
          <cell r="N135" t="str">
            <v>JTC KONS LIST PERDESAAN</v>
          </cell>
          <cell r="O135">
            <v>7412000</v>
          </cell>
          <cell r="P135" t="str">
            <v>19/09/2025 16:45:00 - 19/09/2025 20:20:00</v>
          </cell>
          <cell r="Q135">
            <v>2001500</v>
          </cell>
        </row>
        <row r="136">
          <cell r="A136">
            <v>1284114348</v>
          </cell>
          <cell r="B136" t="str">
            <v>9717057FBY</v>
          </cell>
          <cell r="C136" t="str">
            <v>MUH ISMAIL ANWAR</v>
          </cell>
          <cell r="D136">
            <v>97177614</v>
          </cell>
          <cell r="E136">
            <v>4120177687</v>
          </cell>
          <cell r="F136">
            <v>54</v>
          </cell>
          <cell r="G136" t="str">
            <v>Perjalanan Dinas Diklat</v>
          </cell>
          <cell r="H136" t="str">
            <v>Kota Makassar - Kota Cilegon</v>
          </cell>
          <cell r="I136" t="str">
            <v>14/09/2025 - 19/09/2025</v>
          </cell>
          <cell r="J136">
            <v>6</v>
          </cell>
          <cell r="K136" t="str">
            <v>Flight One Way</v>
          </cell>
          <cell r="L136" t="str">
            <v>12-09-2025 16:18:56</v>
          </cell>
          <cell r="M136" t="str">
            <v>Garuda Indonesia Domestic UPG Hasanuddin GA-641 - Garuda Indonesia  CGK Soekarno Hatta International Airport GA-641</v>
          </cell>
          <cell r="N136" t="str">
            <v>JTC KONS LIST PERDESAAN</v>
          </cell>
          <cell r="O136">
            <v>7412000</v>
          </cell>
          <cell r="P136" t="str">
            <v>14/09/2025 12:15:00 - 14/09/2025 13:40:00</v>
          </cell>
          <cell r="Q136">
            <v>2182800</v>
          </cell>
        </row>
        <row r="137">
          <cell r="A137">
            <v>1283739641</v>
          </cell>
          <cell r="B137" t="str">
            <v>7594035F</v>
          </cell>
          <cell r="C137" t="str">
            <v>AGUS SALIM</v>
          </cell>
          <cell r="D137">
            <v>75947601</v>
          </cell>
          <cell r="E137">
            <v>4120177684</v>
          </cell>
          <cell r="F137">
            <v>54</v>
          </cell>
          <cell r="G137" t="str">
            <v>Perjalanan Dinas Non-Diklat</v>
          </cell>
          <cell r="H137" t="str">
            <v>Kota Makassar - Jakarta Selatan</v>
          </cell>
          <cell r="I137" t="str">
            <v>16/09/2025 - 18/09/2025</v>
          </cell>
          <cell r="J137">
            <v>3</v>
          </cell>
          <cell r="K137" t="str">
            <v>Flight Round-Trip</v>
          </cell>
          <cell r="L137" t="str">
            <v>11-09-2025 08:32:28</v>
          </cell>
          <cell r="M137" t="str">
            <v>Garuda Indonesia Domestic UPG Hasanuddin GA-6194 - Garuda Indonesia  CGK Soekarno Hatta International Airport GA-6194</v>
          </cell>
          <cell r="N137" t="str">
            <v>ASMAN K3 DAN KAM</v>
          </cell>
          <cell r="O137">
            <v>7412000</v>
          </cell>
          <cell r="P137" t="str">
            <v>16/09/2025 05:25:00 - 16/09/2025 06:55:00</v>
          </cell>
          <cell r="Q137">
            <v>3170200</v>
          </cell>
        </row>
        <row r="138">
          <cell r="A138">
            <v>1283938402</v>
          </cell>
          <cell r="B138" t="str">
            <v>95191469ZY</v>
          </cell>
          <cell r="C138" t="str">
            <v>ANDI WARIS</v>
          </cell>
          <cell r="D138">
            <v>95197613</v>
          </cell>
          <cell r="E138">
            <v>4120177683</v>
          </cell>
          <cell r="F138">
            <v>54</v>
          </cell>
          <cell r="G138" t="str">
            <v>Perjalanan Dinas Non-Diklat</v>
          </cell>
          <cell r="H138" t="str">
            <v>Kota Kendari - Kota Makassar</v>
          </cell>
          <cell r="I138" t="str">
            <v>11/09/2025 - 13/09/2025</v>
          </cell>
          <cell r="J138">
            <v>3</v>
          </cell>
          <cell r="K138" t="str">
            <v>Flight One Way</v>
          </cell>
          <cell r="L138" t="str">
            <v>11-09-2025 22:53:07</v>
          </cell>
          <cell r="M138" t="str">
            <v>Batik Air Domestic UPG Hasanuddin ID-6751 - Batik Air  KDI Haluoleo ID-6751</v>
          </cell>
          <cell r="N138" t="str">
            <v>TL HAR ELEKTRO (KENDARI)</v>
          </cell>
          <cell r="O138">
            <v>7412340</v>
          </cell>
          <cell r="P138" t="str">
            <v>13/09/2025 08:30:00 - 13/09/2025 09:35:00</v>
          </cell>
          <cell r="Q138">
            <v>741000</v>
          </cell>
        </row>
        <row r="139">
          <cell r="A139">
            <v>1283733251</v>
          </cell>
          <cell r="B139" t="str">
            <v>95191469ZY</v>
          </cell>
          <cell r="C139" t="str">
            <v>ANDI WARIS</v>
          </cell>
          <cell r="D139">
            <v>95197613</v>
          </cell>
          <cell r="E139">
            <v>4120177683</v>
          </cell>
          <cell r="F139">
            <v>54</v>
          </cell>
          <cell r="G139" t="str">
            <v>Perjalanan Dinas Non-Diklat</v>
          </cell>
          <cell r="H139" t="str">
            <v>Kota Kendari - Kota Makassar</v>
          </cell>
          <cell r="I139" t="str">
            <v>11/09/2025 - 13/09/2025</v>
          </cell>
          <cell r="J139">
            <v>3</v>
          </cell>
          <cell r="K139" t="str">
            <v>Flight One Way</v>
          </cell>
          <cell r="L139" t="str">
            <v>11-09-2025 07:54:22</v>
          </cell>
          <cell r="M139" t="str">
            <v>Lion Air  KDI Haluoleo JT-993 - Lion Air Domestic UPG Hasanuddin JT-993</v>
          </cell>
          <cell r="N139" t="str">
            <v>TL HAR ELEKTRO (KENDARI)</v>
          </cell>
          <cell r="O139">
            <v>7412340</v>
          </cell>
          <cell r="P139" t="str">
            <v>11/09/2025 14:30:00 - 11/09/2025 15:25:00</v>
          </cell>
          <cell r="Q139">
            <v>705200</v>
          </cell>
        </row>
        <row r="140">
          <cell r="A140">
            <v>1283873551</v>
          </cell>
          <cell r="B140" t="str">
            <v>96191272ZY</v>
          </cell>
          <cell r="C140" t="str">
            <v>AHMAD FATHAN MAARIF</v>
          </cell>
          <cell r="D140">
            <v>96197614</v>
          </cell>
          <cell r="E140">
            <v>4120177673</v>
          </cell>
          <cell r="F140">
            <v>54</v>
          </cell>
          <cell r="G140" t="str">
            <v>Perjalanan Dinas Non-Diklat</v>
          </cell>
          <cell r="H140" t="str">
            <v>Kota Kendari - Kota Makassar</v>
          </cell>
          <cell r="I140" t="str">
            <v>10/09/2025 - 12/09/2025</v>
          </cell>
          <cell r="J140">
            <v>3</v>
          </cell>
          <cell r="K140" t="str">
            <v>Flight One Way</v>
          </cell>
          <cell r="L140" t="str">
            <v>11-09-2025 18:02:42</v>
          </cell>
          <cell r="M140" t="str">
            <v>Batik Air Domestic UPG Hasanuddin ID-6269 - Batik Air  KDI Haluoleo ID-6269</v>
          </cell>
          <cell r="N140" t="str">
            <v>TL SCADA DAN TEL (KEN)</v>
          </cell>
          <cell r="O140">
            <v>7408341</v>
          </cell>
          <cell r="P140" t="str">
            <v>12/09/2025 20:25:00 - 13/09/2025 07:10:00</v>
          </cell>
          <cell r="Q140">
            <v>2585800</v>
          </cell>
        </row>
        <row r="141">
          <cell r="A141">
            <v>1283583189</v>
          </cell>
          <cell r="B141" t="str">
            <v>96191272ZY</v>
          </cell>
          <cell r="C141" t="str">
            <v>AHMAD FATHAN MAARIF</v>
          </cell>
          <cell r="D141">
            <v>96197614</v>
          </cell>
          <cell r="E141">
            <v>4120177673</v>
          </cell>
          <cell r="F141">
            <v>54</v>
          </cell>
          <cell r="G141" t="str">
            <v>Perjalanan Dinas Non-Diklat</v>
          </cell>
          <cell r="H141" t="str">
            <v>Kota Kendari - Kota Makassar</v>
          </cell>
          <cell r="I141" t="str">
            <v>10/09/2025 - 12/09/2025</v>
          </cell>
          <cell r="J141">
            <v>3</v>
          </cell>
          <cell r="K141" t="str">
            <v>Hotel</v>
          </cell>
          <cell r="L141" t="str">
            <v>10-09-2025 14:41:22</v>
          </cell>
          <cell r="M141" t="str">
            <v xml:space="preserve">Aston Makassar Hotel &amp; Convention Center - 4.0 Stars  - </v>
          </cell>
          <cell r="N141" t="str">
            <v>TL SCADA DAN TEL (KEN)</v>
          </cell>
          <cell r="O141">
            <v>7408341</v>
          </cell>
          <cell r="P141" t="str">
            <v>10/09/2025 14:00:00 - 12/09/2025 12:00:00</v>
          </cell>
          <cell r="Q141">
            <v>1677089</v>
          </cell>
        </row>
        <row r="142">
          <cell r="A142">
            <v>1283535506</v>
          </cell>
          <cell r="B142" t="str">
            <v>9618035FBY</v>
          </cell>
          <cell r="C142" t="str">
            <v>SOFYAN ASBAR</v>
          </cell>
          <cell r="D142">
            <v>96187638</v>
          </cell>
          <cell r="E142">
            <v>4120177670</v>
          </cell>
          <cell r="F142">
            <v>54</v>
          </cell>
          <cell r="G142" t="str">
            <v>Perjalanan Dinas Non-Diklat</v>
          </cell>
          <cell r="H142" t="str">
            <v>Kab. Mamuju - Kota Makassar</v>
          </cell>
          <cell r="I142" t="str">
            <v>10/09/2025 - 13/09/2025</v>
          </cell>
          <cell r="J142">
            <v>4</v>
          </cell>
          <cell r="K142" t="str">
            <v>Hotel</v>
          </cell>
          <cell r="L142" t="str">
            <v>10-09-2025 11:32:36</v>
          </cell>
          <cell r="M142" t="str">
            <v xml:space="preserve">Swiss-Belinn Panakkukang - 4.0 Stars  - </v>
          </cell>
          <cell r="N142" t="str">
            <v>JTC KONS LISDES</v>
          </cell>
          <cell r="O142">
            <v>7412290</v>
          </cell>
          <cell r="P142" t="str">
            <v>10/09/2025 14:00:00 - 13/09/2025 12:00:00</v>
          </cell>
          <cell r="Q142">
            <v>2010000</v>
          </cell>
        </row>
        <row r="143">
          <cell r="A143">
            <v>1283512959</v>
          </cell>
          <cell r="B143" t="str">
            <v>9824171ZY</v>
          </cell>
          <cell r="C143" t="str">
            <v>GABRIELLE ALLENA</v>
          </cell>
          <cell r="D143">
            <v>98241171</v>
          </cell>
          <cell r="E143">
            <v>4120177656</v>
          </cell>
          <cell r="F143">
            <v>54</v>
          </cell>
          <cell r="G143" t="str">
            <v>Perjalanan Dinas Diklat</v>
          </cell>
          <cell r="H143" t="str">
            <v>Kota Cilegon - Kota Cilegon</v>
          </cell>
          <cell r="I143" t="str">
            <v>14/09/2025 - 19/09/2025</v>
          </cell>
          <cell r="J143">
            <v>6</v>
          </cell>
          <cell r="K143" t="str">
            <v>Flight One Way</v>
          </cell>
          <cell r="L143" t="str">
            <v>10-09-2025 10:02:30</v>
          </cell>
          <cell r="M143" t="str">
            <v>Batik Air  MJU Tampa Padang ID-6789 - Batik Air 1A CGK Soekarno Hatta International Airport ID-6789</v>
          </cell>
          <cell r="N143" t="str">
            <v>TC KONS LIST PERDESAAN</v>
          </cell>
          <cell r="O143">
            <v>7412290</v>
          </cell>
          <cell r="P143" t="str">
            <v>14/09/2025 11:35:00 - 14/09/2025 14:45:00</v>
          </cell>
          <cell r="Q143">
            <v>1905200</v>
          </cell>
        </row>
        <row r="144">
          <cell r="A144">
            <v>1283816031</v>
          </cell>
          <cell r="B144" t="str">
            <v>8611991Z</v>
          </cell>
          <cell r="C144" t="str">
            <v>A. MALLOMBASSI</v>
          </cell>
          <cell r="D144">
            <v>86118004</v>
          </cell>
          <cell r="E144">
            <v>4120177657</v>
          </cell>
          <cell r="F144">
            <v>54</v>
          </cell>
          <cell r="G144" t="str">
            <v>Perjalanan Pindah Mutasi</v>
          </cell>
          <cell r="H144" t="str">
            <v>Kab.Bone-Kab.Bulukumba</v>
          </cell>
          <cell r="I144" t="str">
            <v>11/09/2025 - 12/09/2025</v>
          </cell>
          <cell r="J144">
            <v>2</v>
          </cell>
          <cell r="K144" t="str">
            <v>Hotel</v>
          </cell>
          <cell r="L144" t="str">
            <v>11-09-2025 13:57:13</v>
          </cell>
          <cell r="M144" t="str">
            <v xml:space="preserve">Hotel Agri Bulukumba - 2.0 Stars  - </v>
          </cell>
          <cell r="N144" t="str">
            <v>ASMAN NPS</v>
          </cell>
          <cell r="O144">
            <v>7412274</v>
          </cell>
          <cell r="P144" t="str">
            <v>11/09/2025 14:00:00 - 12/09/2025 12:00:00</v>
          </cell>
          <cell r="Q144">
            <v>380000</v>
          </cell>
        </row>
        <row r="145">
          <cell r="A145">
            <v>1283680912</v>
          </cell>
          <cell r="B145" t="str">
            <v>7190010F</v>
          </cell>
          <cell r="C145" t="str">
            <v>HUSLAN HUSAIN</v>
          </cell>
          <cell r="D145">
            <v>71907601</v>
          </cell>
          <cell r="E145">
            <v>4120177664</v>
          </cell>
          <cell r="F145">
            <v>54</v>
          </cell>
          <cell r="G145" t="str">
            <v>Perjalanan Dinas Non-Diklat</v>
          </cell>
          <cell r="H145" t="str">
            <v>Kota Makassar - Kab. Pinrang</v>
          </cell>
          <cell r="I145" t="str">
            <v>10/09/2025 - 11/09/2025</v>
          </cell>
          <cell r="J145">
            <v>2</v>
          </cell>
          <cell r="K145" t="str">
            <v>Hotel</v>
          </cell>
          <cell r="L145" t="str">
            <v>10-09-2025 21:34:20</v>
          </cell>
          <cell r="M145" t="str">
            <v xml:space="preserve">Homestay Tirtasari Pinrang City Center Mitra RedDoorz - 1.0 Stars  - </v>
          </cell>
          <cell r="N145" t="str">
            <v>SM REN</v>
          </cell>
          <cell r="O145">
            <v>7412110</v>
          </cell>
          <cell r="P145" t="str">
            <v>10/09/2025 14:00:00 - 11/09/2025 12:00:00</v>
          </cell>
          <cell r="Q145">
            <v>590850</v>
          </cell>
        </row>
        <row r="146">
          <cell r="A146">
            <v>1283620310</v>
          </cell>
          <cell r="B146" t="str">
            <v>93151297ZY</v>
          </cell>
          <cell r="C146" t="str">
            <v>APRIZAL ARIF AMIR</v>
          </cell>
          <cell r="D146">
            <v>93157607</v>
          </cell>
          <cell r="E146">
            <v>4120177667</v>
          </cell>
          <cell r="F146">
            <v>54</v>
          </cell>
          <cell r="G146" t="str">
            <v>Perjalanan Dinas Non-Diklat</v>
          </cell>
          <cell r="H146" t="str">
            <v>Kab. Buton Tengah - Kota Baubau</v>
          </cell>
          <cell r="I146" t="str">
            <v>11/09/2025 - 12/09/2025</v>
          </cell>
          <cell r="J146">
            <v>2</v>
          </cell>
          <cell r="K146" t="str">
            <v>Hotel</v>
          </cell>
          <cell r="L146" t="str">
            <v>10-09-2025 17:14:11</v>
          </cell>
          <cell r="M146" t="str">
            <v xml:space="preserve">Zenith Premiere Hotel Baubau - 3.0 Stars  - </v>
          </cell>
          <cell r="N146" t="str">
            <v>MUL ULP (MAWASANGKA)</v>
          </cell>
          <cell r="O146">
            <v>7409654</v>
          </cell>
          <cell r="P146" t="str">
            <v>11/09/2025 14:00:00 - 12/09/2025 12:00:00</v>
          </cell>
          <cell r="Q146">
            <v>615400</v>
          </cell>
        </row>
        <row r="147">
          <cell r="A147">
            <v>1283764159</v>
          </cell>
          <cell r="B147" t="str">
            <v>90112386Z</v>
          </cell>
          <cell r="C147" t="str">
            <v>ISWANTO HAKIM</v>
          </cell>
          <cell r="D147">
            <v>90117611</v>
          </cell>
          <cell r="E147">
            <v>4120177665</v>
          </cell>
          <cell r="F147">
            <v>54</v>
          </cell>
          <cell r="G147" t="str">
            <v>Perjalanan Dinas Non-Diklat</v>
          </cell>
          <cell r="H147" t="str">
            <v>Kab. Muna - Kota Baubau</v>
          </cell>
          <cell r="I147" t="str">
            <v>10/09/2025 - 12/09/2025</v>
          </cell>
          <cell r="J147">
            <v>3</v>
          </cell>
          <cell r="K147" t="str">
            <v>Hotel</v>
          </cell>
          <cell r="L147" t="str">
            <v>11-09-2025 10:24:35</v>
          </cell>
          <cell r="M147" t="str">
            <v xml:space="preserve">Zenith Premiere Hotel Baubau - 3.0 Stars  - </v>
          </cell>
          <cell r="N147" t="str">
            <v>MUL ULP (RAHA)</v>
          </cell>
          <cell r="O147">
            <v>7409651</v>
          </cell>
          <cell r="P147" t="str">
            <v>11/09/2025 14:00:00 - 12/09/2025 12:00:00</v>
          </cell>
          <cell r="Q147">
            <v>615400</v>
          </cell>
        </row>
        <row r="148">
          <cell r="A148">
            <v>1283372586</v>
          </cell>
          <cell r="B148" t="str">
            <v>91151479ZY</v>
          </cell>
          <cell r="C148" t="str">
            <v>RICKY TITIN TRIPUTRA</v>
          </cell>
          <cell r="D148">
            <v>91157612</v>
          </cell>
          <cell r="E148">
            <v>4120177666</v>
          </cell>
          <cell r="F148">
            <v>54</v>
          </cell>
          <cell r="G148" t="str">
            <v>Perjalanan Dinas Non-Diklat</v>
          </cell>
          <cell r="H148" t="str">
            <v>Kab. Wakatobi - Kota Baubau</v>
          </cell>
          <cell r="I148" t="str">
            <v>10/09/2025 - 12/09/2025</v>
          </cell>
          <cell r="J148">
            <v>3</v>
          </cell>
          <cell r="K148" t="str">
            <v>Hotel</v>
          </cell>
          <cell r="L148" t="str">
            <v>09-09-2025 17:39:21</v>
          </cell>
          <cell r="M148" t="str">
            <v xml:space="preserve">Zenith Premiere Hotel Baubau - 3.0 Stars  - </v>
          </cell>
          <cell r="N148" t="str">
            <v>MUL</v>
          </cell>
          <cell r="O148">
            <v>7409652</v>
          </cell>
          <cell r="P148" t="str">
            <v>10/09/2025 14:00:00 - 12/09/2025 12:00:00</v>
          </cell>
          <cell r="Q148">
            <v>1370400</v>
          </cell>
        </row>
        <row r="149">
          <cell r="A149">
            <v>1283666832</v>
          </cell>
          <cell r="B149" t="str">
            <v>7802014F</v>
          </cell>
          <cell r="C149" t="str">
            <v>MUHAMMAD ISMAIL</v>
          </cell>
          <cell r="D149">
            <v>78027603</v>
          </cell>
          <cell r="E149">
            <v>4120177661</v>
          </cell>
          <cell r="F149">
            <v>54</v>
          </cell>
          <cell r="G149" t="str">
            <v>Perjalanan Dinas Non-Diklat</v>
          </cell>
          <cell r="H149" t="str">
            <v>Kota Makassar - Kab. Enrekang</v>
          </cell>
          <cell r="I149" t="str">
            <v>10/09/2025 - 11/09/2025</v>
          </cell>
          <cell r="J149">
            <v>2</v>
          </cell>
          <cell r="K149" t="str">
            <v>Hotel</v>
          </cell>
          <cell r="L149" t="str">
            <v>10-09-2025 20:34:56</v>
          </cell>
          <cell r="M149" t="str">
            <v xml:space="preserve">Homestay Tirtasari Pinrang City Center Mitra RedDoorz - 1.0 Stars  - </v>
          </cell>
          <cell r="N149" t="str">
            <v>MAN IPP DAN EXCESS POWER</v>
          </cell>
          <cell r="O149">
            <v>7412110</v>
          </cell>
          <cell r="P149" t="str">
            <v>10/09/2025 14:00:00 - 11/09/2025 12:00:00</v>
          </cell>
          <cell r="Q149">
            <v>459550</v>
          </cell>
        </row>
        <row r="150">
          <cell r="A150">
            <v>1283667231</v>
          </cell>
          <cell r="B150" t="str">
            <v>8209147Z</v>
          </cell>
          <cell r="C150" t="str">
            <v>WENNY DIANA</v>
          </cell>
          <cell r="D150">
            <v>82097400</v>
          </cell>
          <cell r="E150">
            <v>4120177662</v>
          </cell>
          <cell r="F150">
            <v>54</v>
          </cell>
          <cell r="G150" t="str">
            <v>Perjalanan Dinas Non-Diklat</v>
          </cell>
          <cell r="H150" t="str">
            <v>Kota Makassar - Kab. Enrekang</v>
          </cell>
          <cell r="I150" t="str">
            <v>10/09/2025 - 11/09/2025</v>
          </cell>
          <cell r="J150">
            <v>2</v>
          </cell>
          <cell r="K150" t="str">
            <v>Hotel</v>
          </cell>
          <cell r="L150" t="str">
            <v>10-09-2025 20:36:34</v>
          </cell>
          <cell r="M150" t="str">
            <v xml:space="preserve">Homestay Tirtasari Pinrang City Center Mitra RedDoorz - 1.0 Stars  - </v>
          </cell>
          <cell r="N150" t="str">
            <v>SOF IPP DAN EXCESS POWER</v>
          </cell>
          <cell r="O150">
            <v>7412110</v>
          </cell>
          <cell r="P150" t="str">
            <v>10/09/2025 14:00:00 - 11/09/2025 12:00:00</v>
          </cell>
          <cell r="Q150">
            <v>590850</v>
          </cell>
        </row>
        <row r="151">
          <cell r="A151">
            <v>1283667643</v>
          </cell>
          <cell r="B151" t="str">
            <v>9619975ZY</v>
          </cell>
          <cell r="C151" t="str">
            <v>SEKARWATI CIPTOROSO</v>
          </cell>
          <cell r="D151">
            <v>96197610</v>
          </cell>
          <cell r="E151">
            <v>4120177659</v>
          </cell>
          <cell r="F151">
            <v>54</v>
          </cell>
          <cell r="G151" t="str">
            <v>Perjalanan Dinas Non-Diklat</v>
          </cell>
          <cell r="H151" t="str">
            <v>Kota Baubau - Kota Makassar</v>
          </cell>
          <cell r="I151" t="str">
            <v>10/09/2025 - 13/09/2025</v>
          </cell>
          <cell r="J151">
            <v>4</v>
          </cell>
          <cell r="K151" t="str">
            <v>Flight One Way</v>
          </cell>
          <cell r="L151" t="str">
            <v>10-09-2025 20:38:43</v>
          </cell>
          <cell r="M151" t="str">
            <v>Super Air Jet  UPG Hasanuddin IU-572 - Super Air Jet  BUW Betoambari IU-572</v>
          </cell>
          <cell r="N151" t="str">
            <v>OF KIN KEU DAN MUM</v>
          </cell>
          <cell r="O151">
            <v>7412280</v>
          </cell>
          <cell r="P151" t="str">
            <v>13/09/2025 13:50:00 - 13/09/2025 14:35:00</v>
          </cell>
          <cell r="Q151">
            <v>844100</v>
          </cell>
        </row>
        <row r="152">
          <cell r="A152">
            <v>1283362602</v>
          </cell>
          <cell r="B152" t="str">
            <v>9619975ZY</v>
          </cell>
          <cell r="C152" t="str">
            <v>SEKARWATI CIPTOROSO</v>
          </cell>
          <cell r="D152">
            <v>96197610</v>
          </cell>
          <cell r="E152">
            <v>4120177659</v>
          </cell>
          <cell r="F152">
            <v>54</v>
          </cell>
          <cell r="G152" t="str">
            <v>Perjalanan Dinas Non-Diklat</v>
          </cell>
          <cell r="H152" t="str">
            <v>Kota Baubau - Kota Makassar</v>
          </cell>
          <cell r="I152" t="str">
            <v>10/09/2025 - 13/09/2025</v>
          </cell>
          <cell r="J152">
            <v>4</v>
          </cell>
          <cell r="K152" t="str">
            <v>Hotel</v>
          </cell>
          <cell r="L152" t="str">
            <v>09-09-2025 16:58:08</v>
          </cell>
          <cell r="M152" t="str">
            <v xml:space="preserve">Vasaka Hotel Makassar Managed By Dafam - 3.5 Stars  - </v>
          </cell>
          <cell r="N152" t="str">
            <v>OF KIN KEU DAN MUM</v>
          </cell>
          <cell r="O152">
            <v>7412280</v>
          </cell>
          <cell r="P152" t="str">
            <v>10/09/2025 14:00:00 - 13/09/2025 12:00:00</v>
          </cell>
          <cell r="Q152">
            <v>1787100</v>
          </cell>
        </row>
        <row r="153">
          <cell r="A153">
            <v>1283360383</v>
          </cell>
          <cell r="B153" t="str">
            <v>9619975ZY</v>
          </cell>
          <cell r="C153" t="str">
            <v>SEKARWATI CIPTOROSO</v>
          </cell>
          <cell r="D153">
            <v>96197610</v>
          </cell>
          <cell r="E153">
            <v>4120177659</v>
          </cell>
          <cell r="F153">
            <v>54</v>
          </cell>
          <cell r="G153" t="str">
            <v>Perjalanan Dinas Non-Diklat</v>
          </cell>
          <cell r="H153" t="str">
            <v>Kota Baubau - Kota Makassar</v>
          </cell>
          <cell r="I153" t="str">
            <v>10/09/2025 - 13/09/2025</v>
          </cell>
          <cell r="J153">
            <v>4</v>
          </cell>
          <cell r="K153" t="str">
            <v>Flight One Way</v>
          </cell>
          <cell r="L153" t="str">
            <v>09-09-2025 16:50:00</v>
          </cell>
          <cell r="M153" t="str">
            <v>Super Air Jet  BUW Betoambari IU-573 - Super Air Jet  UPG Hasanuddin IU-573</v>
          </cell>
          <cell r="N153" t="str">
            <v>OF KIN KEU DAN MUM</v>
          </cell>
          <cell r="O153">
            <v>7412280</v>
          </cell>
          <cell r="P153" t="str">
            <v>10/09/2025 15:15:00 - 10/09/2025 16:00:00</v>
          </cell>
          <cell r="Q153">
            <v>744200</v>
          </cell>
        </row>
        <row r="154">
          <cell r="A154">
            <v>1285096427</v>
          </cell>
          <cell r="B154" t="str">
            <v>0021300ZY</v>
          </cell>
          <cell r="C154" t="str">
            <v>MAYA MAWARNI BIRANA</v>
          </cell>
          <cell r="D154">
            <v>217600</v>
          </cell>
          <cell r="E154">
            <v>4120177638</v>
          </cell>
          <cell r="F154">
            <v>54</v>
          </cell>
          <cell r="G154" t="str">
            <v>Perjalanan Dinas Diklat</v>
          </cell>
          <cell r="H154" t="str">
            <v>Kota Banjarbaru - Kota Banjarbaru</v>
          </cell>
          <cell r="I154" t="str">
            <v>14/09/2025 - 18/09/2025</v>
          </cell>
          <cell r="J154">
            <v>5</v>
          </cell>
          <cell r="K154" t="str">
            <v>Flight One Way</v>
          </cell>
          <cell r="L154" t="str">
            <v>17-09-2025 07:04:44</v>
          </cell>
          <cell r="M154" t="str">
            <v>Citilink Domestic BDJ Syamsudin Noor QG-495 - Citilink Domestic UPG Hasanuddin QG-495</v>
          </cell>
          <cell r="N154" t="str">
            <v>JTC OP DIST</v>
          </cell>
          <cell r="O154">
            <v>7409251</v>
          </cell>
          <cell r="P154" t="str">
            <v>18/09/2025 15:00:00 - 18/09/2025 19:45:00</v>
          </cell>
          <cell r="Q154">
            <v>1693200</v>
          </cell>
        </row>
        <row r="155">
          <cell r="A155">
            <v>1283327139</v>
          </cell>
          <cell r="B155" t="str">
            <v>7904006F</v>
          </cell>
          <cell r="C155" t="str">
            <v>YULI ASHANIAIS RAMADANI</v>
          </cell>
          <cell r="D155">
            <v>79047601</v>
          </cell>
          <cell r="E155">
            <v>4120177649</v>
          </cell>
          <cell r="F155">
            <v>54</v>
          </cell>
          <cell r="G155" t="str">
            <v>Perjalanan Dinas Non-Diklat</v>
          </cell>
          <cell r="H155" t="str">
            <v>Kota Makassar - Jakarta Selatan</v>
          </cell>
          <cell r="I155" t="str">
            <v>10/09/2025 - 11/09/2025</v>
          </cell>
          <cell r="J155">
            <v>2</v>
          </cell>
          <cell r="K155" t="str">
            <v>Flight One Way</v>
          </cell>
          <cell r="L155" t="str">
            <v>09-09-2025 14:30:13</v>
          </cell>
          <cell r="M155" t="str">
            <v>Garuda Indonesia Domestic UPG Hasanuddin GA-617 - Garuda Indonesia  CGK Soekarno Hatta International Airport GA-617</v>
          </cell>
          <cell r="N155" t="str">
            <v>SM AGA DAN MANJ GAN</v>
          </cell>
          <cell r="O155">
            <v>7411140</v>
          </cell>
          <cell r="P155" t="str">
            <v>10/09/2025 07:15:00 - 10/09/2025 08:45:00</v>
          </cell>
          <cell r="Q155">
            <v>2183400</v>
          </cell>
        </row>
        <row r="156">
          <cell r="A156">
            <v>1283769630</v>
          </cell>
          <cell r="B156" t="str">
            <v>7904006F</v>
          </cell>
          <cell r="C156" t="str">
            <v>YULI ASHANIAIS RAMADANI</v>
          </cell>
          <cell r="D156">
            <v>79047601</v>
          </cell>
          <cell r="E156">
            <v>4120177649</v>
          </cell>
          <cell r="F156">
            <v>54</v>
          </cell>
          <cell r="G156" t="str">
            <v>Perjalanan Dinas Non-Diklat</v>
          </cell>
          <cell r="H156" t="str">
            <v>Kota Makassar - Jakarta Selatan</v>
          </cell>
          <cell r="I156" t="str">
            <v>10/09/2025 - 11/09/2025</v>
          </cell>
          <cell r="J156">
            <v>2</v>
          </cell>
          <cell r="K156" t="str">
            <v>Flight One Way</v>
          </cell>
          <cell r="L156" t="str">
            <v>11-09-2025 10:46:44</v>
          </cell>
          <cell r="M156" t="str">
            <v>Garuda Indonesia  CGK Soekarno Hatta International Airport GA-618 - Garuda Indonesia Domestic UPG Hasanuddin GA-618</v>
          </cell>
          <cell r="N156" t="str">
            <v>SM AGA DAN MANJ GAN</v>
          </cell>
          <cell r="O156">
            <v>7411140</v>
          </cell>
          <cell r="P156" t="str">
            <v>11/09/2025 20:15:00 - 11/09/2025 23:50:00</v>
          </cell>
          <cell r="Q156">
            <v>2232900</v>
          </cell>
        </row>
        <row r="157">
          <cell r="A157">
            <v>1283543658</v>
          </cell>
          <cell r="B157" t="str">
            <v>7904006F</v>
          </cell>
          <cell r="C157" t="str">
            <v>YULI ASHANIAIS RAMADANI</v>
          </cell>
          <cell r="D157">
            <v>79047601</v>
          </cell>
          <cell r="E157">
            <v>4120177649</v>
          </cell>
          <cell r="F157">
            <v>54</v>
          </cell>
          <cell r="G157" t="str">
            <v>Perjalanan Dinas Non-Diklat</v>
          </cell>
          <cell r="H157" t="str">
            <v>Kota Makassar - Jakarta Selatan</v>
          </cell>
          <cell r="I157" t="str">
            <v>10/09/2025 - 11/09/2025</v>
          </cell>
          <cell r="J157">
            <v>2</v>
          </cell>
          <cell r="K157" t="str">
            <v>Hotel</v>
          </cell>
          <cell r="L157" t="str">
            <v>10-09-2025 12:04:57</v>
          </cell>
          <cell r="M157" t="str">
            <v xml:space="preserve">Mercure Jakarta Simatupang - 4.0 Stars  - </v>
          </cell>
          <cell r="N157" t="str">
            <v>SM AGA DAN MANJ GAN</v>
          </cell>
          <cell r="O157">
            <v>7411140</v>
          </cell>
          <cell r="P157" t="str">
            <v>10/09/2025 14:00:00 - 11/09/2025 12:00:00</v>
          </cell>
          <cell r="Q157">
            <v>1226940</v>
          </cell>
        </row>
        <row r="158">
          <cell r="A158">
            <v>1284012621</v>
          </cell>
          <cell r="B158" t="str">
            <v>8408499Z</v>
          </cell>
          <cell r="C158" t="str">
            <v xml:space="preserve">MIRSAN </v>
          </cell>
          <cell r="D158">
            <v>84087802</v>
          </cell>
          <cell r="E158">
            <v>4120177648</v>
          </cell>
          <cell r="F158">
            <v>54</v>
          </cell>
          <cell r="G158" t="str">
            <v>Perjalanan Dinas Non-Diklat</v>
          </cell>
          <cell r="H158" t="str">
            <v>Kota Makassar - Jakarta Selatan</v>
          </cell>
          <cell r="I158" t="str">
            <v>10/09/2025 - 12/09/2025</v>
          </cell>
          <cell r="J158">
            <v>3</v>
          </cell>
          <cell r="K158" t="str">
            <v>Flight One Way</v>
          </cell>
          <cell r="L158" t="str">
            <v>12-09-2025 10:48:22</v>
          </cell>
          <cell r="M158" t="str">
            <v>Garuda Indonesia  CGK Soekarno Hatta International Airport GA-618 - Garuda Indonesia Domestic UPG Hasanuddin GA-618</v>
          </cell>
          <cell r="N158" t="str">
            <v>MAN YAN PRIORITAS DAN PAE</v>
          </cell>
          <cell r="O158">
            <v>7411140</v>
          </cell>
          <cell r="P158" t="str">
            <v>12/09/2025 20:15:00 - 12/09/2025 23:50:00</v>
          </cell>
          <cell r="Q158">
            <v>1844400</v>
          </cell>
        </row>
        <row r="159">
          <cell r="A159">
            <v>1283542546</v>
          </cell>
          <cell r="B159" t="str">
            <v>8408499Z</v>
          </cell>
          <cell r="C159" t="str">
            <v xml:space="preserve">MIRSAN </v>
          </cell>
          <cell r="D159">
            <v>84087802</v>
          </cell>
          <cell r="E159">
            <v>4120177648</v>
          </cell>
          <cell r="F159">
            <v>54</v>
          </cell>
          <cell r="G159" t="str">
            <v>Perjalanan Dinas Non-Diklat</v>
          </cell>
          <cell r="H159" t="str">
            <v>Kota Makassar - Jakarta Selatan</v>
          </cell>
          <cell r="I159" t="str">
            <v>10/09/2025 - 11/09/2025</v>
          </cell>
          <cell r="J159">
            <v>2</v>
          </cell>
          <cell r="K159" t="str">
            <v>Hotel</v>
          </cell>
          <cell r="L159" t="str">
            <v>10-09-2025 12:00:14</v>
          </cell>
          <cell r="M159" t="str">
            <v xml:space="preserve">Mercure Jakarta Simatupang - 4.0 Stars  - </v>
          </cell>
          <cell r="N159" t="str">
            <v>MAN YAN PRIORITAS DAN PAE</v>
          </cell>
          <cell r="O159">
            <v>7411140</v>
          </cell>
          <cell r="P159" t="str">
            <v>10/09/2025 14:00:00 - 11/09/2025 12:00:00</v>
          </cell>
          <cell r="Q159">
            <v>1004300</v>
          </cell>
        </row>
        <row r="160">
          <cell r="A160">
            <v>1283327187</v>
          </cell>
          <cell r="B160" t="str">
            <v>8408499Z</v>
          </cell>
          <cell r="C160" t="str">
            <v xml:space="preserve">MIRSAN </v>
          </cell>
          <cell r="D160">
            <v>84087802</v>
          </cell>
          <cell r="E160">
            <v>4120177648</v>
          </cell>
          <cell r="F160">
            <v>54</v>
          </cell>
          <cell r="G160" t="str">
            <v>Perjalanan Dinas Non-Diklat</v>
          </cell>
          <cell r="H160" t="str">
            <v>Kota Makassar - Jakarta Selatan</v>
          </cell>
          <cell r="I160" t="str">
            <v>10/09/2025 - 11/09/2025</v>
          </cell>
          <cell r="J160">
            <v>2</v>
          </cell>
          <cell r="K160" t="str">
            <v>Flight One Way</v>
          </cell>
          <cell r="L160" t="str">
            <v>09-09-2025 14:30:46</v>
          </cell>
          <cell r="M160" t="str">
            <v>Garuda Indonesia Domestic UPG Hasanuddin GA-617 - Garuda Indonesia  CGK Soekarno Hatta International Airport GA-617</v>
          </cell>
          <cell r="N160" t="str">
            <v>MAN YAN PRIORITAS DAN PAE</v>
          </cell>
          <cell r="O160">
            <v>7411140</v>
          </cell>
          <cell r="P160" t="str">
            <v>10/09/2025 07:15:00 - 10/09/2025 08:45:00</v>
          </cell>
          <cell r="Q160">
            <v>2183400</v>
          </cell>
        </row>
        <row r="161">
          <cell r="A161">
            <v>1283218255</v>
          </cell>
          <cell r="B161" t="str">
            <v>9615052FY</v>
          </cell>
          <cell r="C161" t="str">
            <v>AGUS RIANTO WIBOWO</v>
          </cell>
          <cell r="D161">
            <v>96137735</v>
          </cell>
          <cell r="E161">
            <v>4120177647</v>
          </cell>
          <cell r="F161">
            <v>54</v>
          </cell>
          <cell r="G161" t="str">
            <v>Perjalanan Dinas Non-Diklat</v>
          </cell>
          <cell r="H161" t="str">
            <v>Kota Kendari - Kota Makassar</v>
          </cell>
          <cell r="I161" t="str">
            <v>10/09/2025 - 13/09/2025</v>
          </cell>
          <cell r="J161">
            <v>4</v>
          </cell>
          <cell r="K161" t="str">
            <v>Flight One Way</v>
          </cell>
          <cell r="L161" t="str">
            <v>09-09-2025 07:15:58</v>
          </cell>
          <cell r="M161" t="str">
            <v>Garuda Indonesia  KDI Haluoleo GA-605 - Garuda Indonesia Domestic UPG Hasanuddin GA-605</v>
          </cell>
          <cell r="N161" t="str">
            <v>JOF ADM MUM</v>
          </cell>
          <cell r="O161">
            <v>7412240</v>
          </cell>
          <cell r="P161" t="str">
            <v>10/09/2025 09:10:00 - 10/09/2025 10:10:00</v>
          </cell>
          <cell r="Q161">
            <v>861400</v>
          </cell>
        </row>
        <row r="162">
          <cell r="A162">
            <v>1283140044</v>
          </cell>
          <cell r="B162" t="str">
            <v>87112320Z</v>
          </cell>
          <cell r="C162" t="str">
            <v>JULIO ISNANJAR ARDHIYANTO</v>
          </cell>
          <cell r="D162">
            <v>87117612</v>
          </cell>
          <cell r="E162">
            <v>4120177633</v>
          </cell>
          <cell r="F162">
            <v>54</v>
          </cell>
          <cell r="G162" t="str">
            <v>Perjalanan Dinas Non-Diklat</v>
          </cell>
          <cell r="H162" t="str">
            <v>Kab. Bulukumba - Kota Makassar</v>
          </cell>
          <cell r="I162" t="str">
            <v>09/09/2025 - 11/09/2025</v>
          </cell>
          <cell r="J162">
            <v>3</v>
          </cell>
          <cell r="K162" t="str">
            <v>Hotel</v>
          </cell>
          <cell r="L162" t="str">
            <v>08-09-2025 19:50:54</v>
          </cell>
          <cell r="M162" t="str">
            <v>Swiss-Belinn Panakkukang - 4.0 Stars  - Superior Twin</v>
          </cell>
          <cell r="N162" t="str">
            <v>TL MAPPING DATA RING DAN GAN</v>
          </cell>
          <cell r="O162">
            <v>7412270</v>
          </cell>
          <cell r="P162" t="str">
            <v>09/09/2025 14:00:00 - 11/09/2025 12:00:00</v>
          </cell>
          <cell r="Q162">
            <v>1362953</v>
          </cell>
        </row>
        <row r="163">
          <cell r="A163">
            <v>1283265535</v>
          </cell>
          <cell r="B163" t="str">
            <v>93162777ZY</v>
          </cell>
          <cell r="C163" t="str">
            <v>KHAYRUNNISA B. MUHAMMADIA</v>
          </cell>
          <cell r="D163">
            <v>93167626</v>
          </cell>
          <cell r="E163">
            <v>4120177642</v>
          </cell>
          <cell r="F163">
            <v>54</v>
          </cell>
          <cell r="G163" t="str">
            <v>Perjalanan Dinas Non-Diklat</v>
          </cell>
          <cell r="H163" t="str">
            <v>Kota Makassar - Kota Depok</v>
          </cell>
          <cell r="I163" t="str">
            <v>11/09/2025 - 13/09/2025</v>
          </cell>
          <cell r="J163">
            <v>3</v>
          </cell>
          <cell r="K163" t="str">
            <v>Flight One Way</v>
          </cell>
          <cell r="L163" t="str">
            <v>09-09-2025 10:50:30</v>
          </cell>
          <cell r="M163" t="str">
            <v>Batik Air Domestic UPG Hasanuddin ID-6265 - Batik Air 2D CGK Soekarno Hatta International Airport ID-6265</v>
          </cell>
          <cell r="N163" t="str">
            <v>OF TJSL</v>
          </cell>
          <cell r="O163">
            <v>7412163</v>
          </cell>
          <cell r="P163" t="str">
            <v>11/09/2025 06:25:00 - 11/09/2025 07:45:00</v>
          </cell>
          <cell r="Q163">
            <v>1242700</v>
          </cell>
        </row>
        <row r="164">
          <cell r="A164">
            <v>1283112870</v>
          </cell>
          <cell r="B164" t="str">
            <v>95191270ZY</v>
          </cell>
          <cell r="C164" t="str">
            <v>SEPTYANTO NUGROHO</v>
          </cell>
          <cell r="D164">
            <v>95197610</v>
          </cell>
          <cell r="E164">
            <v>4120177643</v>
          </cell>
          <cell r="F164">
            <v>54</v>
          </cell>
          <cell r="G164" t="str">
            <v>Perjalanan Dinas Non-Diklat</v>
          </cell>
          <cell r="H164" t="str">
            <v>Kota Makassar - Kota Surabaya</v>
          </cell>
          <cell r="I164" t="str">
            <v>09/09/2025 - 13/09/2025</v>
          </cell>
          <cell r="J164">
            <v>5</v>
          </cell>
          <cell r="K164" t="str">
            <v>Flight One Way</v>
          </cell>
          <cell r="L164" t="str">
            <v>08-09-2025 17:50:52</v>
          </cell>
          <cell r="M164" t="str">
            <v>Citilink Domestic UPG Hasanuddin QG-353 - Citilink 1A SUB Juanda QG-353</v>
          </cell>
          <cell r="N164" t="str">
            <v>OF IPP DAN EXCESS POWER</v>
          </cell>
          <cell r="O164">
            <v>7412110</v>
          </cell>
          <cell r="P164" t="str">
            <v>09/09/2025 19:50:00 - 09/09/2025 20:25:00</v>
          </cell>
          <cell r="Q164">
            <v>876400</v>
          </cell>
        </row>
        <row r="165">
          <cell r="A165">
            <v>1283081925</v>
          </cell>
          <cell r="B165" t="str">
            <v>95191270ZY</v>
          </cell>
          <cell r="C165" t="str">
            <v>SEPTYANTO NUGROHO</v>
          </cell>
          <cell r="D165">
            <v>95197610</v>
          </cell>
          <cell r="E165">
            <v>4120177643</v>
          </cell>
          <cell r="F165">
            <v>54</v>
          </cell>
          <cell r="G165" t="str">
            <v>Perjalanan Dinas Non-Diklat</v>
          </cell>
          <cell r="H165" t="str">
            <v>Kota Makassar - Kota Surabaya</v>
          </cell>
          <cell r="I165" t="str">
            <v>09/09/2025 - 13/09/2025</v>
          </cell>
          <cell r="J165">
            <v>5</v>
          </cell>
          <cell r="K165" t="str">
            <v>Hotel</v>
          </cell>
          <cell r="L165" t="str">
            <v>08-09-2025 15:37:00</v>
          </cell>
          <cell r="M165" t="str">
            <v xml:space="preserve">Kampi Hotel Tunjungan – Surabaya - 3.0 Stars  - </v>
          </cell>
          <cell r="N165" t="str">
            <v>OF IPP DAN EXCESS POWER</v>
          </cell>
          <cell r="O165">
            <v>7412110</v>
          </cell>
          <cell r="P165" t="str">
            <v>09/09/2025 14:00:00 - 13/09/2025 12:00:00</v>
          </cell>
          <cell r="Q165">
            <v>2680000</v>
          </cell>
        </row>
        <row r="166">
          <cell r="A166">
            <v>1284106780</v>
          </cell>
          <cell r="B166" t="str">
            <v>95191270ZY</v>
          </cell>
          <cell r="C166" t="str">
            <v>SEPTYANTO NUGROHO</v>
          </cell>
          <cell r="D166">
            <v>95197610</v>
          </cell>
          <cell r="E166">
            <v>4120177643</v>
          </cell>
          <cell r="F166">
            <v>54</v>
          </cell>
          <cell r="G166" t="str">
            <v>Perjalanan Dinas Non-Diklat</v>
          </cell>
          <cell r="H166" t="str">
            <v>Kota Makassar - Kota Surabaya</v>
          </cell>
          <cell r="I166" t="str">
            <v>09/09/2025 - 13/09/2025</v>
          </cell>
          <cell r="J166">
            <v>5</v>
          </cell>
          <cell r="K166" t="str">
            <v>Flight One Way</v>
          </cell>
          <cell r="L166" t="str">
            <v>12-09-2025 15:49:25</v>
          </cell>
          <cell r="M166" t="str">
            <v>Citilink 1A SUB Juanda QG-352 - Citilink Domestic UPG Hasanuddin QG-352</v>
          </cell>
          <cell r="N166" t="str">
            <v>OF IPP DAN EXCESS POWER</v>
          </cell>
          <cell r="O166">
            <v>7412110</v>
          </cell>
          <cell r="P166" t="str">
            <v>13/09/2025 17:20:00 - 13/09/2025 19:45:00</v>
          </cell>
          <cell r="Q166">
            <v>876400</v>
          </cell>
        </row>
        <row r="167">
          <cell r="A167">
            <v>1283533109</v>
          </cell>
          <cell r="B167" t="str">
            <v>8106034F</v>
          </cell>
          <cell r="C167" t="str">
            <v>DIAN ADHIRAMA ACHDAR</v>
          </cell>
          <cell r="D167">
            <v>81067606</v>
          </cell>
          <cell r="E167">
            <v>4120177635</v>
          </cell>
          <cell r="F167">
            <v>54</v>
          </cell>
          <cell r="G167" t="str">
            <v>Perjalanan Dinas Non-Diklat</v>
          </cell>
          <cell r="H167" t="str">
            <v>Kota Makassar - Kab. Polewali Mandar</v>
          </cell>
          <cell r="I167" t="str">
            <v>08/09/2025 - 12/09/2025</v>
          </cell>
          <cell r="J167">
            <v>5</v>
          </cell>
          <cell r="K167" t="str">
            <v>Hotel</v>
          </cell>
          <cell r="L167" t="str">
            <v>10-09-2025 11:23:31</v>
          </cell>
          <cell r="M167" t="str">
            <v xml:space="preserve">Wisma Suci Syariah Polewali Mandar Mitra RedDoorz - 1.0 Stars  - </v>
          </cell>
          <cell r="N167" t="str">
            <v>TC HAR ELEKTRO</v>
          </cell>
          <cell r="O167">
            <v>7412340</v>
          </cell>
          <cell r="P167" t="str">
            <v>10/09/2025 14:00:00 - 11/09/2025 12:00:00</v>
          </cell>
          <cell r="Q167">
            <v>405599</v>
          </cell>
        </row>
        <row r="168">
          <cell r="A168">
            <v>1283315757</v>
          </cell>
          <cell r="B168" t="str">
            <v>8106034F</v>
          </cell>
          <cell r="C168" t="str">
            <v>DIAN ADHIRAMA ACHDAR</v>
          </cell>
          <cell r="D168">
            <v>81067606</v>
          </cell>
          <cell r="E168">
            <v>4120177635</v>
          </cell>
          <cell r="F168">
            <v>54</v>
          </cell>
          <cell r="G168" t="str">
            <v>Perjalanan Dinas Non-Diklat</v>
          </cell>
          <cell r="H168" t="str">
            <v>Kota Makassar - Kab. Polewali Mandar</v>
          </cell>
          <cell r="I168" t="str">
            <v>08/09/2025 - 12/09/2025</v>
          </cell>
          <cell r="J168">
            <v>5</v>
          </cell>
          <cell r="K168" t="str">
            <v>Hotel</v>
          </cell>
          <cell r="L168" t="str">
            <v>09-09-2025 13:48:03</v>
          </cell>
          <cell r="M168" t="str">
            <v xml:space="preserve">Wisma Suci Syariah Polewali Mandar Mitra RedDoorz - 1.0 Stars  - </v>
          </cell>
          <cell r="N168" t="str">
            <v>TC HAR ELEKTRO</v>
          </cell>
          <cell r="O168">
            <v>7412340</v>
          </cell>
          <cell r="P168" t="str">
            <v>09/09/2025 14:00:00 - 10/09/2025 12:00:00</v>
          </cell>
          <cell r="Q168">
            <v>270400</v>
          </cell>
        </row>
        <row r="169">
          <cell r="A169">
            <v>1283093776</v>
          </cell>
          <cell r="B169" t="str">
            <v>8106034F</v>
          </cell>
          <cell r="C169" t="str">
            <v>DIAN ADHIRAMA ACHDAR</v>
          </cell>
          <cell r="D169">
            <v>81067606</v>
          </cell>
          <cell r="E169">
            <v>4120177635</v>
          </cell>
          <cell r="F169">
            <v>54</v>
          </cell>
          <cell r="G169" t="str">
            <v>Perjalanan Dinas Non-Diklat</v>
          </cell>
          <cell r="H169" t="str">
            <v>Kota Makassar - Kab. Polewali Mandar</v>
          </cell>
          <cell r="I169" t="str">
            <v>08/09/2025 - 12/09/2025</v>
          </cell>
          <cell r="J169">
            <v>5</v>
          </cell>
          <cell r="K169" t="str">
            <v>Hotel</v>
          </cell>
          <cell r="L169" t="str">
            <v>08-09-2025 16:26:59</v>
          </cell>
          <cell r="M169" t="str">
            <v xml:space="preserve">Homestay RN near Taman Bambu Runcing Polewali Mitra RedDoorz - 1.0 Stars  - </v>
          </cell>
          <cell r="N169" t="str">
            <v>TC HAR ELEKTRO</v>
          </cell>
          <cell r="O169">
            <v>7412340</v>
          </cell>
          <cell r="P169" t="str">
            <v>08/09/2025 14:00:00 - 09/09/2025 12:00:00</v>
          </cell>
          <cell r="Q169">
            <v>291200</v>
          </cell>
        </row>
        <row r="170">
          <cell r="A170">
            <v>1283131857</v>
          </cell>
          <cell r="B170" t="str">
            <v>9213081FY</v>
          </cell>
          <cell r="C170" t="str">
            <v>KRESKY YULIANTO</v>
          </cell>
          <cell r="D170">
            <v>96137676</v>
          </cell>
          <cell r="E170">
            <v>4120177641</v>
          </cell>
          <cell r="F170">
            <v>54</v>
          </cell>
          <cell r="G170" t="str">
            <v>Perjalanan Dinas Non-Diklat</v>
          </cell>
          <cell r="H170" t="str">
            <v>Kota Makassar - Kab. Luwu Timur</v>
          </cell>
          <cell r="I170" t="str">
            <v>08/09/2025 - 13/09/2025</v>
          </cell>
          <cell r="J170">
            <v>6</v>
          </cell>
          <cell r="K170" t="str">
            <v>Hotel</v>
          </cell>
          <cell r="L170" t="str">
            <v>08-09-2025 19:15:44</v>
          </cell>
          <cell r="M170" t="str">
            <v xml:space="preserve">BM Residence Hotel Palopo - 1.0 Stars  - </v>
          </cell>
          <cell r="N170" t="str">
            <v>TC HAR ELEKTRO</v>
          </cell>
          <cell r="O170">
            <v>7412340</v>
          </cell>
          <cell r="P170" t="str">
            <v>08/09/2025 14:00:00 - 09/09/2025 12:00:00</v>
          </cell>
          <cell r="Q170">
            <v>525000</v>
          </cell>
        </row>
        <row r="171">
          <cell r="A171">
            <v>1284107175</v>
          </cell>
          <cell r="B171" t="str">
            <v>9213081FY</v>
          </cell>
          <cell r="C171" t="str">
            <v>KRESKY YULIANTO</v>
          </cell>
          <cell r="D171">
            <v>96137676</v>
          </cell>
          <cell r="E171">
            <v>4120177641</v>
          </cell>
          <cell r="F171">
            <v>54</v>
          </cell>
          <cell r="G171" t="str">
            <v>Perjalanan Dinas Non-Diklat</v>
          </cell>
          <cell r="H171" t="str">
            <v>Kota Makassar - Kab. Luwu Timur</v>
          </cell>
          <cell r="I171" t="str">
            <v>08/09/2025 - 13/09/2025</v>
          </cell>
          <cell r="J171">
            <v>6</v>
          </cell>
          <cell r="K171" t="str">
            <v>Hotel</v>
          </cell>
          <cell r="L171" t="str">
            <v>12-09-2025 15:50:55</v>
          </cell>
          <cell r="M171" t="str">
            <v xml:space="preserve">Pare Beach Hotel - 0.0 Stars  - </v>
          </cell>
          <cell r="N171" t="str">
            <v>TC HAR ELEKTRO</v>
          </cell>
          <cell r="O171">
            <v>7412340</v>
          </cell>
          <cell r="P171" t="str">
            <v>12/09/2025 14:00:00 - 13/09/2025 12:00:00</v>
          </cell>
          <cell r="Q171">
            <v>500000</v>
          </cell>
        </row>
        <row r="172">
          <cell r="A172">
            <v>1283824756</v>
          </cell>
          <cell r="B172" t="str">
            <v>9213081FY</v>
          </cell>
          <cell r="C172" t="str">
            <v>KRESKY YULIANTO</v>
          </cell>
          <cell r="D172">
            <v>96137676</v>
          </cell>
          <cell r="E172">
            <v>4120177641</v>
          </cell>
          <cell r="F172">
            <v>54</v>
          </cell>
          <cell r="G172" t="str">
            <v>Perjalanan Dinas Non-Diklat</v>
          </cell>
          <cell r="H172" t="str">
            <v>Kota Makassar - Kab. Luwu Timur</v>
          </cell>
          <cell r="I172" t="str">
            <v>08/09/2025 - 13/09/2025</v>
          </cell>
          <cell r="J172">
            <v>6</v>
          </cell>
          <cell r="K172" t="str">
            <v>Hotel</v>
          </cell>
          <cell r="L172" t="str">
            <v>11-09-2025 14:33:04</v>
          </cell>
          <cell r="M172" t="str">
            <v xml:space="preserve">Urbanview Hotel Mulia Indah Palopo - 2.0 Stars  - </v>
          </cell>
          <cell r="N172" t="str">
            <v>TC HAR ELEKTRO</v>
          </cell>
          <cell r="O172">
            <v>7412340</v>
          </cell>
          <cell r="P172" t="str">
            <v>11/09/2025 14:00:00 - 12/09/2025 12:00:00</v>
          </cell>
          <cell r="Q172">
            <v>593249</v>
          </cell>
        </row>
        <row r="173">
          <cell r="A173">
            <v>1283626556</v>
          </cell>
          <cell r="B173" t="str">
            <v>9213081FY</v>
          </cell>
          <cell r="C173" t="str">
            <v>KRESKY YULIANTO</v>
          </cell>
          <cell r="D173">
            <v>96137676</v>
          </cell>
          <cell r="E173">
            <v>4120177641</v>
          </cell>
          <cell r="F173">
            <v>54</v>
          </cell>
          <cell r="G173" t="str">
            <v>Perjalanan Dinas Non-Diklat</v>
          </cell>
          <cell r="H173" t="str">
            <v>Kota Makassar - Kab. Luwu Timur</v>
          </cell>
          <cell r="I173" t="str">
            <v>08/09/2025 - 13/09/2025</v>
          </cell>
          <cell r="J173">
            <v>6</v>
          </cell>
          <cell r="K173" t="str">
            <v>Hotel</v>
          </cell>
          <cell r="L173" t="str">
            <v>10-09-2025 17:42:39</v>
          </cell>
          <cell r="M173" t="str">
            <v xml:space="preserve">Hotel Rai's Palopo Exclusive Mitra RedDoorz - 1.0 Stars  - </v>
          </cell>
          <cell r="N173" t="str">
            <v>TC HAR ELEKTRO</v>
          </cell>
          <cell r="O173">
            <v>7412340</v>
          </cell>
          <cell r="P173" t="str">
            <v>10/09/2025 14:00:00 - 11/09/2025 12:00:00</v>
          </cell>
          <cell r="Q173">
            <v>364000</v>
          </cell>
        </row>
        <row r="174">
          <cell r="A174">
            <v>1283329176</v>
          </cell>
          <cell r="B174" t="str">
            <v>9213081FY</v>
          </cell>
          <cell r="C174" t="str">
            <v>KRESKY YULIANTO</v>
          </cell>
          <cell r="D174">
            <v>96137676</v>
          </cell>
          <cell r="E174">
            <v>4120177641</v>
          </cell>
          <cell r="F174">
            <v>54</v>
          </cell>
          <cell r="G174" t="str">
            <v>Perjalanan Dinas Non-Diklat</v>
          </cell>
          <cell r="H174" t="str">
            <v>Kota Makassar - Kab. Luwu Timur</v>
          </cell>
          <cell r="I174" t="str">
            <v>08/09/2025 - 13/09/2025</v>
          </cell>
          <cell r="J174">
            <v>6</v>
          </cell>
          <cell r="K174" t="str">
            <v>Hotel</v>
          </cell>
          <cell r="L174" t="str">
            <v>09-09-2025 14:37:56</v>
          </cell>
          <cell r="M174" t="str">
            <v xml:space="preserve">Villa Matano Sorowako - 1.0 Stars  - </v>
          </cell>
          <cell r="N174" t="str">
            <v>TC HAR ELEKTRO</v>
          </cell>
          <cell r="O174">
            <v>7412340</v>
          </cell>
          <cell r="P174" t="str">
            <v>09/09/2025 14:00:00 - 10/09/2025 12:00:00</v>
          </cell>
          <cell r="Q174">
            <v>572850</v>
          </cell>
        </row>
        <row r="175">
          <cell r="A175">
            <v>1283075231</v>
          </cell>
          <cell r="B175" t="str">
            <v>96191276ZY</v>
          </cell>
          <cell r="C175" t="str">
            <v>TASH'QIA VENINTIA</v>
          </cell>
          <cell r="D175">
            <v>96197618</v>
          </cell>
          <cell r="E175">
            <v>4120177601</v>
          </cell>
          <cell r="F175">
            <v>54</v>
          </cell>
          <cell r="G175" t="str">
            <v>Perjalanan Dinas Non-Diklat</v>
          </cell>
          <cell r="H175" t="str">
            <v>Kota Kendari - Kota Makassar</v>
          </cell>
          <cell r="I175" t="str">
            <v>08/09/2025 - 11/09/2025</v>
          </cell>
          <cell r="J175">
            <v>4</v>
          </cell>
          <cell r="K175" t="str">
            <v>Hotel</v>
          </cell>
          <cell r="L175" t="str">
            <v>08-09-2025 15:10:28</v>
          </cell>
          <cell r="M175" t="str">
            <v xml:space="preserve">Vasaka Hotel Makassar Managed By Dafam - 3.5 Stars  - </v>
          </cell>
          <cell r="N175" t="str">
            <v>TL MAPPING DATA RING DAN GAN</v>
          </cell>
          <cell r="O175">
            <v>7412240</v>
          </cell>
          <cell r="P175" t="str">
            <v>08/09/2025 14:00:00 - 11/09/2025 12:00:00</v>
          </cell>
          <cell r="Q175">
            <v>2553000</v>
          </cell>
        </row>
        <row r="176">
          <cell r="A176">
            <v>1283791653</v>
          </cell>
          <cell r="B176" t="str">
            <v>9523326ZY</v>
          </cell>
          <cell r="C176" t="str">
            <v>SHALAHUDDIN ALAYUBI SITANGGANG</v>
          </cell>
          <cell r="D176">
            <v>95237601</v>
          </cell>
          <cell r="E176">
            <v>4120177624</v>
          </cell>
          <cell r="F176">
            <v>54</v>
          </cell>
          <cell r="G176" t="str">
            <v>Perjalanan Dinas Diklat</v>
          </cell>
          <cell r="H176" t="str">
            <v>Kota Baubau - Kota Banjarbaru</v>
          </cell>
          <cell r="I176" t="str">
            <v>14/09/2025 - 18/09/2025</v>
          </cell>
          <cell r="J176">
            <v>5</v>
          </cell>
          <cell r="K176" t="str">
            <v>Flight One Way</v>
          </cell>
          <cell r="L176" t="str">
            <v>11-09-2025 12:18:13</v>
          </cell>
          <cell r="M176" t="str">
            <v>Wings Air  BUW Betoambari IW-1305 - Wings Air 2D CGK Soekarno Hatta International Airport IW-1305</v>
          </cell>
          <cell r="N176" t="str">
            <v>TC HAR ELEKTRO</v>
          </cell>
          <cell r="O176">
            <v>7412340</v>
          </cell>
          <cell r="P176" t="str">
            <v>14/09/2025 06:30:00 - 14/09/2025 13:35:00</v>
          </cell>
          <cell r="Q176">
            <v>2468900</v>
          </cell>
        </row>
        <row r="177">
          <cell r="A177">
            <v>1283102400</v>
          </cell>
          <cell r="B177" t="str">
            <v>9523326ZY</v>
          </cell>
          <cell r="C177" t="str">
            <v>SHALAHUDDIN ALAYUBI SITANGGANG</v>
          </cell>
          <cell r="D177">
            <v>95237601</v>
          </cell>
          <cell r="E177">
            <v>4120177624</v>
          </cell>
          <cell r="F177">
            <v>54</v>
          </cell>
          <cell r="G177" t="str">
            <v>Perjalanan Dinas Diklat</v>
          </cell>
          <cell r="H177" t="str">
            <v>Kota Baubau - Kota Banjarbaru</v>
          </cell>
          <cell r="I177" t="str">
            <v>14/09/2025 - 18/09/2025</v>
          </cell>
          <cell r="J177">
            <v>5</v>
          </cell>
          <cell r="K177" t="str">
            <v>Flight One Way</v>
          </cell>
          <cell r="L177" t="str">
            <v>08-09-2025 17:03:24</v>
          </cell>
          <cell r="M177" t="str">
            <v>Garuda Indonesia Domestic UPG Hasanuddin GA-605 - Garuda Indonesia  CGK Soekarno Hatta International Airport GA-605</v>
          </cell>
          <cell r="N177" t="str">
            <v>TC HAR ELEKTRO</v>
          </cell>
          <cell r="O177">
            <v>7412340</v>
          </cell>
          <cell r="P177" t="str">
            <v>14/09/2025 10:55:00 - 14/09/2025 12:25:00</v>
          </cell>
          <cell r="Q177">
            <v>2168800</v>
          </cell>
        </row>
        <row r="178">
          <cell r="A178">
            <v>1283101560</v>
          </cell>
          <cell r="B178" t="str">
            <v>9523326ZY</v>
          </cell>
          <cell r="C178" t="str">
            <v>SHALAHUDDIN ALAYUBI SITANGGANG</v>
          </cell>
          <cell r="D178">
            <v>95237601</v>
          </cell>
          <cell r="E178">
            <v>4120177624</v>
          </cell>
          <cell r="F178">
            <v>54</v>
          </cell>
          <cell r="G178" t="str">
            <v>Perjalanan Dinas Diklat</v>
          </cell>
          <cell r="H178" t="str">
            <v>Kota Baubau - Kota Banjarbaru</v>
          </cell>
          <cell r="I178" t="str">
            <v>14/09/2025 - 18/09/2025</v>
          </cell>
          <cell r="J178">
            <v>5</v>
          </cell>
          <cell r="K178" t="str">
            <v>Flight One Way</v>
          </cell>
          <cell r="L178" t="str">
            <v>08-09-2025 16:59:47</v>
          </cell>
          <cell r="M178" t="str">
            <v>Wings Air  BUW Betoambari IW-1305 - Wings Air Domestic UPG Hasanuddin IW-1305</v>
          </cell>
          <cell r="N178" t="str">
            <v>TC HAR ELEKTRO</v>
          </cell>
          <cell r="O178">
            <v>7412340</v>
          </cell>
          <cell r="P178" t="str">
            <v>14/09/2025 06:30:00 - 14/09/2025 07:40:00</v>
          </cell>
          <cell r="Q178">
            <v>1245200</v>
          </cell>
        </row>
        <row r="179">
          <cell r="A179">
            <v>1285093728</v>
          </cell>
          <cell r="B179" t="str">
            <v>9523326ZY</v>
          </cell>
          <cell r="C179" t="str">
            <v>SHALAHUDDIN ALAYUBI SITANGGANG</v>
          </cell>
          <cell r="D179">
            <v>95237601</v>
          </cell>
          <cell r="E179">
            <v>4120177624</v>
          </cell>
          <cell r="F179">
            <v>54</v>
          </cell>
          <cell r="G179" t="str">
            <v>Perjalanan Dinas Diklat</v>
          </cell>
          <cell r="H179" t="str">
            <v>KotaBaubau-KotaBanjarbaru</v>
          </cell>
          <cell r="I179" t="str">
            <v>14/09/2025 - 18/09/2025</v>
          </cell>
          <cell r="J179">
            <v>5</v>
          </cell>
          <cell r="K179" t="str">
            <v>Flight One Way</v>
          </cell>
          <cell r="L179" t="str">
            <v>17-09-2025 06:36:02</v>
          </cell>
          <cell r="M179" t="str">
            <v>Lion Air 1A CGK Soekarno Hatta International Airport JT-892 - Lion Air  BUW Betoambari JT-892</v>
          </cell>
          <cell r="N179" t="str">
            <v>TC HAR ELEKTRO</v>
          </cell>
          <cell r="O179">
            <v>7412340</v>
          </cell>
          <cell r="P179" t="str">
            <v>18/09/2025 08:40:00 - 18/09/2025 14:35:00</v>
          </cell>
          <cell r="Q179">
            <v>1950900</v>
          </cell>
        </row>
        <row r="180">
          <cell r="A180">
            <v>1283208967</v>
          </cell>
          <cell r="B180" t="str">
            <v>9413067FY</v>
          </cell>
          <cell r="C180" t="str">
            <v>ANDI MU'AYYAD MAPPAKAYA</v>
          </cell>
          <cell r="D180">
            <v>96137658</v>
          </cell>
          <cell r="E180">
            <v>4120177630</v>
          </cell>
          <cell r="F180">
            <v>54</v>
          </cell>
          <cell r="G180" t="str">
            <v>Perjalanan Dinas Non-Diklat</v>
          </cell>
          <cell r="H180" t="str">
            <v>Kab. Bulukumba - Kab. Bone</v>
          </cell>
          <cell r="I180" t="str">
            <v>08/09/2025 - 12/09/2025</v>
          </cell>
          <cell r="J180">
            <v>5</v>
          </cell>
          <cell r="K180" t="str">
            <v>Hotel</v>
          </cell>
          <cell r="L180" t="str">
            <v>09-09-2025 05:31:52</v>
          </cell>
          <cell r="M180" t="str">
            <v xml:space="preserve">Hotel Novena - 3.0 Stars  - </v>
          </cell>
          <cell r="N180" t="str">
            <v>TL PDKB</v>
          </cell>
          <cell r="O180">
            <v>7409271</v>
          </cell>
          <cell r="P180" t="str">
            <v>09/09/2025 14:00:00 - 11/09/2025 12:00:00</v>
          </cell>
          <cell r="Q180">
            <v>810000</v>
          </cell>
        </row>
        <row r="181">
          <cell r="A181">
            <v>1283013428</v>
          </cell>
          <cell r="B181" t="str">
            <v>8007053Z</v>
          </cell>
          <cell r="C181" t="str">
            <v>DALMASIUS NUGROHO ADI PUTRANTO</v>
          </cell>
          <cell r="D181">
            <v>80077601</v>
          </cell>
          <cell r="E181">
            <v>4120177637</v>
          </cell>
          <cell r="F181">
            <v>54</v>
          </cell>
          <cell r="G181" t="str">
            <v>Perjalanan Dinas Non-Diklat</v>
          </cell>
          <cell r="H181" t="str">
            <v>Kota Makassar - Kota Surabaya</v>
          </cell>
          <cell r="I181" t="str">
            <v>08/09/2025 - 13/09/2025</v>
          </cell>
          <cell r="J181">
            <v>6</v>
          </cell>
          <cell r="K181" t="str">
            <v>Hotel</v>
          </cell>
          <cell r="L181" t="str">
            <v>08-09-2025 11:07:34</v>
          </cell>
          <cell r="M181" t="str">
            <v xml:space="preserve">Crown Prince Hotel Surabaya managed by Midtown Indonesia Hotels - 4.0 Stars  - </v>
          </cell>
          <cell r="N181" t="str">
            <v>MAN REN SIS KELIST</v>
          </cell>
          <cell r="O181">
            <v>7412112</v>
          </cell>
          <cell r="P181" t="str">
            <v>08/09/2025 14:00:00 - 10/09/2025 12:00:00</v>
          </cell>
          <cell r="Q181">
            <v>1333800</v>
          </cell>
        </row>
        <row r="182">
          <cell r="A182">
            <v>1283979109</v>
          </cell>
          <cell r="B182" t="str">
            <v>8007053Z</v>
          </cell>
          <cell r="C182" t="str">
            <v>DALMASIUS NUGROHO ADI PUTRANTO</v>
          </cell>
          <cell r="D182">
            <v>80077601</v>
          </cell>
          <cell r="E182">
            <v>4120177637</v>
          </cell>
          <cell r="F182">
            <v>54</v>
          </cell>
          <cell r="G182" t="str">
            <v>Perjalanan Dinas Non-Diklat</v>
          </cell>
          <cell r="H182" t="str">
            <v>Kota Makassar - Kota Surabaya</v>
          </cell>
          <cell r="I182" t="str">
            <v>08/09/2025 - 13/09/2025</v>
          </cell>
          <cell r="J182">
            <v>6</v>
          </cell>
          <cell r="K182" t="str">
            <v>Flight One Way</v>
          </cell>
          <cell r="L182" t="str">
            <v>12-09-2025 08:20:27</v>
          </cell>
          <cell r="M182" t="str">
            <v>Sriwijaya Air 1A SUB Juanda SJ-562 - Sriwijaya Air Domestic UPG Hasanuddin SJ-562</v>
          </cell>
          <cell r="N182" t="str">
            <v>MAN REN SIS KELIST</v>
          </cell>
          <cell r="O182">
            <v>7412112</v>
          </cell>
          <cell r="P182" t="str">
            <v>12/09/2025 20:05:00 - 12/09/2025 22:35:00</v>
          </cell>
          <cell r="Q182">
            <v>921500</v>
          </cell>
        </row>
        <row r="183">
          <cell r="A183">
            <v>1283459742</v>
          </cell>
          <cell r="B183" t="str">
            <v>8007053Z</v>
          </cell>
          <cell r="C183" t="str">
            <v>DALMASIUS NUGROHO ADI PUTRANTO</v>
          </cell>
          <cell r="D183">
            <v>80077601</v>
          </cell>
          <cell r="E183">
            <v>4120177637</v>
          </cell>
          <cell r="F183">
            <v>54</v>
          </cell>
          <cell r="G183" t="str">
            <v>Perjalanan Dinas Non-Diklat</v>
          </cell>
          <cell r="H183" t="str">
            <v>Kota Makassar - Kota Surabaya</v>
          </cell>
          <cell r="I183" t="str">
            <v>08/09/2025 - 13/09/2025</v>
          </cell>
          <cell r="J183">
            <v>6</v>
          </cell>
          <cell r="K183" t="str">
            <v>Hotel</v>
          </cell>
          <cell r="L183" t="str">
            <v>10-09-2025 00:05:43</v>
          </cell>
          <cell r="M183" t="str">
            <v xml:space="preserve">Grand Whiz Hotel Praxis Surabaya - 4.0 Stars  - </v>
          </cell>
          <cell r="N183" t="str">
            <v>MAN REN SIS KELIST</v>
          </cell>
          <cell r="O183">
            <v>7412112</v>
          </cell>
          <cell r="P183" t="str">
            <v>10/09/2025 14:00:00 - 12/09/2025 12:00:00</v>
          </cell>
          <cell r="Q183">
            <v>1320000</v>
          </cell>
        </row>
        <row r="184">
          <cell r="A184">
            <v>1282996239</v>
          </cell>
          <cell r="B184" t="str">
            <v>8007053Z</v>
          </cell>
          <cell r="C184" t="str">
            <v>DALMASIUS NUGROHO ADI PUTRANTO</v>
          </cell>
          <cell r="D184">
            <v>80077601</v>
          </cell>
          <cell r="E184">
            <v>4120177637</v>
          </cell>
          <cell r="F184">
            <v>54</v>
          </cell>
          <cell r="G184" t="str">
            <v>Perjalanan Dinas Non-Diklat</v>
          </cell>
          <cell r="H184" t="str">
            <v>Kota Makassar - Kota Surabaya</v>
          </cell>
          <cell r="I184" t="str">
            <v>08/09/2025 - 13/09/2025</v>
          </cell>
          <cell r="J184">
            <v>6</v>
          </cell>
          <cell r="K184" t="str">
            <v>Flight One Way</v>
          </cell>
          <cell r="L184" t="str">
            <v>08-09-2025 09:57:46</v>
          </cell>
          <cell r="M184" t="str">
            <v>Citilink Domestic UPG Hasanuddin QG-353 - Citilink 1A SUB Juanda QG-353</v>
          </cell>
          <cell r="N184" t="str">
            <v>MAN REN SIS KELIST</v>
          </cell>
          <cell r="O184">
            <v>7412112</v>
          </cell>
          <cell r="P184" t="str">
            <v>08/09/2025 19:55:00 - 08/09/2025 20:30:00</v>
          </cell>
          <cell r="Q184">
            <v>939700</v>
          </cell>
        </row>
        <row r="185">
          <cell r="A185">
            <v>1283006483</v>
          </cell>
          <cell r="B185" t="str">
            <v>9418667ZY</v>
          </cell>
          <cell r="C185" t="str">
            <v>SYAIFUL ISLAM</v>
          </cell>
          <cell r="D185">
            <v>94187617</v>
          </cell>
          <cell r="E185">
            <v>4120177623</v>
          </cell>
          <cell r="F185">
            <v>54</v>
          </cell>
          <cell r="G185" t="str">
            <v>Perjalanan Dinas Non-Diklat</v>
          </cell>
          <cell r="H185" t="str">
            <v>Kab. Bone - Kota Makassar</v>
          </cell>
          <cell r="I185" t="str">
            <v>08/09/2025 - 10/09/2025</v>
          </cell>
          <cell r="J185">
            <v>3</v>
          </cell>
          <cell r="K185" t="str">
            <v>Hotel</v>
          </cell>
          <cell r="L185" t="str">
            <v>08-09-2025 10:40:34</v>
          </cell>
          <cell r="M185" t="str">
            <v xml:space="preserve">Mercure Makassar Nexa Pettarani - 4.0 Stars  - </v>
          </cell>
          <cell r="N185" t="str">
            <v>TL MAPPING DATA RING DAN GAN</v>
          </cell>
          <cell r="O185">
            <v>7412230</v>
          </cell>
          <cell r="P185" t="str">
            <v>08/09/2025 14:00:00 - 10/09/2025 12:00:00</v>
          </cell>
          <cell r="Q185">
            <v>1270358</v>
          </cell>
        </row>
        <row r="186">
          <cell r="A186">
            <v>1282905315</v>
          </cell>
          <cell r="B186" t="str">
            <v>9114713ZY</v>
          </cell>
          <cell r="C186" t="str">
            <v>ADHITYA IBNU ABDILLAH</v>
          </cell>
          <cell r="D186">
            <v>91147605</v>
          </cell>
          <cell r="E186">
            <v>4120177615</v>
          </cell>
          <cell r="F186">
            <v>54</v>
          </cell>
          <cell r="G186" t="str">
            <v>Perjalanan Dinas Non-Diklat</v>
          </cell>
          <cell r="H186" t="str">
            <v>Kota Palopo - Kota Makassar</v>
          </cell>
          <cell r="I186" t="str">
            <v>08/09/2025 - 11/09/2025</v>
          </cell>
          <cell r="J186">
            <v>4</v>
          </cell>
          <cell r="K186" t="str">
            <v>Hotel</v>
          </cell>
          <cell r="L186" t="str">
            <v>07-09-2025 19:35:56</v>
          </cell>
          <cell r="M186" t="str">
            <v xml:space="preserve">Arthama Hotel Makassar - 4.0 Stars  - </v>
          </cell>
          <cell r="N186" t="str">
            <v>TL MAPPING DATA RING DAN GAN</v>
          </cell>
          <cell r="O186">
            <v>7412260</v>
          </cell>
          <cell r="P186" t="str">
            <v>08/09/2025 14:00:00 - 11/09/2025 12:00:00</v>
          </cell>
          <cell r="Q186">
            <v>2275875</v>
          </cell>
        </row>
        <row r="187">
          <cell r="A187">
            <v>1283366776</v>
          </cell>
          <cell r="B187" t="str">
            <v>8710706Z</v>
          </cell>
          <cell r="C187" t="str">
            <v>A. DZAKKY SHUFI</v>
          </cell>
          <cell r="D187">
            <v>87107613</v>
          </cell>
          <cell r="E187">
            <v>4120177631</v>
          </cell>
          <cell r="F187">
            <v>54</v>
          </cell>
          <cell r="G187" t="str">
            <v>Perjalanan Dinas Non-Diklat</v>
          </cell>
          <cell r="H187" t="str">
            <v>Kota Makassar - Jakarta Selatan</v>
          </cell>
          <cell r="I187" t="str">
            <v>08/09/2025 - 12/09/2025</v>
          </cell>
          <cell r="J187">
            <v>5</v>
          </cell>
          <cell r="K187" t="str">
            <v>Hotel</v>
          </cell>
          <cell r="L187" t="str">
            <v>09-09-2025 17:14:38</v>
          </cell>
          <cell r="M187" t="str">
            <v xml:space="preserve">Royal Kuningan Hotel - 4.0 Stars  - </v>
          </cell>
          <cell r="N187" t="str">
            <v>SOF REN DAN</v>
          </cell>
          <cell r="O187">
            <v>7412000</v>
          </cell>
          <cell r="P187" t="str">
            <v>09/09/2025 14:00:00 - 10/09/2025 12:00:00</v>
          </cell>
          <cell r="Q187">
            <v>899200</v>
          </cell>
        </row>
        <row r="188">
          <cell r="A188">
            <v>1283645584</v>
          </cell>
          <cell r="B188" t="str">
            <v>8710706Z</v>
          </cell>
          <cell r="C188" t="str">
            <v>A. DZAKKY SHUFI</v>
          </cell>
          <cell r="D188">
            <v>87107613</v>
          </cell>
          <cell r="E188">
            <v>4120177631</v>
          </cell>
          <cell r="F188">
            <v>54</v>
          </cell>
          <cell r="G188" t="str">
            <v>Perjalanan Dinas Non-Diklat</v>
          </cell>
          <cell r="H188" t="str">
            <v>Kota Makassar - Jakarta Selatan</v>
          </cell>
          <cell r="I188" t="str">
            <v>08/09/2025 - 12/09/2025</v>
          </cell>
          <cell r="J188">
            <v>5</v>
          </cell>
          <cell r="K188" t="str">
            <v>Flight One Way</v>
          </cell>
          <cell r="L188" t="str">
            <v>10-09-2025 19:06:00</v>
          </cell>
          <cell r="M188" t="str">
            <v>Garuda Indonesia  CGK Soekarno Hatta International Airport GA-610 - Garuda Indonesia Domestic UPG Hasanuddin GA-610</v>
          </cell>
          <cell r="N188" t="str">
            <v>SOF REN DAN</v>
          </cell>
          <cell r="O188">
            <v>7412000</v>
          </cell>
          <cell r="P188" t="str">
            <v>11/09/2025 06:55:00 - 11/09/2025 10:30:00</v>
          </cell>
          <cell r="Q188">
            <v>2086800</v>
          </cell>
        </row>
        <row r="189">
          <cell r="A189">
            <v>1283048463</v>
          </cell>
          <cell r="B189" t="str">
            <v>8710706Z</v>
          </cell>
          <cell r="C189" t="str">
            <v>A. DZAKKY SHUFI</v>
          </cell>
          <cell r="D189">
            <v>87107613</v>
          </cell>
          <cell r="E189">
            <v>4120177631</v>
          </cell>
          <cell r="F189">
            <v>54</v>
          </cell>
          <cell r="G189" t="str">
            <v>Perjalanan Dinas Non-Diklat</v>
          </cell>
          <cell r="H189" t="str">
            <v>Kota Makassar - Jakarta Selatan</v>
          </cell>
          <cell r="I189" t="str">
            <v>08/09/2025 - 12/09/2025</v>
          </cell>
          <cell r="J189">
            <v>5</v>
          </cell>
          <cell r="K189" t="str">
            <v>Hotel</v>
          </cell>
          <cell r="L189" t="str">
            <v>08-09-2025 13:23:57</v>
          </cell>
          <cell r="M189" t="str">
            <v xml:space="preserve">HABITARE Rasuna Jakarta - 0.0 Stars  - </v>
          </cell>
          <cell r="N189" t="str">
            <v>SOF REN DAN</v>
          </cell>
          <cell r="O189">
            <v>7412000</v>
          </cell>
          <cell r="P189" t="str">
            <v>08/09/2025 14:00:00 - 09/09/2025 12:00:00</v>
          </cell>
          <cell r="Q189">
            <v>914297</v>
          </cell>
        </row>
        <row r="190">
          <cell r="A190">
            <v>1282901239</v>
          </cell>
          <cell r="B190" t="str">
            <v>8710706Z</v>
          </cell>
          <cell r="C190" t="str">
            <v>A. DZAKKY SHUFI</v>
          </cell>
          <cell r="D190">
            <v>87107613</v>
          </cell>
          <cell r="E190">
            <v>4120177631</v>
          </cell>
          <cell r="F190">
            <v>54</v>
          </cell>
          <cell r="G190" t="str">
            <v>Perjalanan Dinas Non-Diklat</v>
          </cell>
          <cell r="H190" t="str">
            <v>Kota Makassar - Jakarta Selatan</v>
          </cell>
          <cell r="I190" t="str">
            <v>08/09/2025 - 12/09/2025</v>
          </cell>
          <cell r="J190">
            <v>5</v>
          </cell>
          <cell r="K190" t="str">
            <v>Flight One Way</v>
          </cell>
          <cell r="L190" t="str">
            <v>07-09-2025 19:15:50</v>
          </cell>
          <cell r="M190" t="str">
            <v>Garuda Indonesia Domestic UPG Hasanuddin GA-617 - Garuda Indonesia  CGK Soekarno Hatta International Airport GA-617</v>
          </cell>
          <cell r="N190" t="str">
            <v>SOF REN DAN</v>
          </cell>
          <cell r="O190">
            <v>7412000</v>
          </cell>
          <cell r="P190" t="str">
            <v>08/09/2025 07:15:00 - 08/09/2025 08:45:00</v>
          </cell>
          <cell r="Q190">
            <v>2309900</v>
          </cell>
        </row>
        <row r="191">
          <cell r="A191">
            <v>1283991200</v>
          </cell>
          <cell r="B191" t="str">
            <v>96191903ZY</v>
          </cell>
          <cell r="C191" t="str">
            <v>MANSYUR FAHMI</v>
          </cell>
          <cell r="D191">
            <v>96197639</v>
          </cell>
          <cell r="E191">
            <v>4120177627</v>
          </cell>
          <cell r="F191">
            <v>54</v>
          </cell>
          <cell r="G191" t="str">
            <v>Perjalanan Dinas Non-Diklat</v>
          </cell>
          <cell r="H191" t="str">
            <v>Kab. Mamuju - Jakarta Selatan</v>
          </cell>
          <cell r="I191" t="str">
            <v>08/09/2025 - 13/09/2025</v>
          </cell>
          <cell r="J191">
            <v>6</v>
          </cell>
          <cell r="K191" t="str">
            <v>Flight One Way</v>
          </cell>
          <cell r="L191" t="str">
            <v>12-09-2025 09:20:28</v>
          </cell>
          <cell r="M191" t="str">
            <v>Garuda Indonesia  CGK Soekarno Hatta International Airport GA-612 - Garuda Indonesia Domestic UPG Hasanuddin GA-612</v>
          </cell>
          <cell r="N191" t="str">
            <v>TL REN LISDES</v>
          </cell>
          <cell r="O191">
            <v>7412290</v>
          </cell>
          <cell r="P191" t="str">
            <v>12/09/2025 14:25:00 - 12/09/2025 18:00:00</v>
          </cell>
          <cell r="Q191">
            <v>2244000</v>
          </cell>
        </row>
        <row r="192">
          <cell r="A192">
            <v>1282895293</v>
          </cell>
          <cell r="B192" t="str">
            <v>96191903ZY</v>
          </cell>
          <cell r="C192" t="str">
            <v>MANSYUR FAHMI</v>
          </cell>
          <cell r="D192">
            <v>96197639</v>
          </cell>
          <cell r="E192">
            <v>4120177627</v>
          </cell>
          <cell r="F192">
            <v>54</v>
          </cell>
          <cell r="G192" t="str">
            <v>Perjalanan Dinas Non-Diklat</v>
          </cell>
          <cell r="H192" t="str">
            <v>Kab. Mamuju - Jakarta Selatan</v>
          </cell>
          <cell r="I192" t="str">
            <v>08/09/2025 - 13/09/2025</v>
          </cell>
          <cell r="J192">
            <v>6</v>
          </cell>
          <cell r="K192" t="str">
            <v>Flight One Way</v>
          </cell>
          <cell r="L192" t="str">
            <v>07-09-2025 18:45:46</v>
          </cell>
          <cell r="M192" t="str">
            <v>Garuda Indonesia Domestic UPG Hasanuddin GA-605 - Garuda Indonesia  CGK Soekarno Hatta International Airport GA-605</v>
          </cell>
          <cell r="N192" t="str">
            <v>TL REN LISDES</v>
          </cell>
          <cell r="O192">
            <v>7412290</v>
          </cell>
          <cell r="P192" t="str">
            <v>08/09/2025 10:55:00 - 08/09/2025 12:25:00</v>
          </cell>
          <cell r="Q192">
            <v>2341600</v>
          </cell>
        </row>
        <row r="193">
          <cell r="A193">
            <v>1282988798</v>
          </cell>
          <cell r="B193" t="str">
            <v>96191903ZY</v>
          </cell>
          <cell r="C193" t="str">
            <v>MANSYUR FAHMI</v>
          </cell>
          <cell r="D193">
            <v>96197639</v>
          </cell>
          <cell r="E193">
            <v>4120177627</v>
          </cell>
          <cell r="F193">
            <v>54</v>
          </cell>
          <cell r="G193" t="str">
            <v>Perjalanan Dinas Non-Diklat</v>
          </cell>
          <cell r="H193" t="str">
            <v>Kab. Mamuju - Jakarta Selatan</v>
          </cell>
          <cell r="I193" t="str">
            <v>08/09/2025 - 13/09/2025</v>
          </cell>
          <cell r="J193">
            <v>6</v>
          </cell>
          <cell r="K193" t="str">
            <v>Hotel</v>
          </cell>
          <cell r="L193" t="str">
            <v>08-09-2025 09:23:44</v>
          </cell>
          <cell r="M193" t="str">
            <v xml:space="preserve">Pomelotel Patra Kuningan Jakarta - 3.0 Stars  - </v>
          </cell>
          <cell r="N193" t="str">
            <v>TL REN LISDES</v>
          </cell>
          <cell r="O193">
            <v>7412290</v>
          </cell>
          <cell r="P193" t="str">
            <v>08/09/2025 14:00:00 - 13/09/2025 12:00:00</v>
          </cell>
          <cell r="Q193">
            <v>3236185</v>
          </cell>
        </row>
        <row r="194">
          <cell r="A194">
            <v>1282925488</v>
          </cell>
          <cell r="B194" t="str">
            <v>9523326ZY</v>
          </cell>
          <cell r="C194" t="str">
            <v>SHALAHUDDIN ALAYUBI SITANGGANG</v>
          </cell>
          <cell r="D194">
            <v>95237601</v>
          </cell>
          <cell r="E194">
            <v>4120177622</v>
          </cell>
          <cell r="F194">
            <v>54</v>
          </cell>
          <cell r="G194" t="str">
            <v>Perjalanan Dinas Non-Diklat</v>
          </cell>
          <cell r="H194" t="str">
            <v>Kota Baubau - Kab. Muna</v>
          </cell>
          <cell r="I194" t="str">
            <v>08/09/2025 - 11/09/2025</v>
          </cell>
          <cell r="J194">
            <v>4</v>
          </cell>
          <cell r="K194" t="str">
            <v>Hotel</v>
          </cell>
          <cell r="L194" t="str">
            <v>07-09-2025 21:15:45</v>
          </cell>
          <cell r="M194" t="str">
            <v xml:space="preserve">DJ Hotel Raha - 0.0 Stars  - </v>
          </cell>
          <cell r="N194" t="str">
            <v>TC HAR ELEKTRO</v>
          </cell>
          <cell r="O194">
            <v>7412340</v>
          </cell>
          <cell r="P194" t="str">
            <v>08/09/2025 14:00:00 - 10/09/2025 12:00:00</v>
          </cell>
          <cell r="Q194">
            <v>1153800</v>
          </cell>
        </row>
        <row r="195">
          <cell r="A195">
            <v>1282919258</v>
          </cell>
          <cell r="B195" t="str">
            <v>8708045F</v>
          </cell>
          <cell r="C195" t="str">
            <v>FAUZAN HODEIBI HADDAD</v>
          </cell>
          <cell r="D195">
            <v>87087601</v>
          </cell>
          <cell r="E195">
            <v>4120177621</v>
          </cell>
          <cell r="F195">
            <v>54</v>
          </cell>
          <cell r="G195" t="str">
            <v>Perjalanan Dinas Non-Diklat</v>
          </cell>
          <cell r="H195" t="str">
            <v>Kota Makassar - Kota Makassar</v>
          </cell>
          <cell r="I195" t="str">
            <v>08/09/2025 - 11/09/2025</v>
          </cell>
          <cell r="J195">
            <v>4</v>
          </cell>
          <cell r="K195" t="str">
            <v>Flight One Way</v>
          </cell>
          <cell r="L195" t="str">
            <v>07-09-2025 20:44:03</v>
          </cell>
          <cell r="M195" t="str">
            <v>Super Air Jet  UPG Hasanuddin IU-572 - Super Air Jet  BUW Betoambari IU-572</v>
          </cell>
          <cell r="N195" t="str">
            <v>TL MAPPING DATA RING DAN GAN</v>
          </cell>
          <cell r="O195">
            <v>7412280</v>
          </cell>
          <cell r="P195" t="str">
            <v>11/09/2025 13:50:00 - 11/09/2025 14:35:00</v>
          </cell>
          <cell r="Q195">
            <v>844100</v>
          </cell>
        </row>
        <row r="196">
          <cell r="A196">
            <v>1282917847</v>
          </cell>
          <cell r="B196" t="str">
            <v>8708045F</v>
          </cell>
          <cell r="C196" t="str">
            <v>FAUZAN HODEIBI HADDAD</v>
          </cell>
          <cell r="D196">
            <v>87087601</v>
          </cell>
          <cell r="E196">
            <v>4120177621</v>
          </cell>
          <cell r="F196">
            <v>54</v>
          </cell>
          <cell r="G196" t="str">
            <v>Perjalanan Dinas Non-Diklat</v>
          </cell>
          <cell r="H196" t="str">
            <v>Kota Makassar - Kota Makassar</v>
          </cell>
          <cell r="I196" t="str">
            <v>08/09/2025 - 11/09/2025</v>
          </cell>
          <cell r="J196">
            <v>4</v>
          </cell>
          <cell r="K196" t="str">
            <v>Hotel</v>
          </cell>
          <cell r="L196" t="str">
            <v>07-09-2025 20:36:36</v>
          </cell>
          <cell r="M196" t="str">
            <v xml:space="preserve">Swiss-Belinn Panakkukang - 4.0 Stars  - </v>
          </cell>
          <cell r="N196" t="str">
            <v>TL MAPPING DATA RING DAN GAN</v>
          </cell>
          <cell r="O196">
            <v>7412280</v>
          </cell>
          <cell r="P196" t="str">
            <v>08/09/2025 14:00:00 - 11/09/2025 12:00:00</v>
          </cell>
          <cell r="Q196">
            <v>2040000</v>
          </cell>
        </row>
        <row r="197">
          <cell r="A197">
            <v>1282878877</v>
          </cell>
          <cell r="B197" t="str">
            <v>8708045F</v>
          </cell>
          <cell r="C197" t="str">
            <v>FAUZAN HODEIBI HADDAD</v>
          </cell>
          <cell r="D197">
            <v>87087601</v>
          </cell>
          <cell r="E197">
            <v>4120177621</v>
          </cell>
          <cell r="F197">
            <v>54</v>
          </cell>
          <cell r="G197" t="str">
            <v>Perjalanan Dinas Non-Diklat</v>
          </cell>
          <cell r="H197" t="str">
            <v>Kota Makassar - Kota Makassar</v>
          </cell>
          <cell r="I197" t="str">
            <v>08/09/2025 - 11/09/2025</v>
          </cell>
          <cell r="J197">
            <v>4</v>
          </cell>
          <cell r="K197" t="str">
            <v>Flight One Way</v>
          </cell>
          <cell r="L197" t="str">
            <v>07-09-2025 17:22:06</v>
          </cell>
          <cell r="M197" t="str">
            <v>Wings Air  BUW Betoambari IW-1305 - Wings Air Domestic UPG Hasanuddin IW-1305</v>
          </cell>
          <cell r="N197" t="str">
            <v>TL MAPPING DATA RING DAN GAN</v>
          </cell>
          <cell r="O197">
            <v>7412280</v>
          </cell>
          <cell r="P197" t="str">
            <v>08/09/2025 06:30:00 - 08/09/2025 07:40:00</v>
          </cell>
          <cell r="Q197">
            <v>1139700</v>
          </cell>
        </row>
        <row r="198">
          <cell r="A198">
            <v>1283699188</v>
          </cell>
          <cell r="B198" t="str">
            <v>8812188ZY</v>
          </cell>
          <cell r="C198" t="str">
            <v>JULYANZAH PERDANA PUTRA</v>
          </cell>
          <cell r="D198">
            <v>88128002</v>
          </cell>
          <cell r="E198">
            <v>4120177614</v>
          </cell>
          <cell r="F198">
            <v>54</v>
          </cell>
          <cell r="G198" t="str">
            <v>Perjalanan Dinas Non-Diklat</v>
          </cell>
          <cell r="H198" t="str">
            <v>Kota Makassar - Kota Surabaya</v>
          </cell>
          <cell r="I198" t="str">
            <v>08/09/2025 - 13/09/2025</v>
          </cell>
          <cell r="J198">
            <v>6</v>
          </cell>
          <cell r="K198" t="str">
            <v>Hotel</v>
          </cell>
          <cell r="L198" t="str">
            <v>10-09-2025 23:07:15</v>
          </cell>
          <cell r="M198" t="str">
            <v xml:space="preserve">Crown Prince Hotel Surabaya managed by Midtown Indonesia Hotels - 4.0 Stars  - </v>
          </cell>
          <cell r="N198" t="str">
            <v>SOF REN SIS KELIST</v>
          </cell>
          <cell r="O198">
            <v>7412112</v>
          </cell>
          <cell r="P198" t="str">
            <v>11/09/2025 14:00:00 - 12/09/2025 12:00:00</v>
          </cell>
          <cell r="Q198">
            <v>793800</v>
          </cell>
        </row>
        <row r="199">
          <cell r="A199">
            <v>1283034628</v>
          </cell>
          <cell r="B199" t="str">
            <v>8812188ZY</v>
          </cell>
          <cell r="C199" t="str">
            <v>JULYANZAH PERDANA PUTRA</v>
          </cell>
          <cell r="D199">
            <v>88128002</v>
          </cell>
          <cell r="E199">
            <v>4120177614</v>
          </cell>
          <cell r="F199">
            <v>54</v>
          </cell>
          <cell r="G199" t="str">
            <v>Perjalanan Dinas Non-Diklat</v>
          </cell>
          <cell r="H199" t="str">
            <v>Kota Makassar - Kota Surabaya</v>
          </cell>
          <cell r="I199" t="str">
            <v>08/09/2025 - 13/09/2025</v>
          </cell>
          <cell r="J199">
            <v>6</v>
          </cell>
          <cell r="K199" t="str">
            <v>Hotel</v>
          </cell>
          <cell r="L199" t="str">
            <v>08-09-2025 12:29:44</v>
          </cell>
          <cell r="M199" t="str">
            <v xml:space="preserve">Crown Prince Hotel Surabaya managed by Midtown Indonesia Hotels - 4.0 Stars  - </v>
          </cell>
          <cell r="N199" t="str">
            <v>SOF REN SIS KELIST</v>
          </cell>
          <cell r="O199">
            <v>7412112</v>
          </cell>
          <cell r="P199" t="str">
            <v>09/09/2025 14:00:00 - 11/09/2025 12:00:00</v>
          </cell>
          <cell r="Q199">
            <v>1587600</v>
          </cell>
        </row>
        <row r="200">
          <cell r="A200">
            <v>1282961406</v>
          </cell>
          <cell r="B200" t="str">
            <v>8812188ZY</v>
          </cell>
          <cell r="C200" t="str">
            <v>JULYANZAH PERDANA PUTRA</v>
          </cell>
          <cell r="D200">
            <v>88128002</v>
          </cell>
          <cell r="E200">
            <v>4120177614</v>
          </cell>
          <cell r="F200">
            <v>54</v>
          </cell>
          <cell r="G200" t="str">
            <v>Perjalanan Dinas Non-Diklat</v>
          </cell>
          <cell r="H200" t="str">
            <v>Kota Makassar - Kota Surabaya</v>
          </cell>
          <cell r="I200" t="str">
            <v>08/09/2025 - 13/09/2025</v>
          </cell>
          <cell r="J200">
            <v>6</v>
          </cell>
          <cell r="K200" t="str">
            <v>Flight One Way</v>
          </cell>
          <cell r="L200" t="str">
            <v>08-09-2025 05:32:12</v>
          </cell>
          <cell r="M200" t="str">
            <v>Citilink Domestic UPG Hasanuddin QG-351 - Citilink 1A SUB Juanda QG-351</v>
          </cell>
          <cell r="N200" t="str">
            <v>SOF REN SIS KELIST</v>
          </cell>
          <cell r="O200">
            <v>7412112</v>
          </cell>
          <cell r="P200" t="str">
            <v>09/09/2025 09:05:00 - 09/09/2025 09:40:00</v>
          </cell>
          <cell r="Q200">
            <v>1065100</v>
          </cell>
        </row>
        <row r="201">
          <cell r="A201">
            <v>1284009029</v>
          </cell>
          <cell r="B201" t="str">
            <v>8812188ZY</v>
          </cell>
          <cell r="C201" t="str">
            <v>JULYANZAH PERDANA PUTRA</v>
          </cell>
          <cell r="D201">
            <v>88128002</v>
          </cell>
          <cell r="E201">
            <v>4120177614</v>
          </cell>
          <cell r="F201">
            <v>54</v>
          </cell>
          <cell r="G201" t="str">
            <v>Perjalanan Dinas Non-Diklat</v>
          </cell>
          <cell r="H201" t="str">
            <v>Kota Makassar - Kota Surabaya</v>
          </cell>
          <cell r="I201" t="str">
            <v>08/09/2025 - 13/09/2025</v>
          </cell>
          <cell r="J201">
            <v>6</v>
          </cell>
          <cell r="K201" t="str">
            <v>Hotel</v>
          </cell>
          <cell r="L201" t="str">
            <v>12-09-2025 10:34:32</v>
          </cell>
          <cell r="M201" t="str">
            <v xml:space="preserve">The Alana Surabaya - 4.0 Stars  - </v>
          </cell>
          <cell r="N201" t="str">
            <v>SOF REN SIS KELIST</v>
          </cell>
          <cell r="O201">
            <v>7412112</v>
          </cell>
          <cell r="P201" t="str">
            <v>12/09/2025 14:00:00 - 13/09/2025 12:00:00</v>
          </cell>
          <cell r="Q201">
            <v>916617</v>
          </cell>
        </row>
        <row r="202">
          <cell r="A202">
            <v>1283861388</v>
          </cell>
          <cell r="B202" t="str">
            <v>8812188ZY</v>
          </cell>
          <cell r="C202" t="str">
            <v>JULYANZAH PERDANA PUTRA</v>
          </cell>
          <cell r="D202">
            <v>88128002</v>
          </cell>
          <cell r="E202">
            <v>4120177614</v>
          </cell>
          <cell r="F202">
            <v>54</v>
          </cell>
          <cell r="G202" t="str">
            <v>Perjalanan Dinas Non-Diklat</v>
          </cell>
          <cell r="H202" t="str">
            <v>Kota Makassar - Kota Surabaya</v>
          </cell>
          <cell r="I202" t="str">
            <v>08/09/2025 - 13/09/2025</v>
          </cell>
          <cell r="J202">
            <v>6</v>
          </cell>
          <cell r="K202" t="str">
            <v>Flight One Way</v>
          </cell>
          <cell r="L202" t="str">
            <v>11-09-2025 17:08:44</v>
          </cell>
          <cell r="M202" t="str">
            <v>Lion Air 1A SUB Juanda JT-882 - Lion Air Domestic UPG Hasanuddin JT-882</v>
          </cell>
          <cell r="N202" t="str">
            <v>SOF REN SIS KELIST</v>
          </cell>
          <cell r="O202">
            <v>7412112</v>
          </cell>
          <cell r="P202" t="str">
            <v>13/09/2025 06:00:00 - 13/09/2025 08:30:00</v>
          </cell>
          <cell r="Q202">
            <v>1233800</v>
          </cell>
        </row>
        <row r="203">
          <cell r="A203">
            <v>1283762773</v>
          </cell>
          <cell r="B203" t="str">
            <v>95191268ZY</v>
          </cell>
          <cell r="C203" t="str">
            <v>MUH. HUSHARDI HUSAIN</v>
          </cell>
          <cell r="D203">
            <v>95197608</v>
          </cell>
          <cell r="E203">
            <v>4120177613</v>
          </cell>
          <cell r="F203">
            <v>54</v>
          </cell>
          <cell r="G203" t="str">
            <v>Perjalanan Dinas Diklat</v>
          </cell>
          <cell r="H203" t="str">
            <v>Kab. Mamuju - Kota Cilegon</v>
          </cell>
          <cell r="I203" t="str">
            <v>07/09/2025 - 12/09/2025</v>
          </cell>
          <cell r="J203">
            <v>6</v>
          </cell>
          <cell r="K203" t="str">
            <v>Flight One Way</v>
          </cell>
          <cell r="L203" t="str">
            <v>11-09-2025 10:19:09</v>
          </cell>
          <cell r="M203" t="str">
            <v>Batik Air 2D CGK Soekarno Hatta International Airport ID-6264 - Batik Air  MJU Tampa Padang ID-6264</v>
          </cell>
          <cell r="N203" t="str">
            <v>TL KONS LISDES</v>
          </cell>
          <cell r="O203">
            <v>7412290</v>
          </cell>
          <cell r="P203" t="str">
            <v>12/09/2025 02:20:00 - 12/09/2025 10:55:00</v>
          </cell>
          <cell r="Q203">
            <v>2199300</v>
          </cell>
        </row>
        <row r="204">
          <cell r="A204">
            <v>1282578012</v>
          </cell>
          <cell r="B204" t="str">
            <v>95191268ZY</v>
          </cell>
          <cell r="C204" t="str">
            <v>MUH. HUSHARDI HUSAIN</v>
          </cell>
          <cell r="D204">
            <v>95197608</v>
          </cell>
          <cell r="E204">
            <v>4120177613</v>
          </cell>
          <cell r="F204">
            <v>54</v>
          </cell>
          <cell r="G204" t="str">
            <v>Perjalanan Dinas Diklat</v>
          </cell>
          <cell r="H204" t="str">
            <v>Kab. Mamuju - Kota Cilegon</v>
          </cell>
          <cell r="I204" t="str">
            <v>07/09/2025 - 12/09/2025</v>
          </cell>
          <cell r="J204">
            <v>6</v>
          </cell>
          <cell r="K204" t="str">
            <v>Flight One Way</v>
          </cell>
          <cell r="L204" t="str">
            <v>06-09-2025 12:09:51</v>
          </cell>
          <cell r="M204" t="str">
            <v>Batik Air  MJU Tampa Padang ID-6789 - Batik Air 1A CGK Soekarno Hatta International Airport ID-6789</v>
          </cell>
          <cell r="N204" t="str">
            <v>TL KONS LISDES</v>
          </cell>
          <cell r="O204">
            <v>7412290</v>
          </cell>
          <cell r="P204" t="str">
            <v>07/09/2025 11:35:00 - 07/09/2025 14:45:00</v>
          </cell>
          <cell r="Q204">
            <v>2510100</v>
          </cell>
        </row>
        <row r="205">
          <cell r="A205">
            <v>1283272908</v>
          </cell>
          <cell r="B205" t="str">
            <v>7695026G</v>
          </cell>
          <cell r="C205" t="str">
            <v>HUSEN SOBRI</v>
          </cell>
          <cell r="D205">
            <v>76957800</v>
          </cell>
          <cell r="E205">
            <v>4120177612</v>
          </cell>
          <cell r="F205">
            <v>54</v>
          </cell>
          <cell r="G205" t="str">
            <v>Perjalanan Dinas Non-Diklat</v>
          </cell>
          <cell r="H205" t="str">
            <v>Kota Makassar - Kab. Bogor</v>
          </cell>
          <cell r="I205" t="str">
            <v>07/09/2025 - 10/09/2025</v>
          </cell>
          <cell r="J205">
            <v>4</v>
          </cell>
          <cell r="K205" t="str">
            <v>Flight One Way</v>
          </cell>
          <cell r="L205" t="str">
            <v>09-09-2025 11:12:38</v>
          </cell>
          <cell r="M205" t="str">
            <v>Garuda Indonesia  CGK Soekarno Hatta International Airport GA-616 - Garuda Indonesia Domestic UPG Hasanuddin GA-616</v>
          </cell>
          <cell r="N205" t="str">
            <v>SM DIST</v>
          </cell>
          <cell r="O205">
            <v>7412000</v>
          </cell>
          <cell r="P205" t="str">
            <v>09/09/2025 17:30:00 - 09/09/2025 21:05:00</v>
          </cell>
          <cell r="Q205">
            <v>1874200</v>
          </cell>
        </row>
        <row r="206">
          <cell r="A206">
            <v>1282576311</v>
          </cell>
          <cell r="B206" t="str">
            <v>7695026G</v>
          </cell>
          <cell r="C206" t="str">
            <v>HUSEN SOBRI</v>
          </cell>
          <cell r="D206">
            <v>76957800</v>
          </cell>
          <cell r="E206">
            <v>4120177612</v>
          </cell>
          <cell r="F206">
            <v>54</v>
          </cell>
          <cell r="G206" t="str">
            <v>Perjalanan Dinas Non-Diklat</v>
          </cell>
          <cell r="H206" t="str">
            <v>Kota Makassar - Kab. Bogor</v>
          </cell>
          <cell r="I206" t="str">
            <v>07/09/2025 - 10/09/2025</v>
          </cell>
          <cell r="J206">
            <v>4</v>
          </cell>
          <cell r="K206" t="str">
            <v>Flight One Way</v>
          </cell>
          <cell r="L206" t="str">
            <v>06-09-2025 12:03:41</v>
          </cell>
          <cell r="M206" t="str">
            <v>Garuda Indonesia Domestic UPG Hasanuddin GA-641 - Garuda Indonesia  CGK Soekarno Hatta International Airport GA-641</v>
          </cell>
          <cell r="N206" t="str">
            <v>SM DIST</v>
          </cell>
          <cell r="O206">
            <v>7412000</v>
          </cell>
          <cell r="P206" t="str">
            <v>07/09/2025 12:15:00 - 07/09/2025 13:40:00</v>
          </cell>
          <cell r="Q206">
            <v>2347100</v>
          </cell>
        </row>
        <row r="207">
          <cell r="A207">
            <v>1282367476</v>
          </cell>
          <cell r="B207" t="str">
            <v>7695026G</v>
          </cell>
          <cell r="C207" t="str">
            <v>HUSEN SOBRI</v>
          </cell>
          <cell r="D207">
            <v>76957800</v>
          </cell>
          <cell r="E207">
            <v>4120177612</v>
          </cell>
          <cell r="F207">
            <v>54</v>
          </cell>
          <cell r="G207" t="str">
            <v>Perjalanan Dinas Non-Diklat</v>
          </cell>
          <cell r="H207" t="str">
            <v>Kota Makassar - Kab. Bogor</v>
          </cell>
          <cell r="I207" t="str">
            <v>07/09/2025 - 10/09/2025</v>
          </cell>
          <cell r="J207">
            <v>4</v>
          </cell>
          <cell r="K207" t="str">
            <v>Hotel</v>
          </cell>
          <cell r="L207" t="str">
            <v>05-09-2025 15:32:40</v>
          </cell>
          <cell r="M207" t="str">
            <v xml:space="preserve">Hotel Santika Bogor - 3.0 Stars  - </v>
          </cell>
          <cell r="N207" t="str">
            <v>SM DIST</v>
          </cell>
          <cell r="O207">
            <v>7412000</v>
          </cell>
          <cell r="P207" t="str">
            <v>07/09/2025 14:00:00 - 09/09/2025 12:00:00</v>
          </cell>
          <cell r="Q207">
            <v>1804000</v>
          </cell>
        </row>
        <row r="208">
          <cell r="A208">
            <v>1283278295</v>
          </cell>
          <cell r="B208" t="str">
            <v>8509308Z</v>
          </cell>
          <cell r="C208" t="str">
            <v>LELY SRIHANDAYANI</v>
          </cell>
          <cell r="D208">
            <v>85097604</v>
          </cell>
          <cell r="E208">
            <v>4120177608</v>
          </cell>
          <cell r="F208">
            <v>54</v>
          </cell>
          <cell r="G208" t="str">
            <v>Perjalanan Dinas Non-Diklat</v>
          </cell>
          <cell r="H208" t="str">
            <v>Kota Makassar - Kota Bogor</v>
          </cell>
          <cell r="I208" t="str">
            <v>08/09/2025 - 10/09/2025</v>
          </cell>
          <cell r="J208">
            <v>3</v>
          </cell>
          <cell r="K208" t="str">
            <v>Hotel</v>
          </cell>
          <cell r="L208" t="str">
            <v>09-09-2025 11:29:47</v>
          </cell>
          <cell r="M208" t="str">
            <v xml:space="preserve">THE 1O1 Jakarta Airport CBC - 4.0 Stars  - </v>
          </cell>
          <cell r="N208" t="str">
            <v>SOF OP DAN HAR SIS DIST</v>
          </cell>
          <cell r="O208">
            <v>7412000</v>
          </cell>
          <cell r="P208" t="str">
            <v>09/09/2025 14:00:00 - 10/09/2025 12:00:00</v>
          </cell>
          <cell r="Q208">
            <v>990000</v>
          </cell>
        </row>
        <row r="209">
          <cell r="A209">
            <v>1282462092</v>
          </cell>
          <cell r="B209" t="str">
            <v>8509308Z</v>
          </cell>
          <cell r="C209" t="str">
            <v>LELY SRIHANDAYANI</v>
          </cell>
          <cell r="D209">
            <v>85097604</v>
          </cell>
          <cell r="E209">
            <v>4120177608</v>
          </cell>
          <cell r="F209">
            <v>54</v>
          </cell>
          <cell r="G209" t="str">
            <v>Perjalanan Dinas Non-Diklat</v>
          </cell>
          <cell r="H209" t="str">
            <v>Kota Makassar - Kota Bogor</v>
          </cell>
          <cell r="I209" t="str">
            <v>08/09/2025 - 10/09/2025</v>
          </cell>
          <cell r="J209">
            <v>3</v>
          </cell>
          <cell r="K209" t="str">
            <v>Hotel</v>
          </cell>
          <cell r="L209" t="str">
            <v>05-09-2025 21:54:30</v>
          </cell>
          <cell r="M209" t="str">
            <v xml:space="preserve">Nemuru Grand Bhuvana Ciawi - 4.0 Stars  - </v>
          </cell>
          <cell r="N209" t="str">
            <v>SOF OP DAN HAR SIS DIST</v>
          </cell>
          <cell r="O209">
            <v>7412000</v>
          </cell>
          <cell r="P209" t="str">
            <v>08/09/2025 14:00:00 - 09/09/2025 12:00:00</v>
          </cell>
          <cell r="Q209">
            <v>926640</v>
          </cell>
        </row>
        <row r="210">
          <cell r="A210">
            <v>1282375469</v>
          </cell>
          <cell r="B210" t="str">
            <v>8509308Z</v>
          </cell>
          <cell r="C210" t="str">
            <v>LELY SRIHANDAYANI</v>
          </cell>
          <cell r="D210">
            <v>85097604</v>
          </cell>
          <cell r="E210">
            <v>4120177608</v>
          </cell>
          <cell r="F210">
            <v>54</v>
          </cell>
          <cell r="G210" t="str">
            <v>Perjalanan Dinas Non-Diklat</v>
          </cell>
          <cell r="H210" t="str">
            <v>Kota Makassar - Kota Bogor</v>
          </cell>
          <cell r="I210" t="str">
            <v>08/09/2025 - 10/09/2025</v>
          </cell>
          <cell r="J210">
            <v>3</v>
          </cell>
          <cell r="K210" t="str">
            <v>Flight One Way</v>
          </cell>
          <cell r="L210" t="str">
            <v>05-09-2025 16:03:57</v>
          </cell>
          <cell r="M210" t="str">
            <v>Garuda Indonesia Domestic UPG Hasanuddin GA-613 - Garuda Indonesia  CGK Soekarno Hatta International Airport GA-613</v>
          </cell>
          <cell r="N210" t="str">
            <v>SOF OP DAN HAR SIS DIST</v>
          </cell>
          <cell r="O210">
            <v>7412000</v>
          </cell>
          <cell r="P210" t="str">
            <v>08/09/2025 13:00:00 - 08/09/2025 14:25:00</v>
          </cell>
          <cell r="Q210">
            <v>2341600</v>
          </cell>
        </row>
        <row r="211">
          <cell r="A211">
            <v>1282997884</v>
          </cell>
          <cell r="B211" t="str">
            <v>8509308Z</v>
          </cell>
          <cell r="C211" t="str">
            <v>LELY SRIHANDAYANI</v>
          </cell>
          <cell r="D211">
            <v>85097604</v>
          </cell>
          <cell r="E211">
            <v>4120177608</v>
          </cell>
          <cell r="F211">
            <v>54</v>
          </cell>
          <cell r="G211" t="str">
            <v>Perjalanan Dinas Non-Diklat</v>
          </cell>
          <cell r="H211" t="str">
            <v>Kota Makassar - Kota Bogor</v>
          </cell>
          <cell r="I211" t="str">
            <v>08/09/2025 - 10/09/2025</v>
          </cell>
          <cell r="J211">
            <v>3</v>
          </cell>
          <cell r="K211" t="str">
            <v>Flight One Way</v>
          </cell>
          <cell r="L211" t="str">
            <v>08-09-2025 10:05:04</v>
          </cell>
          <cell r="M211" t="str">
            <v>Garuda Indonesia  CGK Soekarno Hatta International Airport GA-640 - Garuda Indonesia Domestic UPG Hasanuddin GA-640</v>
          </cell>
          <cell r="N211" t="str">
            <v>SOF OP DAN HAR SIS DIST</v>
          </cell>
          <cell r="O211">
            <v>7412000</v>
          </cell>
          <cell r="P211" t="str">
            <v>10/09/2025 07:55:00 - 10/09/2025 11:30:00</v>
          </cell>
          <cell r="Q211">
            <v>2370400</v>
          </cell>
        </row>
        <row r="212">
          <cell r="A212">
            <v>1283267596</v>
          </cell>
          <cell r="B212" t="str">
            <v>9620548ZY</v>
          </cell>
          <cell r="C212" t="str">
            <v>BAGUS ALBARANU YULIATMOKO</v>
          </cell>
          <cell r="D212">
            <v>96207604</v>
          </cell>
          <cell r="E212">
            <v>4120177607</v>
          </cell>
          <cell r="F212">
            <v>54</v>
          </cell>
          <cell r="G212" t="str">
            <v>Perjalanan Dinas Non-Diklat</v>
          </cell>
          <cell r="H212" t="str">
            <v>Kota Makassar - Kab. Bogor</v>
          </cell>
          <cell r="I212" t="str">
            <v>08/09/2025 - 10/09/2025</v>
          </cell>
          <cell r="J212">
            <v>3</v>
          </cell>
          <cell r="K212" t="str">
            <v>Flight One Way</v>
          </cell>
          <cell r="L212" t="str">
            <v>09-09-2025 10:57:01</v>
          </cell>
          <cell r="M212" t="str">
            <v>Garuda Indonesia  CGK Soekarno Hatta International Airport GA-604 - Garuda Indonesia Domestic UPG Hasanuddin GA-604</v>
          </cell>
          <cell r="N212" t="str">
            <v>OF OP DAN HAR SIS DIST</v>
          </cell>
          <cell r="O212">
            <v>7412000</v>
          </cell>
          <cell r="P212" t="str">
            <v>10/09/2025 02:50:00 - 10/09/2025 06:25:00</v>
          </cell>
          <cell r="Q212">
            <v>2232900</v>
          </cell>
        </row>
        <row r="213">
          <cell r="A213">
            <v>1282422174</v>
          </cell>
          <cell r="B213" t="str">
            <v>9620548ZY</v>
          </cell>
          <cell r="C213" t="str">
            <v>BAGUS ALBARANU YULIATMOKO</v>
          </cell>
          <cell r="D213">
            <v>96207604</v>
          </cell>
          <cell r="E213">
            <v>4120177607</v>
          </cell>
          <cell r="F213">
            <v>54</v>
          </cell>
          <cell r="G213" t="str">
            <v>Perjalanan Dinas Non-Diklat</v>
          </cell>
          <cell r="H213" t="str">
            <v>Kota Makassar - Kab. Bogor</v>
          </cell>
          <cell r="I213" t="str">
            <v>08/09/2025 - 10/09/2025</v>
          </cell>
          <cell r="J213">
            <v>3</v>
          </cell>
          <cell r="K213" t="str">
            <v>Hotel</v>
          </cell>
          <cell r="L213" t="str">
            <v>05-09-2025 19:11:59</v>
          </cell>
          <cell r="M213" t="str">
            <v xml:space="preserve">Nemuru Grand Bhuvana Ciawi - 4.0 Stars  - </v>
          </cell>
          <cell r="N213" t="str">
            <v>OF OP DAN HAR SIS DIST</v>
          </cell>
          <cell r="O213">
            <v>7412000</v>
          </cell>
          <cell r="P213" t="str">
            <v>08/09/2025 14:00:00 - 09/09/2025 12:00:00</v>
          </cell>
          <cell r="Q213">
            <v>705000</v>
          </cell>
        </row>
        <row r="214">
          <cell r="A214">
            <v>1283290367</v>
          </cell>
          <cell r="B214" t="str">
            <v>9620548ZY</v>
          </cell>
          <cell r="C214" t="str">
            <v>BAGUS ALBARANU YULIATMOKO</v>
          </cell>
          <cell r="D214">
            <v>96207604</v>
          </cell>
          <cell r="E214">
            <v>4120177607</v>
          </cell>
          <cell r="F214">
            <v>54</v>
          </cell>
          <cell r="G214" t="str">
            <v>Perjalanan Dinas Non-Diklat</v>
          </cell>
          <cell r="H214" t="str">
            <v>Kota Makassar - Kab. Bogor</v>
          </cell>
          <cell r="I214" t="str">
            <v>08/09/2025 - 10/09/2025</v>
          </cell>
          <cell r="J214">
            <v>3</v>
          </cell>
          <cell r="K214" t="str">
            <v>Hotel</v>
          </cell>
          <cell r="L214" t="str">
            <v>09-09-2025 12:13:09</v>
          </cell>
          <cell r="M214" t="str">
            <v xml:space="preserve">THE 1O1 Jakarta Airport CBC - 4.0 Stars  - </v>
          </cell>
          <cell r="N214" t="str">
            <v>OF OP DAN HAR SIS DIST</v>
          </cell>
          <cell r="O214">
            <v>7412000</v>
          </cell>
          <cell r="P214" t="str">
            <v>09/09/2025 14:00:00 - 10/09/2025 12:00:00</v>
          </cell>
          <cell r="Q214">
            <v>840000</v>
          </cell>
        </row>
        <row r="215">
          <cell r="A215">
            <v>1282448709</v>
          </cell>
          <cell r="B215" t="str">
            <v>9620548ZY</v>
          </cell>
          <cell r="C215" t="str">
            <v>BAGUS ALBARANU YULIATMOKO</v>
          </cell>
          <cell r="D215">
            <v>96207604</v>
          </cell>
          <cell r="E215">
            <v>4120177607</v>
          </cell>
          <cell r="F215">
            <v>54</v>
          </cell>
          <cell r="G215" t="str">
            <v>Perjalanan Dinas Non-Diklat</v>
          </cell>
          <cell r="H215" t="str">
            <v>Kota Makassar - Kab. Bogor</v>
          </cell>
          <cell r="I215" t="str">
            <v>08/09/2025 - 10/09/2025</v>
          </cell>
          <cell r="J215">
            <v>3</v>
          </cell>
          <cell r="K215" t="str">
            <v>Flight One Way</v>
          </cell>
          <cell r="L215" t="str">
            <v>05-09-2025 20:57:46</v>
          </cell>
          <cell r="M215" t="str">
            <v>Garuda Indonesia Domestic UPG Hasanuddin GA-611 - Garuda Indonesia  CGK Soekarno Hatta International Airport GA-611</v>
          </cell>
          <cell r="N215" t="str">
            <v>OF OP DAN HAR SIS DIST</v>
          </cell>
          <cell r="O215">
            <v>7412000</v>
          </cell>
          <cell r="P215" t="str">
            <v>08/09/2025 11:20:00 - 08/09/2025 12:45:00</v>
          </cell>
          <cell r="Q215">
            <v>2294000</v>
          </cell>
        </row>
        <row r="216">
          <cell r="A216">
            <v>1282579712</v>
          </cell>
          <cell r="B216" t="str">
            <v>93151392ZY</v>
          </cell>
          <cell r="C216" t="str">
            <v>SITTI FAUZIAH AHMAD</v>
          </cell>
          <cell r="D216">
            <v>93157614</v>
          </cell>
          <cell r="E216">
            <v>4120177606</v>
          </cell>
          <cell r="F216">
            <v>54</v>
          </cell>
          <cell r="G216" t="str">
            <v>Perjalanan Dinas Non-Diklat</v>
          </cell>
          <cell r="H216" t="str">
            <v>Kota Makassar - Kab. Bogor</v>
          </cell>
          <cell r="I216" t="str">
            <v>07/09/2025 - 10/09/2025</v>
          </cell>
          <cell r="J216">
            <v>4</v>
          </cell>
          <cell r="K216" t="str">
            <v>Flight One Way</v>
          </cell>
          <cell r="L216" t="str">
            <v>06-09-2025 12:15:39</v>
          </cell>
          <cell r="M216" t="str">
            <v>Garuda Indonesia Domestic UPG Hasanuddin GA-641 - Garuda Indonesia  CGK Soekarno Hatta International Airport GA-641</v>
          </cell>
          <cell r="N216" t="str">
            <v>OF DAL P2TL</v>
          </cell>
          <cell r="O216">
            <v>7412000</v>
          </cell>
          <cell r="P216" t="str">
            <v>07/09/2025 12:15:00 - 07/09/2025 13:40:00</v>
          </cell>
          <cell r="Q216">
            <v>2335900</v>
          </cell>
        </row>
        <row r="217">
          <cell r="A217">
            <v>1283258169</v>
          </cell>
          <cell r="B217" t="str">
            <v>93151392ZY</v>
          </cell>
          <cell r="C217" t="str">
            <v>SITTI FAUZIAH AHMAD</v>
          </cell>
          <cell r="D217">
            <v>93157614</v>
          </cell>
          <cell r="E217">
            <v>4120177606</v>
          </cell>
          <cell r="F217">
            <v>54</v>
          </cell>
          <cell r="G217" t="str">
            <v>Perjalanan Dinas Non-Diklat</v>
          </cell>
          <cell r="H217" t="str">
            <v>Kota Makassar - Kab. Bogor</v>
          </cell>
          <cell r="I217" t="str">
            <v>07/09/2025 - 10/09/2025</v>
          </cell>
          <cell r="J217">
            <v>4</v>
          </cell>
          <cell r="K217" t="str">
            <v>Flight One Way</v>
          </cell>
          <cell r="L217" t="str">
            <v>09-09-2025 10:24:15</v>
          </cell>
          <cell r="M217" t="str">
            <v>Garuda Indonesia  CGK Soekarno Hatta International Airport GA-612 - Garuda Indonesia Domestic UPG Hasanuddin GA-612</v>
          </cell>
          <cell r="N217" t="str">
            <v>OF DAL P2TL</v>
          </cell>
          <cell r="O217">
            <v>7412000</v>
          </cell>
          <cell r="P217" t="str">
            <v>10/09/2025 14:25:00 - 10/09/2025 18:00:00</v>
          </cell>
          <cell r="Q217">
            <v>2235500</v>
          </cell>
        </row>
        <row r="218">
          <cell r="A218">
            <v>1282362057</v>
          </cell>
          <cell r="B218" t="str">
            <v>8809009F</v>
          </cell>
          <cell r="C218" t="str">
            <v>ISKANDAR AZHAR</v>
          </cell>
          <cell r="D218">
            <v>88097609</v>
          </cell>
          <cell r="E218">
            <v>4120177611</v>
          </cell>
          <cell r="F218">
            <v>54</v>
          </cell>
          <cell r="G218" t="str">
            <v>Perjalanan Dinas Non-Diklat</v>
          </cell>
          <cell r="H218" t="str">
            <v>KotaMakassar-KotaBogor</v>
          </cell>
          <cell r="I218" t="str">
            <v>07/09/2025 - 10/09/2025</v>
          </cell>
          <cell r="J218">
            <v>4</v>
          </cell>
          <cell r="K218" t="str">
            <v>Hotel</v>
          </cell>
          <cell r="L218" t="str">
            <v>05-09-2025 15:12:21</v>
          </cell>
          <cell r="M218" t="str">
            <v xml:space="preserve">Hotel Santika Bogor - 3.0 Stars  - </v>
          </cell>
          <cell r="N218" t="str">
            <v>ASMAN P2TL</v>
          </cell>
          <cell r="O218">
            <v>7412000</v>
          </cell>
          <cell r="P218" t="str">
            <v>07/09/2025 14:00:00 - 09/09/2025 12:00:00</v>
          </cell>
          <cell r="Q218">
            <v>1804000</v>
          </cell>
        </row>
        <row r="219">
          <cell r="A219">
            <v>1283269952</v>
          </cell>
          <cell r="B219" t="str">
            <v>8809009F</v>
          </cell>
          <cell r="C219" t="str">
            <v>ISKANDAR AZHAR</v>
          </cell>
          <cell r="D219">
            <v>88097609</v>
          </cell>
          <cell r="E219">
            <v>4120177611</v>
          </cell>
          <cell r="F219">
            <v>54</v>
          </cell>
          <cell r="G219" t="str">
            <v>Perjalanan Dinas Non-Diklat</v>
          </cell>
          <cell r="H219" t="str">
            <v>KotaMakassar-KotaBogor</v>
          </cell>
          <cell r="I219" t="str">
            <v>07/09/2025 - 10/09/2025</v>
          </cell>
          <cell r="J219">
            <v>4</v>
          </cell>
          <cell r="K219" t="str">
            <v>Flight One Way</v>
          </cell>
          <cell r="L219" t="str">
            <v>09-09-2025 11:04:38</v>
          </cell>
          <cell r="M219" t="str">
            <v>Garuda Indonesia  CGK Soekarno Hatta International Airport GA-612 - Garuda Indonesia Domestic UPG Hasanuddin GA-612</v>
          </cell>
          <cell r="N219" t="str">
            <v>ASMAN P2TL</v>
          </cell>
          <cell r="O219">
            <v>7412000</v>
          </cell>
          <cell r="P219" t="str">
            <v>10/09/2025 14:25:00 - 10/09/2025 18:00:00</v>
          </cell>
          <cell r="Q219">
            <v>2235500</v>
          </cell>
        </row>
        <row r="220">
          <cell r="A220">
            <v>1282579388</v>
          </cell>
          <cell r="B220" t="str">
            <v>8809009F</v>
          </cell>
          <cell r="C220" t="str">
            <v>ISKANDAR AZHAR</v>
          </cell>
          <cell r="D220">
            <v>88097609</v>
          </cell>
          <cell r="E220">
            <v>4120177611</v>
          </cell>
          <cell r="F220">
            <v>54</v>
          </cell>
          <cell r="G220" t="str">
            <v>Perjalanan Dinas Non-Diklat</v>
          </cell>
          <cell r="H220" t="str">
            <v>KotaMakassar-KotaBogor</v>
          </cell>
          <cell r="I220" t="str">
            <v>07/09/2025 - 10/09/2025</v>
          </cell>
          <cell r="J220">
            <v>4</v>
          </cell>
          <cell r="K220" t="str">
            <v>Flight One Way</v>
          </cell>
          <cell r="L220" t="str">
            <v>06-09-2025 12:14:33</v>
          </cell>
          <cell r="M220" t="str">
            <v>Garuda Indonesia Domestic UPG Hasanuddin GA-641 - Garuda Indonesia  CGK Soekarno Hatta International Airport GA-641</v>
          </cell>
          <cell r="N220" t="str">
            <v>ASMAN P2TL</v>
          </cell>
          <cell r="O220">
            <v>7412000</v>
          </cell>
          <cell r="P220" t="str">
            <v>07/09/2025 12:15:00 - 07/09/2025 13:40:00</v>
          </cell>
          <cell r="Q220">
            <v>2335900</v>
          </cell>
        </row>
        <row r="221">
          <cell r="A221">
            <v>1282363266</v>
          </cell>
          <cell r="B221" t="str">
            <v>8809009F</v>
          </cell>
          <cell r="C221" t="str">
            <v>ISKANDAR AZHAR</v>
          </cell>
          <cell r="D221">
            <v>88097609</v>
          </cell>
          <cell r="E221">
            <v>4120177611</v>
          </cell>
          <cell r="F221">
            <v>54</v>
          </cell>
          <cell r="G221" t="str">
            <v>Perjalanan Dinas Non-Diklat</v>
          </cell>
          <cell r="H221" t="str">
            <v>KotaMakassar-KotaBogor</v>
          </cell>
          <cell r="I221" t="str">
            <v>07/09/2025 - 10/09/2025</v>
          </cell>
          <cell r="J221">
            <v>4</v>
          </cell>
          <cell r="K221" t="str">
            <v>Hotel</v>
          </cell>
          <cell r="L221" t="str">
            <v>05-09-2025 15:16:44</v>
          </cell>
          <cell r="M221" t="str">
            <v xml:space="preserve">Hotel Santika Bogor - 3.0 Stars  - </v>
          </cell>
          <cell r="N221" t="str">
            <v>ASMAN P2TL</v>
          </cell>
          <cell r="O221">
            <v>7412000</v>
          </cell>
          <cell r="P221" t="str">
            <v>09/09/2025 14:00:00 - 10/09/2025 12:00:00</v>
          </cell>
          <cell r="Q221">
            <v>935000</v>
          </cell>
        </row>
        <row r="222">
          <cell r="A222">
            <v>1282894851</v>
          </cell>
          <cell r="B222" t="str">
            <v>9419965ZY</v>
          </cell>
          <cell r="C222" t="str">
            <v>ABDURACHMAN ALHOFIKI</v>
          </cell>
          <cell r="D222">
            <v>94197605</v>
          </cell>
          <cell r="E222">
            <v>4120177602</v>
          </cell>
          <cell r="F222">
            <v>54</v>
          </cell>
          <cell r="G222" t="str">
            <v>Perjalanan Dinas Non-Diklat</v>
          </cell>
          <cell r="H222" t="str">
            <v>Kota Makassar - Kota Bogor</v>
          </cell>
          <cell r="I222" t="str">
            <v>08/09/2025 - 10/09/2025</v>
          </cell>
          <cell r="J222">
            <v>3</v>
          </cell>
          <cell r="K222" t="str">
            <v>Hotel</v>
          </cell>
          <cell r="L222" t="str">
            <v>07-09-2025 18:43:37</v>
          </cell>
          <cell r="M222" t="str">
            <v xml:space="preserve">THE 1O1 Jakarta Airport CBC - 4.0 Stars  - </v>
          </cell>
          <cell r="N222" t="str">
            <v>OF KIN FAS OP</v>
          </cell>
          <cell r="O222">
            <v>7408341</v>
          </cell>
          <cell r="P222" t="str">
            <v>09/09/2025 14:00:00 - 10/09/2025 12:00:00</v>
          </cell>
          <cell r="Q222">
            <v>840000</v>
          </cell>
        </row>
        <row r="223">
          <cell r="A223">
            <v>1282333652</v>
          </cell>
          <cell r="B223" t="str">
            <v>9419965ZY</v>
          </cell>
          <cell r="C223" t="str">
            <v>ABDURACHMAN ALHOFIKI</v>
          </cell>
          <cell r="D223">
            <v>94197605</v>
          </cell>
          <cell r="E223">
            <v>4120177602</v>
          </cell>
          <cell r="F223">
            <v>54</v>
          </cell>
          <cell r="G223" t="str">
            <v>Perjalanan Dinas Non-Diklat</v>
          </cell>
          <cell r="H223" t="str">
            <v>Kota Makassar - Kota Bogor</v>
          </cell>
          <cell r="I223" t="str">
            <v>08/09/2025 - 10/09/2025</v>
          </cell>
          <cell r="J223">
            <v>3</v>
          </cell>
          <cell r="K223" t="str">
            <v>Flight One Way</v>
          </cell>
          <cell r="L223" t="str">
            <v>05-09-2025 13:32:01</v>
          </cell>
          <cell r="M223" t="str">
            <v>Batik Air 2D CGK Soekarno Hatta International Airport ID-6292 - Batik Air Domestic UPG Hasanuddin ID-6292</v>
          </cell>
          <cell r="N223" t="str">
            <v>OF KIN FAS OP</v>
          </cell>
          <cell r="O223">
            <v>7408341</v>
          </cell>
          <cell r="P223" t="str">
            <v>10/09/2025 09:00:00 - 10/09/2025 12:20:00</v>
          </cell>
          <cell r="Q223">
            <v>1750000</v>
          </cell>
        </row>
        <row r="224">
          <cell r="A224">
            <v>1282328697</v>
          </cell>
          <cell r="B224" t="str">
            <v>9419965ZY</v>
          </cell>
          <cell r="C224" t="str">
            <v>ABDURACHMAN ALHOFIKI</v>
          </cell>
          <cell r="D224">
            <v>94197605</v>
          </cell>
          <cell r="E224">
            <v>4120177602</v>
          </cell>
          <cell r="F224">
            <v>54</v>
          </cell>
          <cell r="G224" t="str">
            <v>Perjalanan Dinas Non-Diklat</v>
          </cell>
          <cell r="H224" t="str">
            <v>Kota Makassar - Kota Bogor</v>
          </cell>
          <cell r="I224" t="str">
            <v>08/09/2025 - 10/09/2025</v>
          </cell>
          <cell r="J224">
            <v>3</v>
          </cell>
          <cell r="K224" t="str">
            <v>Hotel</v>
          </cell>
          <cell r="L224" t="str">
            <v>05-09-2025 13:15:15</v>
          </cell>
          <cell r="M224" t="str">
            <v xml:space="preserve">Nemuru Grand Bhuvana Ciawi - 4.0 Stars  - </v>
          </cell>
          <cell r="N224" t="str">
            <v>OF KIN FAS OP</v>
          </cell>
          <cell r="O224">
            <v>7408341</v>
          </cell>
          <cell r="P224" t="str">
            <v>08/09/2025 14:00:00 - 09/09/2025 12:00:00</v>
          </cell>
          <cell r="Q224">
            <v>705000</v>
          </cell>
        </row>
        <row r="225">
          <cell r="A225">
            <v>1282316897</v>
          </cell>
          <cell r="B225" t="str">
            <v>9419965ZY</v>
          </cell>
          <cell r="C225" t="str">
            <v>ABDURACHMAN ALHOFIKI</v>
          </cell>
          <cell r="D225">
            <v>94197605</v>
          </cell>
          <cell r="E225">
            <v>4120177602</v>
          </cell>
          <cell r="F225">
            <v>54</v>
          </cell>
          <cell r="G225" t="str">
            <v>Perjalanan Dinas Non-Diklat</v>
          </cell>
          <cell r="H225" t="str">
            <v>Kota Makassar - Kota Bogor</v>
          </cell>
          <cell r="I225" t="str">
            <v>08/09/2025 - 10/09/2025</v>
          </cell>
          <cell r="J225">
            <v>3</v>
          </cell>
          <cell r="K225" t="str">
            <v>Flight One Way</v>
          </cell>
          <cell r="L225" t="str">
            <v>05-09-2025 12:35:12</v>
          </cell>
          <cell r="M225" t="str">
            <v>Garuda Indonesia Domestic UPG Hasanuddin GA-613 - Garuda Indonesia  CGK Soekarno Hatta International Airport GA-613</v>
          </cell>
          <cell r="N225" t="str">
            <v>OF KIN FAS OP</v>
          </cell>
          <cell r="O225">
            <v>7408341</v>
          </cell>
          <cell r="P225" t="str">
            <v>08/09/2025 13:00:00 - 08/09/2025 14:25:00</v>
          </cell>
          <cell r="Q225">
            <v>2347100</v>
          </cell>
        </row>
        <row r="226">
          <cell r="A226">
            <v>1282974400</v>
          </cell>
          <cell r="B226" t="str">
            <v>9817018FBY</v>
          </cell>
          <cell r="C226" t="str">
            <v>ANDI DEDE HAFIZULLAH</v>
          </cell>
          <cell r="D226">
            <v>98177609</v>
          </cell>
          <cell r="E226">
            <v>4120177596</v>
          </cell>
          <cell r="F226">
            <v>54</v>
          </cell>
          <cell r="G226" t="str">
            <v>Perjalanan Dinas Non-Diklat</v>
          </cell>
          <cell r="H226" t="str">
            <v>Kab. Bulukumba - Kab. Bone</v>
          </cell>
          <cell r="I226" t="str">
            <v>08/09/2025 - 12/09/2025</v>
          </cell>
          <cell r="J226">
            <v>5</v>
          </cell>
          <cell r="K226" t="str">
            <v>Hotel</v>
          </cell>
          <cell r="L226" t="str">
            <v>08-09-2025 08:01:00</v>
          </cell>
          <cell r="M226" t="str">
            <v xml:space="preserve">Hotel Ayu Sengkang - 0.0 Stars  - </v>
          </cell>
          <cell r="N226" t="str">
            <v>JTC PDKB</v>
          </cell>
          <cell r="O226">
            <v>7409271</v>
          </cell>
          <cell r="P226" t="str">
            <v>08/09/2025 14:00:00 - 09/09/2025 12:00:00</v>
          </cell>
          <cell r="Q226">
            <v>250000</v>
          </cell>
        </row>
        <row r="227">
          <cell r="A227">
            <v>1282845029</v>
          </cell>
          <cell r="B227" t="str">
            <v>9817018FBY</v>
          </cell>
          <cell r="C227" t="str">
            <v>ANDI DEDE HAFIZULLAH</v>
          </cell>
          <cell r="D227">
            <v>98177609</v>
          </cell>
          <cell r="E227">
            <v>4120177596</v>
          </cell>
          <cell r="F227">
            <v>54</v>
          </cell>
          <cell r="G227" t="str">
            <v>Perjalanan Dinas Non-Diklat</v>
          </cell>
          <cell r="H227" t="str">
            <v>Kab. Bulukumba - Kab. Bone</v>
          </cell>
          <cell r="I227" t="str">
            <v>08/09/2025 - 12/09/2025</v>
          </cell>
          <cell r="J227">
            <v>5</v>
          </cell>
          <cell r="K227" t="str">
            <v>Hotel</v>
          </cell>
          <cell r="L227" t="str">
            <v>07-09-2025 14:34:31</v>
          </cell>
          <cell r="M227" t="str">
            <v xml:space="preserve">Hotel Novena - 3.0 Stars  - </v>
          </cell>
          <cell r="N227" t="str">
            <v>JTC PDKB</v>
          </cell>
          <cell r="O227">
            <v>7409271</v>
          </cell>
          <cell r="P227" t="str">
            <v>09/09/2025 14:00:00 - 11/09/2025 12:00:00</v>
          </cell>
          <cell r="Q227">
            <v>1260000</v>
          </cell>
        </row>
        <row r="228">
          <cell r="A228">
            <v>1282850479</v>
          </cell>
          <cell r="B228" t="str">
            <v>9717086FBY</v>
          </cell>
          <cell r="C228" t="str">
            <v>RIVAD YUNUS</v>
          </cell>
          <cell r="D228">
            <v>97177623</v>
          </cell>
          <cell r="E228">
            <v>4120177593</v>
          </cell>
          <cell r="F228">
            <v>54</v>
          </cell>
          <cell r="G228" t="str">
            <v>Perjalanan Dinas Non-Diklat</v>
          </cell>
          <cell r="H228" t="str">
            <v>Kab. Bulukumba - Kab. Bone</v>
          </cell>
          <cell r="I228" t="str">
            <v>08/09/2025 - 12/09/2025</v>
          </cell>
          <cell r="J228">
            <v>5</v>
          </cell>
          <cell r="K228" t="str">
            <v>Hotel</v>
          </cell>
          <cell r="L228" t="str">
            <v>07-09-2025 15:00:26</v>
          </cell>
          <cell r="M228" t="str">
            <v xml:space="preserve">Hotel Novena - 3.0 Stars  - </v>
          </cell>
          <cell r="N228" t="str">
            <v>JTC PDKB</v>
          </cell>
          <cell r="O228">
            <v>7409271</v>
          </cell>
          <cell r="P228" t="str">
            <v>09/09/2025 14:00:00 - 11/09/2025 12:00:00</v>
          </cell>
          <cell r="Q228">
            <v>900000</v>
          </cell>
        </row>
        <row r="229">
          <cell r="A229">
            <v>1282986077</v>
          </cell>
          <cell r="B229" t="str">
            <v>9717086FBY</v>
          </cell>
          <cell r="C229" t="str">
            <v>RIVAD YUNUS</v>
          </cell>
          <cell r="D229">
            <v>97177623</v>
          </cell>
          <cell r="E229">
            <v>4120177593</v>
          </cell>
          <cell r="F229">
            <v>54</v>
          </cell>
          <cell r="G229" t="str">
            <v>Perjalanan Dinas Non-Diklat</v>
          </cell>
          <cell r="H229" t="str">
            <v>Kab. Bulukumba - Kab. Bone</v>
          </cell>
          <cell r="I229" t="str">
            <v>08/09/2025 - 12/09/2025</v>
          </cell>
          <cell r="J229">
            <v>5</v>
          </cell>
          <cell r="K229" t="str">
            <v>Hotel</v>
          </cell>
          <cell r="L229" t="str">
            <v>08-09-2025 09:10:05</v>
          </cell>
          <cell r="M229" t="str">
            <v xml:space="preserve">Hotel Ayu Sengkang - 0.0 Stars  - </v>
          </cell>
          <cell r="N229" t="str">
            <v>JTC PDKB</v>
          </cell>
          <cell r="O229">
            <v>7409271</v>
          </cell>
          <cell r="P229" t="str">
            <v>08/09/2025 14:00:00 - 09/09/2025 12:00:00</v>
          </cell>
          <cell r="Q229">
            <v>250000</v>
          </cell>
        </row>
        <row r="230">
          <cell r="A230">
            <v>1282843869</v>
          </cell>
          <cell r="B230" t="str">
            <v>9617073FBY</v>
          </cell>
          <cell r="C230" t="str">
            <v>MUHAMMAD FATHUR RAYYAN</v>
          </cell>
          <cell r="D230">
            <v>96177621</v>
          </cell>
          <cell r="E230">
            <v>4120177592</v>
          </cell>
          <cell r="F230">
            <v>54</v>
          </cell>
          <cell r="G230" t="str">
            <v>Perjalanan Dinas Non-Diklat</v>
          </cell>
          <cell r="H230" t="str">
            <v>Kab. Bulukumba - Kab. Bone</v>
          </cell>
          <cell r="I230" t="str">
            <v>08/09/2025 - 12/09/2025</v>
          </cell>
          <cell r="J230">
            <v>5</v>
          </cell>
          <cell r="K230" t="str">
            <v>Hotel</v>
          </cell>
          <cell r="L230" t="str">
            <v>07-09-2025 14:28:58</v>
          </cell>
          <cell r="M230" t="str">
            <v xml:space="preserve">Hotel Novena - 3.0 Stars  - </v>
          </cell>
          <cell r="N230" t="str">
            <v>JTC PDKB</v>
          </cell>
          <cell r="O230">
            <v>7409271</v>
          </cell>
          <cell r="P230" t="str">
            <v>09/09/2025 14:00:00 - 11/09/2025 12:00:00</v>
          </cell>
          <cell r="Q230">
            <v>1260000</v>
          </cell>
        </row>
        <row r="231">
          <cell r="A231">
            <v>1282960886</v>
          </cell>
          <cell r="B231" t="str">
            <v>9617073FBY</v>
          </cell>
          <cell r="C231" t="str">
            <v>MUHAMMAD FATHUR RAYYAN</v>
          </cell>
          <cell r="D231">
            <v>96177621</v>
          </cell>
          <cell r="E231">
            <v>4120177592</v>
          </cell>
          <cell r="F231">
            <v>54</v>
          </cell>
          <cell r="G231" t="str">
            <v>Perjalanan Dinas Non-Diklat</v>
          </cell>
          <cell r="H231" t="str">
            <v>Kab. Bulukumba - Kab. Bone</v>
          </cell>
          <cell r="I231" t="str">
            <v>08/09/2025 - 12/09/2025</v>
          </cell>
          <cell r="J231">
            <v>5</v>
          </cell>
          <cell r="K231" t="str">
            <v>Hotel</v>
          </cell>
          <cell r="L231" t="str">
            <v>08-09-2025 05:21:24</v>
          </cell>
          <cell r="M231" t="str">
            <v xml:space="preserve">Hotel Ayu Sengkang - 0.0 Stars  - </v>
          </cell>
          <cell r="N231" t="str">
            <v>JTC PDKB</v>
          </cell>
          <cell r="O231">
            <v>7409271</v>
          </cell>
          <cell r="P231" t="str">
            <v>08/09/2025 14:00:00 - 09/09/2025 12:00:00</v>
          </cell>
          <cell r="Q231">
            <v>250000</v>
          </cell>
        </row>
        <row r="232">
          <cell r="A232">
            <v>1282984643</v>
          </cell>
          <cell r="B232" t="str">
            <v>9112086FY</v>
          </cell>
          <cell r="C232" t="str">
            <v xml:space="preserve">RUDIANSA </v>
          </cell>
          <cell r="D232">
            <v>91127625</v>
          </cell>
          <cell r="E232">
            <v>4120177598</v>
          </cell>
          <cell r="F232">
            <v>54</v>
          </cell>
          <cell r="G232" t="str">
            <v>Perjalanan Dinas Non-Diklat</v>
          </cell>
          <cell r="H232" t="str">
            <v>Kab. Bulukumba - Kab. Bone</v>
          </cell>
          <cell r="I232" t="str">
            <v>08/09/2025 - 12/09/2025</v>
          </cell>
          <cell r="J232">
            <v>5</v>
          </cell>
          <cell r="K232" t="str">
            <v>Hotel</v>
          </cell>
          <cell r="L232" t="str">
            <v>08-09-2025 09:02:45</v>
          </cell>
          <cell r="M232" t="str">
            <v xml:space="preserve">Hotel Ayu Sengkang - 0.0 Stars  - </v>
          </cell>
          <cell r="N232" t="str">
            <v>TC PDKB</v>
          </cell>
          <cell r="O232">
            <v>7409271</v>
          </cell>
          <cell r="P232" t="str">
            <v>08/09/2025 14:00:00 - 09/09/2025 12:00:00</v>
          </cell>
          <cell r="Q232">
            <v>250000</v>
          </cell>
        </row>
        <row r="233">
          <cell r="A233">
            <v>1282848469</v>
          </cell>
          <cell r="B233" t="str">
            <v>9112086FY</v>
          </cell>
          <cell r="C233" t="str">
            <v xml:space="preserve">RUDIANSA </v>
          </cell>
          <cell r="D233">
            <v>91127625</v>
          </cell>
          <cell r="E233">
            <v>4120177598</v>
          </cell>
          <cell r="F233">
            <v>54</v>
          </cell>
          <cell r="G233" t="str">
            <v>Perjalanan Dinas Non-Diklat</v>
          </cell>
          <cell r="H233" t="str">
            <v>Kab. Bulukumba - Kab. Bone</v>
          </cell>
          <cell r="I233" t="str">
            <v>08/09/2025 - 12/09/2025</v>
          </cell>
          <cell r="J233">
            <v>5</v>
          </cell>
          <cell r="K233" t="str">
            <v>Hotel</v>
          </cell>
          <cell r="L233" t="str">
            <v>07-09-2025 14:51:03</v>
          </cell>
          <cell r="M233" t="str">
            <v xml:space="preserve">Hotel Novena - 3.0 Stars  - </v>
          </cell>
          <cell r="N233" t="str">
            <v>TC PDKB</v>
          </cell>
          <cell r="O233">
            <v>7409271</v>
          </cell>
          <cell r="P233" t="str">
            <v>09/09/2025 14:00:00 - 11/09/2025 12:00:00</v>
          </cell>
          <cell r="Q233">
            <v>900000</v>
          </cell>
        </row>
        <row r="234">
          <cell r="A234">
            <v>1282844804</v>
          </cell>
          <cell r="B234" t="str">
            <v>9616049FY</v>
          </cell>
          <cell r="C234" t="str">
            <v>FERI ARDIANSYAH</v>
          </cell>
          <cell r="D234">
            <v>96167826</v>
          </cell>
          <cell r="E234">
            <v>4120177590</v>
          </cell>
          <cell r="F234">
            <v>54</v>
          </cell>
          <cell r="G234" t="str">
            <v>Perjalanan Dinas Non-Diklat</v>
          </cell>
          <cell r="H234" t="str">
            <v>Kab. Bulukumba - Kab. Bone</v>
          </cell>
          <cell r="I234" t="str">
            <v>08/09/2025 - 12/09/2025</v>
          </cell>
          <cell r="J234">
            <v>5</v>
          </cell>
          <cell r="K234" t="str">
            <v>Hotel</v>
          </cell>
          <cell r="L234" t="str">
            <v>07-09-2025 14:33:29</v>
          </cell>
          <cell r="M234" t="str">
            <v xml:space="preserve">Hotel Novena - 3.0 Stars  - </v>
          </cell>
          <cell r="N234" t="str">
            <v>JTC PDKB</v>
          </cell>
          <cell r="O234">
            <v>7409271</v>
          </cell>
          <cell r="P234" t="str">
            <v>09/09/2025 14:00:00 - 11/09/2025 12:00:00</v>
          </cell>
          <cell r="Q234">
            <v>1260000</v>
          </cell>
        </row>
        <row r="235">
          <cell r="A235">
            <v>1282961062</v>
          </cell>
          <cell r="B235" t="str">
            <v>9616049FY</v>
          </cell>
          <cell r="C235" t="str">
            <v>FERI ARDIANSYAH</v>
          </cell>
          <cell r="D235">
            <v>96167826</v>
          </cell>
          <cell r="E235">
            <v>4120177590</v>
          </cell>
          <cell r="F235">
            <v>54</v>
          </cell>
          <cell r="G235" t="str">
            <v>Perjalanan Dinas Non-Diklat</v>
          </cell>
          <cell r="H235" t="str">
            <v>Kab. Bulukumba - Kab. Bone</v>
          </cell>
          <cell r="I235" t="str">
            <v>08/09/2025 - 12/09/2025</v>
          </cell>
          <cell r="J235">
            <v>5</v>
          </cell>
          <cell r="K235" t="str">
            <v>Hotel</v>
          </cell>
          <cell r="L235" t="str">
            <v>08-09-2025 05:25:27</v>
          </cell>
          <cell r="M235" t="str">
            <v xml:space="preserve">Hotel Ayu Sengkang - 0.0 Stars  - </v>
          </cell>
          <cell r="N235" t="str">
            <v>JTC PDKB</v>
          </cell>
          <cell r="O235">
            <v>7409271</v>
          </cell>
          <cell r="P235" t="str">
            <v>08/09/2025 14:00:00 - 09/09/2025 12:00:00</v>
          </cell>
          <cell r="Q235">
            <v>250000</v>
          </cell>
        </row>
        <row r="236">
          <cell r="A236">
            <v>1282769219</v>
          </cell>
          <cell r="B236" t="str">
            <v>9014123ZY</v>
          </cell>
          <cell r="C236" t="str">
            <v>BAHAGIA KASPAR MONGAN</v>
          </cell>
          <cell r="D236">
            <v>90148000</v>
          </cell>
          <cell r="E236">
            <v>4120177605</v>
          </cell>
          <cell r="F236">
            <v>54</v>
          </cell>
          <cell r="G236" t="str">
            <v>Perjalanan Dinas Non-Diklat</v>
          </cell>
          <cell r="H236" t="str">
            <v>Kota Makassar - Kota Bogor</v>
          </cell>
          <cell r="I236" t="str">
            <v>05/09/2025 - 08/09/2025</v>
          </cell>
          <cell r="J236">
            <v>4</v>
          </cell>
          <cell r="K236" t="str">
            <v>Flight One Way</v>
          </cell>
          <cell r="L236" t="str">
            <v>07-09-2025 08:39:15</v>
          </cell>
          <cell r="M236" t="str">
            <v>Garuda Indonesia  CGK Soekarno Hatta International Airport GA-616 - Garuda Indonesia Domestic UPG Hasanuddin GA-616</v>
          </cell>
          <cell r="N236" t="str">
            <v>SOF LAKS DAN</v>
          </cell>
          <cell r="O236">
            <v>7412000</v>
          </cell>
          <cell r="P236" t="str">
            <v>08/09/2025 16:45:00 - 08/09/2025 20:20:00</v>
          </cell>
          <cell r="Q236">
            <v>2395700</v>
          </cell>
        </row>
        <row r="237">
          <cell r="A237">
            <v>1282172316</v>
          </cell>
          <cell r="B237" t="str">
            <v>8812081ZY</v>
          </cell>
          <cell r="C237" t="str">
            <v>SATRIA PRASAMYA</v>
          </cell>
          <cell r="D237">
            <v>88127601</v>
          </cell>
          <cell r="E237">
            <v>4120177604</v>
          </cell>
          <cell r="F237">
            <v>54</v>
          </cell>
          <cell r="G237" t="str">
            <v>Perjalanan Dinas Non-Diklat</v>
          </cell>
          <cell r="H237" t="str">
            <v>Kota Makassar - Kota Bogor</v>
          </cell>
          <cell r="I237" t="str">
            <v>05/09/2025 - 08/09/2025</v>
          </cell>
          <cell r="J237">
            <v>4</v>
          </cell>
          <cell r="K237" t="str">
            <v>Hotel</v>
          </cell>
          <cell r="L237" t="str">
            <v>04-09-2025 21:36:28</v>
          </cell>
          <cell r="M237" t="str">
            <v xml:space="preserve">HARRIS Hotel &amp; Convention Cibinong City Bogor - 4.0 Stars  - </v>
          </cell>
          <cell r="N237" t="str">
            <v>MAN REN DAN</v>
          </cell>
          <cell r="O237">
            <v>7412000</v>
          </cell>
          <cell r="P237" t="str">
            <v>05/09/2025 14:00:00 - 08/09/2025 12:00:00</v>
          </cell>
          <cell r="Q237">
            <v>4380000</v>
          </cell>
        </row>
        <row r="238">
          <cell r="A238">
            <v>1282156176</v>
          </cell>
          <cell r="B238" t="str">
            <v>8812081ZY</v>
          </cell>
          <cell r="C238" t="str">
            <v>SATRIA PRASAMYA</v>
          </cell>
          <cell r="D238">
            <v>88127601</v>
          </cell>
          <cell r="E238">
            <v>4120177604</v>
          </cell>
          <cell r="F238">
            <v>54</v>
          </cell>
          <cell r="G238" t="str">
            <v>Perjalanan Dinas Non-Diklat</v>
          </cell>
          <cell r="H238" t="str">
            <v>Kota Makassar - Kota Bogor</v>
          </cell>
          <cell r="I238" t="str">
            <v>05/09/2025 - 08/09/2025</v>
          </cell>
          <cell r="J238">
            <v>4</v>
          </cell>
          <cell r="K238" t="str">
            <v>Flight One Way</v>
          </cell>
          <cell r="L238" t="str">
            <v>04-09-2025 20:40:21</v>
          </cell>
          <cell r="M238" t="str">
            <v>Garuda Indonesia Domestic UPG Hasanuddin GA-641 - Garuda Indonesia  CGK Soekarno Hatta International Airport GA-641</v>
          </cell>
          <cell r="N238" t="str">
            <v>MAN REN DAN</v>
          </cell>
          <cell r="O238">
            <v>7412000</v>
          </cell>
          <cell r="P238" t="str">
            <v>05/09/2025 12:15:00 - 05/09/2025 13:40:00</v>
          </cell>
          <cell r="Q238">
            <v>2335900</v>
          </cell>
        </row>
        <row r="239">
          <cell r="A239">
            <v>1282776518</v>
          </cell>
          <cell r="B239" t="str">
            <v>8812081ZY</v>
          </cell>
          <cell r="C239" t="str">
            <v>SATRIA PRASAMYA</v>
          </cell>
          <cell r="D239">
            <v>88127601</v>
          </cell>
          <cell r="E239">
            <v>4120177604</v>
          </cell>
          <cell r="F239">
            <v>54</v>
          </cell>
          <cell r="G239" t="str">
            <v>Perjalanan Dinas Non-Diklat</v>
          </cell>
          <cell r="H239" t="str">
            <v>Kota Makassar - Kota Bogor</v>
          </cell>
          <cell r="I239" t="str">
            <v>05/09/2025 - 08/09/2025</v>
          </cell>
          <cell r="J239">
            <v>4</v>
          </cell>
          <cell r="K239" t="str">
            <v>Flight One Way</v>
          </cell>
          <cell r="L239" t="str">
            <v>07-09-2025 09:20:10</v>
          </cell>
          <cell r="M239" t="str">
            <v>Garuda Indonesia  CGK Soekarno Hatta International Airport GA-612 - Garuda Indonesia Domestic UPG Hasanuddin GA-612</v>
          </cell>
          <cell r="N239" t="str">
            <v>MAN REN DAN</v>
          </cell>
          <cell r="O239">
            <v>7412000</v>
          </cell>
          <cell r="P239" t="str">
            <v>08/09/2025 14:25:00 - 08/09/2025 18:00:00</v>
          </cell>
          <cell r="Q239">
            <v>2395700</v>
          </cell>
        </row>
        <row r="240">
          <cell r="A240">
            <v>1282904319</v>
          </cell>
          <cell r="B240" t="str">
            <v>8509300Z</v>
          </cell>
          <cell r="C240" t="str">
            <v>AGUS HARI WIBOWO</v>
          </cell>
          <cell r="D240">
            <v>85097602</v>
          </cell>
          <cell r="E240">
            <v>4120177603</v>
          </cell>
          <cell r="F240">
            <v>54</v>
          </cell>
          <cell r="G240" t="str">
            <v>Perjalanan Dinas Non-Diklat</v>
          </cell>
          <cell r="H240" t="str">
            <v>Kota Makassar - Kota Bogor</v>
          </cell>
          <cell r="I240" t="str">
            <v>05/09/2025 - 08/09/2025</v>
          </cell>
          <cell r="J240">
            <v>4</v>
          </cell>
          <cell r="K240" t="str">
            <v>Hotel</v>
          </cell>
          <cell r="L240" t="str">
            <v>07-09-2025 19:31:10</v>
          </cell>
          <cell r="M240" t="str">
            <v xml:space="preserve">JS Luwansa Hotel And Convention Center - 4.0 Stars  - </v>
          </cell>
          <cell r="N240" t="str">
            <v>SOF REN SIS KELIST</v>
          </cell>
          <cell r="O240">
            <v>7412112</v>
          </cell>
          <cell r="P240" t="str">
            <v>07/09/2025 14:00:00 - 08/09/2025 12:00:00</v>
          </cell>
          <cell r="Q240">
            <v>965925</v>
          </cell>
        </row>
        <row r="241">
          <cell r="A241">
            <v>1282758201</v>
          </cell>
          <cell r="B241" t="str">
            <v>8509300Z</v>
          </cell>
          <cell r="C241" t="str">
            <v>AGUS HARI WIBOWO</v>
          </cell>
          <cell r="D241">
            <v>85097602</v>
          </cell>
          <cell r="E241">
            <v>4120177603</v>
          </cell>
          <cell r="F241">
            <v>54</v>
          </cell>
          <cell r="G241" t="str">
            <v>Perjalanan Dinas Non-Diklat</v>
          </cell>
          <cell r="H241" t="str">
            <v>Kota Makassar - Kota Bogor</v>
          </cell>
          <cell r="I241" t="str">
            <v>05/09/2025 - 08/09/2025</v>
          </cell>
          <cell r="J241">
            <v>4</v>
          </cell>
          <cell r="K241" t="str">
            <v>Flight One Way</v>
          </cell>
          <cell r="L241" t="str">
            <v>07-09-2025 07:19:18</v>
          </cell>
          <cell r="M241" t="str">
            <v>Pelita Air 3 CGK Soekarno Hatta International Airport IP-808 - Pelita Air  UPG Hasanuddin IP-808</v>
          </cell>
          <cell r="N241" t="str">
            <v>SOF REN SIS KELIST</v>
          </cell>
          <cell r="O241">
            <v>7412112</v>
          </cell>
          <cell r="P241" t="str">
            <v>08/09/2025 10:55:00 - 08/09/2025 14:20:00</v>
          </cell>
          <cell r="Q241">
            <v>1752500</v>
          </cell>
        </row>
        <row r="242">
          <cell r="A242">
            <v>1282169844</v>
          </cell>
          <cell r="B242" t="str">
            <v>8509300Z</v>
          </cell>
          <cell r="C242" t="str">
            <v>AGUS HARI WIBOWO</v>
          </cell>
          <cell r="D242">
            <v>85097602</v>
          </cell>
          <cell r="E242">
            <v>4120177603</v>
          </cell>
          <cell r="F242">
            <v>54</v>
          </cell>
          <cell r="G242" t="str">
            <v>Perjalanan Dinas Non-Diklat</v>
          </cell>
          <cell r="H242" t="str">
            <v>Kota Makassar - Kota Bogor</v>
          </cell>
          <cell r="I242" t="str">
            <v>05/09/2025 - 08/09/2025</v>
          </cell>
          <cell r="J242">
            <v>4</v>
          </cell>
          <cell r="K242" t="str">
            <v>Flight One Way</v>
          </cell>
          <cell r="L242" t="str">
            <v>04-09-2025 21:28:07</v>
          </cell>
          <cell r="M242" t="str">
            <v>Batik Air Domestic UPG Hasanuddin ID-6293 - Batik Air 2D CGK Soekarno Hatta International Airport ID-6293</v>
          </cell>
          <cell r="N242" t="str">
            <v>SOF REN SIS KELIST</v>
          </cell>
          <cell r="O242">
            <v>7412112</v>
          </cell>
          <cell r="P242" t="str">
            <v>05/09/2025 18:00:00 - 05/09/2025 19:20:00</v>
          </cell>
          <cell r="Q242">
            <v>1140600</v>
          </cell>
        </row>
        <row r="243">
          <cell r="A243">
            <v>1284005588</v>
          </cell>
          <cell r="B243" t="str">
            <v>8509300Z</v>
          </cell>
          <cell r="C243" t="str">
            <v>AGUS HARI WIBOWO</v>
          </cell>
          <cell r="D243">
            <v>85097602</v>
          </cell>
          <cell r="E243">
            <v>4120177603</v>
          </cell>
          <cell r="F243">
            <v>54</v>
          </cell>
          <cell r="G243" t="str">
            <v>Perjalanan Dinas Non-Diklat</v>
          </cell>
          <cell r="H243" t="str">
            <v>KotaMakassar-KotaBogor-Jakarta</v>
          </cell>
          <cell r="I243" t="str">
            <v>05/09/2025 - 13/09/2025</v>
          </cell>
          <cell r="J243">
            <v>9</v>
          </cell>
          <cell r="K243" t="str">
            <v>Hotel</v>
          </cell>
          <cell r="L243" t="str">
            <v>12-09-2025 10:21:16</v>
          </cell>
          <cell r="M243" t="str">
            <v xml:space="preserve">Days Hotel and Suites Jakarta airport - 3.0 Stars  - </v>
          </cell>
          <cell r="N243" t="str">
            <v>SOF REN SIS KELIST</v>
          </cell>
          <cell r="O243">
            <v>7412112</v>
          </cell>
          <cell r="P243" t="str">
            <v>12/09/2025 14:00:00 - 13/09/2025 12:00:00</v>
          </cell>
          <cell r="Q243">
            <v>700000</v>
          </cell>
        </row>
        <row r="244">
          <cell r="A244">
            <v>1283857365</v>
          </cell>
          <cell r="B244" t="str">
            <v>8509300Z</v>
          </cell>
          <cell r="C244" t="str">
            <v>AGUS HARI WIBOWO</v>
          </cell>
          <cell r="D244">
            <v>85097602</v>
          </cell>
          <cell r="E244">
            <v>4120177603</v>
          </cell>
          <cell r="F244">
            <v>54</v>
          </cell>
          <cell r="G244" t="str">
            <v>Perjalanan Dinas Non-Diklat</v>
          </cell>
          <cell r="H244" t="str">
            <v>KotaMakassar-KotaBogor-Jakarta</v>
          </cell>
          <cell r="I244" t="str">
            <v>05/09/2025 - 13/09/2025</v>
          </cell>
          <cell r="J244">
            <v>9</v>
          </cell>
          <cell r="K244" t="str">
            <v>Hotel</v>
          </cell>
          <cell r="L244" t="str">
            <v>11-09-2025 16:50:32</v>
          </cell>
          <cell r="M244" t="str">
            <v xml:space="preserve">Swiss-Belresidences Rasuna Epicentrum - 4.0 Stars  - </v>
          </cell>
          <cell r="N244" t="str">
            <v>SOF REN SIS KELIST</v>
          </cell>
          <cell r="O244">
            <v>7412112</v>
          </cell>
          <cell r="P244" t="str">
            <v>11/09/2025 14:00:00 - 12/09/2025 12:00:00</v>
          </cell>
          <cell r="Q244">
            <v>735000</v>
          </cell>
        </row>
        <row r="245">
          <cell r="A245">
            <v>1282465156</v>
          </cell>
          <cell r="B245" t="str">
            <v>7905002N</v>
          </cell>
          <cell r="C245" t="str">
            <v>RULI RIZALUDDIN</v>
          </cell>
          <cell r="D245">
            <v>79055400</v>
          </cell>
          <cell r="E245">
            <v>4120177600</v>
          </cell>
          <cell r="F245">
            <v>54</v>
          </cell>
          <cell r="G245" t="str">
            <v>Perjalanan Dinas Non-Diklat</v>
          </cell>
          <cell r="H245" t="str">
            <v>Kota Makassar - Kota Bogor</v>
          </cell>
          <cell r="I245" t="str">
            <v>05/09/2025 - 08/09/2025</v>
          </cell>
          <cell r="J245">
            <v>4</v>
          </cell>
          <cell r="K245" t="str">
            <v>Hotel</v>
          </cell>
          <cell r="L245" t="str">
            <v>05-09-2025 22:08:04</v>
          </cell>
          <cell r="M245" t="str">
            <v xml:space="preserve">HARRIS Hotel &amp; Convention Cibinong City Bogor - 4.0 Stars  - </v>
          </cell>
          <cell r="N245" t="str">
            <v>MUP UP2K (PROV SULSEL)</v>
          </cell>
          <cell r="O245">
            <v>7412000</v>
          </cell>
          <cell r="P245" t="str">
            <v>05/09/2025 14:00:00 - 07/09/2025 12:00:00</v>
          </cell>
          <cell r="Q245">
            <v>2820000</v>
          </cell>
        </row>
        <row r="246">
          <cell r="A246">
            <v>1283475142</v>
          </cell>
          <cell r="B246" t="str">
            <v>7905002N</v>
          </cell>
          <cell r="C246" t="str">
            <v>RULI RIZALUDDIN</v>
          </cell>
          <cell r="D246">
            <v>79055400</v>
          </cell>
          <cell r="E246">
            <v>4120177600</v>
          </cell>
          <cell r="F246">
            <v>54</v>
          </cell>
          <cell r="G246" t="str">
            <v>Perjalanan Dinas Non-Diklat</v>
          </cell>
          <cell r="H246" t="str">
            <v>Kota Makassar - Kota Bogor</v>
          </cell>
          <cell r="I246" t="str">
            <v>05/09/2025 - 13/09/2025</v>
          </cell>
          <cell r="J246">
            <v>9</v>
          </cell>
          <cell r="K246" t="str">
            <v>Hotel</v>
          </cell>
          <cell r="L246" t="str">
            <v>10-09-2025 06:00:54</v>
          </cell>
          <cell r="M246" t="str">
            <v xml:space="preserve">JS Luwansa Hotel And Convention Center - 4.0 Stars  - </v>
          </cell>
          <cell r="N246" t="str">
            <v>MUP UP2K (PROV SULSEL)</v>
          </cell>
          <cell r="O246">
            <v>7412000</v>
          </cell>
          <cell r="P246" t="str">
            <v>10/09/2025 14:00:00 - 11/09/2025 12:00:00</v>
          </cell>
          <cell r="Q246">
            <v>1237500</v>
          </cell>
        </row>
        <row r="247">
          <cell r="A247">
            <v>1283374037</v>
          </cell>
          <cell r="B247" t="str">
            <v>7905002N</v>
          </cell>
          <cell r="C247" t="str">
            <v>RULI RIZALUDDIN</v>
          </cell>
          <cell r="D247">
            <v>79055400</v>
          </cell>
          <cell r="E247">
            <v>4120177600</v>
          </cell>
          <cell r="F247">
            <v>54</v>
          </cell>
          <cell r="G247" t="str">
            <v>Perjalanan Dinas Non-Diklat</v>
          </cell>
          <cell r="H247" t="str">
            <v>Kota Makassar - Kota Bogor</v>
          </cell>
          <cell r="I247" t="str">
            <v>05/09/2025 - 13/09/2025</v>
          </cell>
          <cell r="J247">
            <v>9</v>
          </cell>
          <cell r="K247" t="str">
            <v>Hotel</v>
          </cell>
          <cell r="L247" t="str">
            <v>09-09-2025 17:45:19</v>
          </cell>
          <cell r="M247" t="str">
            <v xml:space="preserve">JS Luwansa Hotel And Convention Center - 4.0 Stars  - </v>
          </cell>
          <cell r="N247" t="str">
            <v>MUP UP2K (PROV SULSEL)</v>
          </cell>
          <cell r="O247">
            <v>7412000</v>
          </cell>
          <cell r="P247" t="str">
            <v>09/09/2025 14:00:00 - 10/09/2025 12:00:00</v>
          </cell>
          <cell r="Q247">
            <v>1237500</v>
          </cell>
        </row>
        <row r="248">
          <cell r="A248">
            <v>1283724037</v>
          </cell>
          <cell r="B248" t="str">
            <v>7905002N</v>
          </cell>
          <cell r="C248" t="str">
            <v>RULI RIZALUDDIN</v>
          </cell>
          <cell r="D248">
            <v>79055400</v>
          </cell>
          <cell r="E248">
            <v>4120177600</v>
          </cell>
          <cell r="F248">
            <v>54</v>
          </cell>
          <cell r="G248" t="str">
            <v>Perjalanan Dinas Non-Diklat</v>
          </cell>
          <cell r="H248" t="str">
            <v>Kota Makassar - Kota Bogor</v>
          </cell>
          <cell r="I248" t="str">
            <v>05/09/2025 - 13/09/2025</v>
          </cell>
          <cell r="J248">
            <v>9</v>
          </cell>
          <cell r="K248" t="str">
            <v>Hotel</v>
          </cell>
          <cell r="L248" t="str">
            <v>11-09-2025 06:36:15</v>
          </cell>
          <cell r="M248" t="str">
            <v xml:space="preserve">JS Luwansa Hotel And Convention Center - 4.0 Stars  - </v>
          </cell>
          <cell r="N248" t="str">
            <v>MUP UP2K (PROV SULSEL)</v>
          </cell>
          <cell r="O248">
            <v>7412000</v>
          </cell>
          <cell r="P248" t="str">
            <v>11/09/2025 14:00:00 - 12/09/2025 12:00:00</v>
          </cell>
          <cell r="Q248">
            <v>1237500</v>
          </cell>
        </row>
        <row r="249">
          <cell r="A249">
            <v>1283956711</v>
          </cell>
          <cell r="B249" t="str">
            <v>7905002N</v>
          </cell>
          <cell r="C249" t="str">
            <v>RULI RIZALUDDIN</v>
          </cell>
          <cell r="D249">
            <v>79055400</v>
          </cell>
          <cell r="E249">
            <v>4120177600</v>
          </cell>
          <cell r="F249">
            <v>54</v>
          </cell>
          <cell r="G249" t="str">
            <v>Perjalanan Dinas Non-Diklat</v>
          </cell>
          <cell r="H249" t="str">
            <v>Kota Makassar - Kota Bogor</v>
          </cell>
          <cell r="I249" t="str">
            <v>05/09/2025 - 13/09/2025</v>
          </cell>
          <cell r="J249">
            <v>9</v>
          </cell>
          <cell r="K249" t="str">
            <v>Flight One Way</v>
          </cell>
          <cell r="L249" t="str">
            <v>12-09-2025 03:47:46</v>
          </cell>
          <cell r="M249" t="str">
            <v>Garuda Indonesia  CGK Soekarno Hatta International Airport GA-616 - Garuda Indonesia Domestic UPG Hasanuddin GA-616</v>
          </cell>
          <cell r="N249" t="str">
            <v>MUP UP2K (PROV SULSEL)</v>
          </cell>
          <cell r="O249">
            <v>7412000</v>
          </cell>
          <cell r="P249" t="str">
            <v>12/09/2025 16:45:00 - 12/09/2025 20:20:00</v>
          </cell>
          <cell r="Q249">
            <v>1933200</v>
          </cell>
        </row>
        <row r="250">
          <cell r="A250">
            <v>1282219412</v>
          </cell>
          <cell r="B250" t="str">
            <v>7905002N</v>
          </cell>
          <cell r="C250" t="str">
            <v>RULI RIZALUDDIN</v>
          </cell>
          <cell r="D250">
            <v>79055400</v>
          </cell>
          <cell r="E250">
            <v>4120177600</v>
          </cell>
          <cell r="F250">
            <v>54</v>
          </cell>
          <cell r="G250" t="str">
            <v>Perjalanan Dinas Non-Diklat</v>
          </cell>
          <cell r="H250" t="str">
            <v>Kota Makassar - Kota Bogor</v>
          </cell>
          <cell r="I250" t="str">
            <v>05/09/2025 - 08/09/2025</v>
          </cell>
          <cell r="J250">
            <v>4</v>
          </cell>
          <cell r="K250" t="str">
            <v>Flight One Way</v>
          </cell>
          <cell r="L250" t="str">
            <v>05-09-2025 04:49:55</v>
          </cell>
          <cell r="M250" t="str">
            <v>Garuda Indonesia Domestic UPG Hasanuddin GA-609 - Garuda Indonesia  CGK Soekarno Hatta International Airport GA-609</v>
          </cell>
          <cell r="N250" t="str">
            <v>MUP UP2K (PROV SULSEL)</v>
          </cell>
          <cell r="O250">
            <v>7412000</v>
          </cell>
          <cell r="P250" t="str">
            <v>05/09/2025 18:05:00 - 05/09/2025 19:30:00</v>
          </cell>
          <cell r="Q250">
            <v>2347100</v>
          </cell>
        </row>
        <row r="251">
          <cell r="A251">
            <v>1282904682</v>
          </cell>
          <cell r="B251" t="str">
            <v>7905002N</v>
          </cell>
          <cell r="C251" t="str">
            <v>RULI RIZALUDDIN</v>
          </cell>
          <cell r="D251">
            <v>79055400</v>
          </cell>
          <cell r="E251">
            <v>4120177600</v>
          </cell>
          <cell r="F251">
            <v>54</v>
          </cell>
          <cell r="G251" t="str">
            <v>Perjalanan Dinas Non-Diklat</v>
          </cell>
          <cell r="H251" t="str">
            <v>Kota Makassar - Kota Bogor</v>
          </cell>
          <cell r="I251" t="str">
            <v>05/09/2025 - 08/09/2025</v>
          </cell>
          <cell r="J251">
            <v>4</v>
          </cell>
          <cell r="K251" t="str">
            <v>Hotel</v>
          </cell>
          <cell r="L251" t="str">
            <v>07-09-2025 19:32:49</v>
          </cell>
          <cell r="M251" t="str">
            <v xml:space="preserve">JS Luwansa Hotel And Convention Center - 4.0 Stars  - </v>
          </cell>
          <cell r="N251" t="str">
            <v>MUP UP2K (PROV SULSEL)</v>
          </cell>
          <cell r="O251">
            <v>7412000</v>
          </cell>
          <cell r="P251" t="str">
            <v>07/09/2025 14:00:00 - 08/09/2025 12:00:00</v>
          </cell>
          <cell r="Q251">
            <v>1073250</v>
          </cell>
        </row>
        <row r="252">
          <cell r="A252">
            <v>1282745845</v>
          </cell>
          <cell r="B252" t="str">
            <v>8908087F</v>
          </cell>
          <cell r="C252" t="str">
            <v xml:space="preserve">ARJINOFALTIN </v>
          </cell>
          <cell r="D252">
            <v>89087605</v>
          </cell>
          <cell r="E252">
            <v>4120177578</v>
          </cell>
          <cell r="F252">
            <v>54</v>
          </cell>
          <cell r="G252" t="str">
            <v>Perjalanan Dinas Non-Diklat</v>
          </cell>
          <cell r="H252" t="str">
            <v>Kota Makassar - Kab. Bombana</v>
          </cell>
          <cell r="I252" t="str">
            <v>08/09/2025 - 10/09/2025</v>
          </cell>
          <cell r="J252">
            <v>3</v>
          </cell>
          <cell r="K252" t="str">
            <v>Hotel</v>
          </cell>
          <cell r="L252" t="str">
            <v>07-09-2025 03:52:29</v>
          </cell>
          <cell r="M252" t="str">
            <v xml:space="preserve">CLARO Kendari - 4.0 Stars  - </v>
          </cell>
          <cell r="N252" t="str">
            <v>ASMAN MUM</v>
          </cell>
          <cell r="O252">
            <v>7412164</v>
          </cell>
          <cell r="P252" t="str">
            <v>08/09/2025 14:00:00 - 10/09/2025 12:00:00</v>
          </cell>
          <cell r="Q252">
            <v>1750000</v>
          </cell>
        </row>
        <row r="253">
          <cell r="A253">
            <v>1282156267</v>
          </cell>
          <cell r="B253" t="str">
            <v>8908087F</v>
          </cell>
          <cell r="C253" t="str">
            <v xml:space="preserve">ARJINOFALTIN </v>
          </cell>
          <cell r="D253">
            <v>89087605</v>
          </cell>
          <cell r="E253">
            <v>4120177578</v>
          </cell>
          <cell r="F253">
            <v>54</v>
          </cell>
          <cell r="G253" t="str">
            <v>Perjalanan Dinas Non-Diklat</v>
          </cell>
          <cell r="H253" t="str">
            <v>Kota Makassar - Kab. Bombana</v>
          </cell>
          <cell r="I253" t="str">
            <v>08/09/2025 - 10/09/2025</v>
          </cell>
          <cell r="J253">
            <v>3</v>
          </cell>
          <cell r="K253" t="str">
            <v>Flight One Way</v>
          </cell>
          <cell r="L253" t="str">
            <v>04-09-2025 20:40:39</v>
          </cell>
          <cell r="M253" t="str">
            <v>Garuda Indonesia  KDI Haluoleo GA-605 - Garuda Indonesia Domestic UPG Hasanuddin GA-605</v>
          </cell>
          <cell r="N253" t="str">
            <v>ASMAN MUM</v>
          </cell>
          <cell r="O253">
            <v>7412164</v>
          </cell>
          <cell r="P253" t="str">
            <v>10/09/2025 09:10:00 - 10/09/2025 10:10:00</v>
          </cell>
          <cell r="Q253">
            <v>939600</v>
          </cell>
        </row>
        <row r="254">
          <cell r="A254">
            <v>1282125756</v>
          </cell>
          <cell r="B254" t="str">
            <v>7293022F</v>
          </cell>
          <cell r="C254" t="str">
            <v>EKO WAHYU PRASONGKO</v>
          </cell>
          <cell r="D254">
            <v>72937606</v>
          </cell>
          <cell r="E254">
            <v>4120177577</v>
          </cell>
          <cell r="F254">
            <v>54</v>
          </cell>
          <cell r="G254" t="str">
            <v>Perjalanan Dinas Non-Diklat</v>
          </cell>
          <cell r="H254" t="str">
            <v>Kota Makassar - Kab. Bombana</v>
          </cell>
          <cell r="I254" t="str">
            <v>08/09/2025 - 10/09/2025</v>
          </cell>
          <cell r="J254">
            <v>3</v>
          </cell>
          <cell r="K254" t="str">
            <v>Hotel</v>
          </cell>
          <cell r="L254" t="str">
            <v>04-09-2025 18:59:22</v>
          </cell>
          <cell r="M254" t="str">
            <v xml:space="preserve">CLARO Kendari - 4.0 Stars  - </v>
          </cell>
          <cell r="N254" t="str">
            <v>SPC KIN KEU, KOM, DAN MUM</v>
          </cell>
          <cell r="O254">
            <v>7412150</v>
          </cell>
          <cell r="P254" t="str">
            <v>08/09/2025 14:00:00 - 10/09/2025 12:00:00</v>
          </cell>
          <cell r="Q254">
            <v>1600000</v>
          </cell>
        </row>
        <row r="255">
          <cell r="A255">
            <v>1282123254</v>
          </cell>
          <cell r="B255" t="str">
            <v>7293022F</v>
          </cell>
          <cell r="C255" t="str">
            <v>EKO WAHYU PRASONGKO</v>
          </cell>
          <cell r="D255">
            <v>72937606</v>
          </cell>
          <cell r="E255">
            <v>4120177577</v>
          </cell>
          <cell r="F255">
            <v>54</v>
          </cell>
          <cell r="G255" t="str">
            <v>Perjalanan Dinas Non-Diklat</v>
          </cell>
          <cell r="H255" t="str">
            <v>Kota Makassar - Kab. Bombana</v>
          </cell>
          <cell r="I255" t="str">
            <v>08/09/2025 - 10/09/2025</v>
          </cell>
          <cell r="J255">
            <v>3</v>
          </cell>
          <cell r="K255" t="str">
            <v>Flight One Way</v>
          </cell>
          <cell r="L255" t="str">
            <v>04-09-2025 18:51:07</v>
          </cell>
          <cell r="M255" t="str">
            <v>Garuda Indonesia Domestic UPG Hasanuddin GA-604 - Garuda Indonesia  KDI Haluoleo GA-604</v>
          </cell>
          <cell r="N255" t="str">
            <v>SPC KIN KEU, KOM, DAN MUM</v>
          </cell>
          <cell r="O255">
            <v>7412150</v>
          </cell>
          <cell r="P255" t="str">
            <v>08/09/2025 07:25:00 - 08/09/2025 08:25:00</v>
          </cell>
          <cell r="Q255">
            <v>975800</v>
          </cell>
        </row>
        <row r="256">
          <cell r="A256">
            <v>1282745592</v>
          </cell>
          <cell r="B256" t="str">
            <v>7293022F</v>
          </cell>
          <cell r="C256" t="str">
            <v>EKO WAHYU PRASONGKO</v>
          </cell>
          <cell r="D256">
            <v>72937606</v>
          </cell>
          <cell r="E256">
            <v>4120177577</v>
          </cell>
          <cell r="F256">
            <v>54</v>
          </cell>
          <cell r="G256" t="str">
            <v>Perjalanan Dinas Non-Diklat</v>
          </cell>
          <cell r="H256" t="str">
            <v>Kota Makassar - Kab. Bombana</v>
          </cell>
          <cell r="I256" t="str">
            <v>08/09/2025 - 10/09/2025</v>
          </cell>
          <cell r="J256">
            <v>3</v>
          </cell>
          <cell r="K256" t="str">
            <v>Flight One Way</v>
          </cell>
          <cell r="L256" t="str">
            <v>07-09-2025 03:41:30</v>
          </cell>
          <cell r="M256" t="str">
            <v>Garuda Indonesia  KDI Haluoleo GA-605 - Garuda Indonesia Domestic UPG Hasanuddin GA-605</v>
          </cell>
          <cell r="N256" t="str">
            <v>SPC KIN KEU, KOM, DAN MUM</v>
          </cell>
          <cell r="O256">
            <v>7412150</v>
          </cell>
          <cell r="P256" t="str">
            <v>10/09/2025 09:10:00 - 10/09/2025 10:10:00</v>
          </cell>
          <cell r="Q256">
            <v>939600</v>
          </cell>
        </row>
        <row r="257">
          <cell r="A257">
            <v>1284086504</v>
          </cell>
          <cell r="B257" t="str">
            <v>9110052F</v>
          </cell>
          <cell r="C257" t="str">
            <v>ANGGA SETIAWAN</v>
          </cell>
          <cell r="D257">
            <v>91107608</v>
          </cell>
          <cell r="E257">
            <v>4120177599</v>
          </cell>
          <cell r="F257">
            <v>54</v>
          </cell>
          <cell r="G257" t="str">
            <v>Perjalanan Dinas Diklat</v>
          </cell>
          <cell r="H257" t="str">
            <v>Kota Makassar - Kota Cilegon</v>
          </cell>
          <cell r="I257" t="str">
            <v>07/09/2025 - 12/09/2025</v>
          </cell>
          <cell r="J257">
            <v>6</v>
          </cell>
          <cell r="K257" t="str">
            <v>Flight One Way</v>
          </cell>
          <cell r="L257" t="str">
            <v>12-09-2025 14:28:35</v>
          </cell>
          <cell r="M257" t="str">
            <v>Garuda Indonesia  CGK Soekarno Hatta International Airport GA-618 - Garuda Indonesia Domestic UPG Hasanuddin GA-618</v>
          </cell>
          <cell r="N257" t="str">
            <v>OF REN LISDES</v>
          </cell>
          <cell r="O257">
            <v>7412000</v>
          </cell>
          <cell r="P257" t="str">
            <v>12/09/2025 20:15:00 - 12/09/2025 23:50:00</v>
          </cell>
          <cell r="Q257">
            <v>1844400</v>
          </cell>
        </row>
        <row r="258">
          <cell r="A258">
            <v>1282117420</v>
          </cell>
          <cell r="B258" t="str">
            <v>9110052F</v>
          </cell>
          <cell r="C258" t="str">
            <v>ANGGA SETIAWAN</v>
          </cell>
          <cell r="D258">
            <v>91107608</v>
          </cell>
          <cell r="E258">
            <v>4120177599</v>
          </cell>
          <cell r="F258">
            <v>54</v>
          </cell>
          <cell r="G258" t="str">
            <v>Perjalanan Dinas Diklat</v>
          </cell>
          <cell r="H258" t="str">
            <v>Kota Makassar - Kota Cilegon</v>
          </cell>
          <cell r="I258" t="str">
            <v>07/09/2025 - 12/09/2025</v>
          </cell>
          <cell r="J258">
            <v>6</v>
          </cell>
          <cell r="K258" t="str">
            <v>Flight One Way</v>
          </cell>
          <cell r="L258" t="str">
            <v>04-09-2025 18:31:17</v>
          </cell>
          <cell r="M258" t="str">
            <v>Garuda Indonesia Domestic UPG Hasanuddin GA-641 - Garuda Indonesia  CGK Soekarno Hatta International Airport GA-641</v>
          </cell>
          <cell r="N258" t="str">
            <v>OF REN LISDES</v>
          </cell>
          <cell r="O258">
            <v>7412000</v>
          </cell>
          <cell r="P258" t="str">
            <v>07/09/2025 12:15:00 - 07/09/2025 13:40:00</v>
          </cell>
          <cell r="Q258">
            <v>2350900</v>
          </cell>
        </row>
        <row r="259">
          <cell r="A259">
            <v>1283349572</v>
          </cell>
          <cell r="B259" t="str">
            <v>9114965ZY</v>
          </cell>
          <cell r="C259" t="str">
            <v>I WAYAN EDY PURNAMA ARSA</v>
          </cell>
          <cell r="D259">
            <v>91147609</v>
          </cell>
          <cell r="E259">
            <v>4120177586</v>
          </cell>
          <cell r="F259">
            <v>54</v>
          </cell>
          <cell r="G259" t="str">
            <v>Perjalanan Dinas Non-Diklat</v>
          </cell>
          <cell r="H259" t="str">
            <v>Kota Makassar - Kab. Konawe Utara</v>
          </cell>
          <cell r="I259" t="str">
            <v>08/09/2025 - 10/09/2025</v>
          </cell>
          <cell r="J259">
            <v>3</v>
          </cell>
          <cell r="K259" t="str">
            <v>Flight One Way</v>
          </cell>
          <cell r="L259" t="str">
            <v>09-09-2025 16:08:51</v>
          </cell>
          <cell r="M259" t="str">
            <v>Batik Air  KDI Haluoleo ID-6750 - Batik Air Domestic UPG Hasanuddin ID-6750</v>
          </cell>
          <cell r="N259" t="str">
            <v>OF PR AE</v>
          </cell>
          <cell r="O259">
            <v>7411140</v>
          </cell>
          <cell r="P259" t="str">
            <v>10/09/2025 10:15:00 - 10/09/2025 11:10:00</v>
          </cell>
          <cell r="Q259">
            <v>857400</v>
          </cell>
        </row>
        <row r="260">
          <cell r="A260">
            <v>1283348481</v>
          </cell>
          <cell r="B260" t="str">
            <v>9114965ZY</v>
          </cell>
          <cell r="C260" t="str">
            <v>I WAYAN EDY PURNAMA ARSA</v>
          </cell>
          <cell r="D260">
            <v>91147609</v>
          </cell>
          <cell r="E260">
            <v>4120177586</v>
          </cell>
          <cell r="F260">
            <v>54</v>
          </cell>
          <cell r="G260" t="str">
            <v>Perjalanan Dinas Non-Diklat</v>
          </cell>
          <cell r="H260" t="str">
            <v>Kota Makassar - Kab. Konawe Utara</v>
          </cell>
          <cell r="I260" t="str">
            <v>08/09/2025 - 10/09/2025</v>
          </cell>
          <cell r="J260">
            <v>3</v>
          </cell>
          <cell r="K260" t="str">
            <v>Hotel</v>
          </cell>
          <cell r="L260" t="str">
            <v>09-09-2025 16:01:30</v>
          </cell>
          <cell r="M260" t="str">
            <v xml:space="preserve">Parade inn kendari - 0.0 Stars  - </v>
          </cell>
          <cell r="N260" t="str">
            <v>OF PR AE</v>
          </cell>
          <cell r="O260">
            <v>7411140</v>
          </cell>
          <cell r="P260" t="str">
            <v>09/09/2025 14:00:00 - 10/09/2025 12:00:00</v>
          </cell>
          <cell r="Q260">
            <v>641026</v>
          </cell>
        </row>
        <row r="261">
          <cell r="A261">
            <v>1282410613</v>
          </cell>
          <cell r="B261" t="str">
            <v>9114965ZY</v>
          </cell>
          <cell r="C261" t="str">
            <v>I WAYAN EDY PURNAMA ARSA</v>
          </cell>
          <cell r="D261">
            <v>91147609</v>
          </cell>
          <cell r="E261">
            <v>4120177586</v>
          </cell>
          <cell r="F261">
            <v>54</v>
          </cell>
          <cell r="G261" t="str">
            <v>Perjalanan Dinas Non-Diklat</v>
          </cell>
          <cell r="H261" t="str">
            <v>Kota Makassar - Kab. Konawe Utara</v>
          </cell>
          <cell r="I261" t="str">
            <v>08/09/2025 - 10/09/2025</v>
          </cell>
          <cell r="J261">
            <v>3</v>
          </cell>
          <cell r="K261" t="str">
            <v>Flight One Way</v>
          </cell>
          <cell r="L261" t="str">
            <v>05-09-2025 18:27:09</v>
          </cell>
          <cell r="M261" t="str">
            <v>Batik Air Domestic UPG Hasanuddin ID-6751 - Batik Air  KDI Haluoleo ID-6751</v>
          </cell>
          <cell r="N261" t="str">
            <v>OF PR AE</v>
          </cell>
          <cell r="O261">
            <v>7411140</v>
          </cell>
          <cell r="P261" t="str">
            <v>08/09/2025 08:30:00 - 08/09/2025 09:35:00</v>
          </cell>
          <cell r="Q261">
            <v>864200</v>
          </cell>
        </row>
        <row r="262">
          <cell r="A262">
            <v>1282067546</v>
          </cell>
          <cell r="B262" t="str">
            <v>7594035F</v>
          </cell>
          <cell r="C262" t="str">
            <v>AGUS SALIM</v>
          </cell>
          <cell r="D262">
            <v>75947601</v>
          </cell>
          <cell r="E262">
            <v>4120177585</v>
          </cell>
          <cell r="F262">
            <v>54</v>
          </cell>
          <cell r="G262" t="str">
            <v>Perjalanan Dinas Non-Diklat</v>
          </cell>
          <cell r="H262" t="str">
            <v>Kota Makassar - Kota Kendari</v>
          </cell>
          <cell r="I262" t="str">
            <v>08/09/2025 - 10/09/2025</v>
          </cell>
          <cell r="J262">
            <v>3</v>
          </cell>
          <cell r="K262" t="str">
            <v>Flight One Way</v>
          </cell>
          <cell r="L262" t="str">
            <v>04-09-2025 15:33:35</v>
          </cell>
          <cell r="M262" t="str">
            <v>Garuda Indonesia Domestic UPG Hasanuddin GA-604 - Garuda Indonesia  KDI Haluoleo GA-604</v>
          </cell>
          <cell r="N262" t="str">
            <v>ASMAN K3 DAN KAM</v>
          </cell>
          <cell r="O262">
            <v>7412000</v>
          </cell>
          <cell r="P262" t="str">
            <v>08/09/2025 07:25:00 - 08/09/2025 08:25:00</v>
          </cell>
          <cell r="Q262">
            <v>990700</v>
          </cell>
        </row>
        <row r="263">
          <cell r="A263">
            <v>1283212092</v>
          </cell>
          <cell r="B263" t="str">
            <v>7594035F</v>
          </cell>
          <cell r="C263" t="str">
            <v>AGUS SALIM</v>
          </cell>
          <cell r="D263">
            <v>75947601</v>
          </cell>
          <cell r="E263">
            <v>4120177585</v>
          </cell>
          <cell r="F263">
            <v>54</v>
          </cell>
          <cell r="G263" t="str">
            <v>Perjalanan Dinas Non-Diklat</v>
          </cell>
          <cell r="H263" t="str">
            <v>Kota Makassar - Kota Kendari</v>
          </cell>
          <cell r="I263" t="str">
            <v>08/09/2025 - 10/09/2025</v>
          </cell>
          <cell r="J263">
            <v>3</v>
          </cell>
          <cell r="K263" t="str">
            <v>Flight One Way</v>
          </cell>
          <cell r="L263" t="str">
            <v>09-09-2025 06:16:37</v>
          </cell>
          <cell r="M263" t="str">
            <v>Garuda Indonesia  KDI Haluoleo GA-605 - Garuda Indonesia Domestic UPG Hasanuddin GA-605</v>
          </cell>
          <cell r="N263" t="str">
            <v>ASMAN K3 DAN KAM</v>
          </cell>
          <cell r="O263">
            <v>7412000</v>
          </cell>
          <cell r="P263" t="str">
            <v>10/09/2025 09:10:00 - 10/09/2025 10:10:00</v>
          </cell>
          <cell r="Q263">
            <v>861400</v>
          </cell>
        </row>
        <row r="264">
          <cell r="A264">
            <v>1282127514</v>
          </cell>
          <cell r="B264" t="str">
            <v>9619978ZY</v>
          </cell>
          <cell r="C264" t="str">
            <v>BAYU BASKORO</v>
          </cell>
          <cell r="D264">
            <v>96197613</v>
          </cell>
          <cell r="E264">
            <v>4120177567</v>
          </cell>
          <cell r="F264">
            <v>54</v>
          </cell>
          <cell r="G264" t="str">
            <v>Perjalanan Dinas Non-Diklat</v>
          </cell>
          <cell r="H264" t="str">
            <v>Kota Makassar - Jakarta Pusat</v>
          </cell>
          <cell r="I264" t="str">
            <v>08/09/2025 - 09/09/2025</v>
          </cell>
          <cell r="J264">
            <v>2</v>
          </cell>
          <cell r="K264" t="str">
            <v>Hotel</v>
          </cell>
          <cell r="L264" t="str">
            <v>04-09-2025 19:05:33</v>
          </cell>
          <cell r="M264" t="str">
            <v xml:space="preserve">MaxOneHotels Premier Melawai - 3.0 Stars  - </v>
          </cell>
          <cell r="N264" t="str">
            <v>TC HAR DIST</v>
          </cell>
          <cell r="O264">
            <v>74092707</v>
          </cell>
          <cell r="P264" t="str">
            <v>08/09/2025 14:00:00 - 09/09/2025 12:00:00</v>
          </cell>
          <cell r="Q264">
            <v>810000</v>
          </cell>
        </row>
        <row r="265">
          <cell r="A265">
            <v>1282131581</v>
          </cell>
          <cell r="B265" t="str">
            <v>9619978ZY</v>
          </cell>
          <cell r="C265" t="str">
            <v>BAYU BASKORO</v>
          </cell>
          <cell r="D265">
            <v>96197613</v>
          </cell>
          <cell r="E265">
            <v>4120177567</v>
          </cell>
          <cell r="F265">
            <v>54</v>
          </cell>
          <cell r="G265" t="str">
            <v>Perjalanan Dinas Non-Diklat</v>
          </cell>
          <cell r="H265" t="str">
            <v>Kota Makassar - Jakarta Pusat</v>
          </cell>
          <cell r="I265" t="str">
            <v>08/09/2025 - 09/09/2025</v>
          </cell>
          <cell r="J265">
            <v>2</v>
          </cell>
          <cell r="K265" t="str">
            <v>Flight One Way</v>
          </cell>
          <cell r="L265" t="str">
            <v>04-09-2025 19:19:18</v>
          </cell>
          <cell r="M265" t="str">
            <v>Garuda Indonesia  CGK Soekarno Hatta International Airport GA-618 - Garuda Indonesia Domestic UPG Hasanuddin GA-618</v>
          </cell>
          <cell r="N265" t="str">
            <v>TC HAR DIST</v>
          </cell>
          <cell r="O265">
            <v>74092707</v>
          </cell>
          <cell r="P265" t="str">
            <v>09/09/2025 20:15:00 - 09/09/2025 23:50:00</v>
          </cell>
          <cell r="Q265">
            <v>1874200</v>
          </cell>
        </row>
        <row r="266">
          <cell r="A266">
            <v>1282121674</v>
          </cell>
          <cell r="B266" t="str">
            <v>9619978ZY</v>
          </cell>
          <cell r="C266" t="str">
            <v>BAYU BASKORO</v>
          </cell>
          <cell r="D266">
            <v>96197613</v>
          </cell>
          <cell r="E266">
            <v>4120177567</v>
          </cell>
          <cell r="F266">
            <v>54</v>
          </cell>
          <cell r="G266" t="str">
            <v>Perjalanan Dinas Non-Diklat</v>
          </cell>
          <cell r="H266" t="str">
            <v>Kota Makassar - Jakarta Pusat</v>
          </cell>
          <cell r="I266" t="str">
            <v>08/09/2025 - 09/09/2025</v>
          </cell>
          <cell r="J266">
            <v>2</v>
          </cell>
          <cell r="K266" t="str">
            <v>Flight One Way</v>
          </cell>
          <cell r="L266" t="str">
            <v>04-09-2025 18:45:42</v>
          </cell>
          <cell r="M266" t="str">
            <v>Garuda Indonesia Domestic UPG Hasanuddin GA-611 - Garuda Indonesia  CGK Soekarno Hatta International Airport GA-611</v>
          </cell>
          <cell r="N266" t="str">
            <v>TC HAR DIST</v>
          </cell>
          <cell r="O266">
            <v>74092707</v>
          </cell>
          <cell r="P266" t="str">
            <v>08/09/2025 11:20:00 - 08/09/2025 12:45:00</v>
          </cell>
          <cell r="Q266">
            <v>2289800</v>
          </cell>
        </row>
        <row r="267">
          <cell r="A267">
            <v>1282128832</v>
          </cell>
          <cell r="B267" t="str">
            <v>7095015F</v>
          </cell>
          <cell r="C267" t="str">
            <v xml:space="preserve">EDYANSYAH </v>
          </cell>
          <cell r="D267">
            <v>70957602</v>
          </cell>
          <cell r="E267">
            <v>4120177579</v>
          </cell>
          <cell r="F267">
            <v>54</v>
          </cell>
          <cell r="G267" t="str">
            <v>Perjalanan Dinas Non-Diklat</v>
          </cell>
          <cell r="H267" t="str">
            <v>Kota Makassar - Kab. Bombana - Jakarta Pusat</v>
          </cell>
          <cell r="I267" t="str">
            <v>08/09/2025 - 12/09/2025</v>
          </cell>
          <cell r="J267">
            <v>5</v>
          </cell>
          <cell r="K267" t="str">
            <v>Hotel</v>
          </cell>
          <cell r="L267" t="str">
            <v>04-09-2025 19:09:56</v>
          </cell>
          <cell r="M267" t="str">
            <v xml:space="preserve">CLARO Kendari - 4.0 Stars  - </v>
          </cell>
          <cell r="N267" t="str">
            <v>GM</v>
          </cell>
          <cell r="O267">
            <v>7412000</v>
          </cell>
          <cell r="P267" t="str">
            <v>08/09/2025 14:00:00 - 10/09/2025 12:00:00</v>
          </cell>
          <cell r="Q267">
            <v>1600000</v>
          </cell>
        </row>
        <row r="268">
          <cell r="A268">
            <v>1282745804</v>
          </cell>
          <cell r="B268" t="str">
            <v>7095015F</v>
          </cell>
          <cell r="C268" t="str">
            <v xml:space="preserve">EDYANSYAH </v>
          </cell>
          <cell r="D268">
            <v>70957602</v>
          </cell>
          <cell r="E268">
            <v>4120177579</v>
          </cell>
          <cell r="F268">
            <v>54</v>
          </cell>
          <cell r="G268" t="str">
            <v>Perjalanan Dinas Non-Diklat</v>
          </cell>
          <cell r="H268" t="str">
            <v>Kota Makassar - Kab. Bombana - Jakarta Pusat</v>
          </cell>
          <cell r="I268" t="str">
            <v>08/09/2025 - 12/09/2025</v>
          </cell>
          <cell r="J268">
            <v>5</v>
          </cell>
          <cell r="K268" t="str">
            <v>Flight One Way</v>
          </cell>
          <cell r="L268" t="str">
            <v>07-09-2025 03:49:56</v>
          </cell>
          <cell r="M268" t="str">
            <v>Batik Air  KDI Haluoleo ID-6723 - Batik Air 2D CGK Soekarno Hatta International Airport ID-6723</v>
          </cell>
          <cell r="N268" t="str">
            <v>GM</v>
          </cell>
          <cell r="O268">
            <v>7412000</v>
          </cell>
          <cell r="P268" t="str">
            <v>10/09/2025 08:00:00 - 10/09/2025 09:40:00</v>
          </cell>
          <cell r="Q268">
            <v>1618300</v>
          </cell>
        </row>
        <row r="269">
          <cell r="A269">
            <v>1282019059</v>
          </cell>
          <cell r="B269" t="str">
            <v>7095015F</v>
          </cell>
          <cell r="C269" t="str">
            <v xml:space="preserve">EDYANSYAH </v>
          </cell>
          <cell r="D269">
            <v>70957602</v>
          </cell>
          <cell r="E269">
            <v>4120177579</v>
          </cell>
          <cell r="F269">
            <v>54</v>
          </cell>
          <cell r="G269" t="str">
            <v>Perjalanan Dinas Non-Diklat</v>
          </cell>
          <cell r="H269" t="str">
            <v>Kota Makassar - Kab. Bombana - Jakarta Pusat</v>
          </cell>
          <cell r="I269" t="str">
            <v>08/09/2025 - 12/09/2025</v>
          </cell>
          <cell r="J269">
            <v>5</v>
          </cell>
          <cell r="K269" t="str">
            <v>Flight One Way</v>
          </cell>
          <cell r="L269" t="str">
            <v>04-09-2025 12:53:20</v>
          </cell>
          <cell r="M269" t="str">
            <v>Garuda Indonesia Domestic UPG Hasanuddin GA-604 - Garuda Indonesia  KDI Haluoleo GA-604</v>
          </cell>
          <cell r="N269" t="str">
            <v>GM</v>
          </cell>
          <cell r="O269">
            <v>7412000</v>
          </cell>
          <cell r="P269" t="str">
            <v>08/09/2025 07:25:00 - 08/09/2025 08:25:00</v>
          </cell>
          <cell r="Q269">
            <v>915000</v>
          </cell>
        </row>
        <row r="270">
          <cell r="A270">
            <v>1281427064</v>
          </cell>
          <cell r="B270" t="str">
            <v>8609651Z</v>
          </cell>
          <cell r="C270" t="str">
            <v>KOMANG YEHUDA PRAWIRA</v>
          </cell>
          <cell r="D270">
            <v>86098203</v>
          </cell>
          <cell r="E270">
            <v>4120177539</v>
          </cell>
          <cell r="F270">
            <v>54</v>
          </cell>
          <cell r="G270" t="str">
            <v>Perjalanan Dinas Non-Diklat</v>
          </cell>
          <cell r="H270" t="str">
            <v>Kota Makassar - Kab. Mamuju</v>
          </cell>
          <cell r="I270" t="str">
            <v>03/09/2025 - 05/09/2025</v>
          </cell>
          <cell r="J270">
            <v>3</v>
          </cell>
          <cell r="K270" t="str">
            <v>Flight Round-Trip</v>
          </cell>
          <cell r="L270" t="str">
            <v>02-09-2025 09:26:40</v>
          </cell>
          <cell r="M270" t="str">
            <v>Batik Air Domestic UPG Hasanuddin ID-6788 - Batik Air  MJU Tampa Padang ID-6788</v>
          </cell>
          <cell r="N270" t="str">
            <v>MAN STR SAR</v>
          </cell>
          <cell r="O270">
            <v>7411143</v>
          </cell>
          <cell r="P270" t="str">
            <v>03/09/2025 10:00:00 - 03/09/2025 10:55:00</v>
          </cell>
          <cell r="Q270">
            <v>1651900</v>
          </cell>
        </row>
        <row r="271">
          <cell r="A271">
            <v>1281413447</v>
          </cell>
          <cell r="B271" t="str">
            <v>8609336Z</v>
          </cell>
          <cell r="C271" t="str">
            <v>RATHY SHINTA UTAMI</v>
          </cell>
          <cell r="D271">
            <v>86093800</v>
          </cell>
          <cell r="E271">
            <v>4120177479</v>
          </cell>
          <cell r="F271">
            <v>54</v>
          </cell>
          <cell r="G271" t="str">
            <v>Perjalanan Dinas Non-Diklat</v>
          </cell>
          <cell r="H271" t="str">
            <v>Kota Makassar - Kab. Mamuju</v>
          </cell>
          <cell r="I271" t="str">
            <v>31/08/2025 - 03/09/2025</v>
          </cell>
          <cell r="J271">
            <v>4</v>
          </cell>
          <cell r="K271" t="str">
            <v>Flight One Way</v>
          </cell>
          <cell r="L271" t="str">
            <v>02-09-2025 08:12:42</v>
          </cell>
          <cell r="M271" t="str">
            <v>Batik Air Domestic UPG Hasanuddin ID-6788 - Batik Air  MJU Tampa Padang ID-6788</v>
          </cell>
          <cell r="N271" t="str">
            <v>SPC KIN DIST</v>
          </cell>
          <cell r="O271">
            <v>7412000</v>
          </cell>
          <cell r="P271" t="str">
            <v>03/09/2025 10:00:00 - 03/09/2025 10:55:00</v>
          </cell>
          <cell r="Q271">
            <v>873400</v>
          </cell>
        </row>
        <row r="272">
          <cell r="A272">
            <v>1281531139</v>
          </cell>
          <cell r="B272" t="str">
            <v>8609336Z</v>
          </cell>
          <cell r="C272" t="str">
            <v>RATHY SHINTA UTAMI</v>
          </cell>
          <cell r="D272">
            <v>86093800</v>
          </cell>
          <cell r="E272">
            <v>4120177479</v>
          </cell>
          <cell r="F272">
            <v>54</v>
          </cell>
          <cell r="G272" t="str">
            <v>Perjalanan Dinas Non-Diklat</v>
          </cell>
          <cell r="H272" t="str">
            <v>Kota Makassar - Kab. Mamuju</v>
          </cell>
          <cell r="I272" t="str">
            <v>03/09/2025 - 05/09/2025</v>
          </cell>
          <cell r="J272">
            <v>3</v>
          </cell>
          <cell r="K272" t="str">
            <v>Flight One Way</v>
          </cell>
          <cell r="L272" t="str">
            <v>02-09-2025 16:34:00</v>
          </cell>
          <cell r="M272" t="str">
            <v>Batik Air  MJU Tampa Padang ID-6789 - Batik Air Domestic UPG Hasanuddin ID-6789</v>
          </cell>
          <cell r="N272" t="str">
            <v>SPC KIN DIST</v>
          </cell>
          <cell r="O272">
            <v>7412000</v>
          </cell>
          <cell r="P272" t="str">
            <v>05/09/2025 11:35:00 - 05/09/2025 12:30:00</v>
          </cell>
          <cell r="Q272">
            <v>778500</v>
          </cell>
        </row>
        <row r="273">
          <cell r="A273">
            <v>1281517448</v>
          </cell>
          <cell r="B273" t="str">
            <v>9110047F</v>
          </cell>
          <cell r="C273" t="str">
            <v>ANDY JUNIWASTIAR</v>
          </cell>
          <cell r="D273">
            <v>91107606</v>
          </cell>
          <cell r="E273">
            <v>4120177526</v>
          </cell>
          <cell r="F273">
            <v>54</v>
          </cell>
          <cell r="G273" t="str">
            <v>Perjalanan Dinas Diklat</v>
          </cell>
          <cell r="H273" t="str">
            <v>Kota Makassar - Kota Yogyakarta</v>
          </cell>
          <cell r="I273" t="str">
            <v>01/09/2025 - 05/09/2025</v>
          </cell>
          <cell r="J273">
            <v>5</v>
          </cell>
          <cell r="K273" t="str">
            <v>Flight One Way</v>
          </cell>
          <cell r="L273" t="str">
            <v>02-09-2025 15:36:17</v>
          </cell>
          <cell r="M273" t="str">
            <v>Lion Air  YIA Yogyakarta International Airport JT-644 - Lion Air Domestic UPG Hasanuddin JT-644</v>
          </cell>
          <cell r="N273" t="str">
            <v>TL K3L DAN KAM</v>
          </cell>
          <cell r="O273">
            <v>74092701</v>
          </cell>
          <cell r="P273" t="str">
            <v>05/09/2025 15:40:00 - 05/09/2025 18:35:00</v>
          </cell>
          <cell r="Q273">
            <v>1134200</v>
          </cell>
        </row>
        <row r="274">
          <cell r="A274">
            <v>1280775598</v>
          </cell>
          <cell r="B274" t="str">
            <v>9110047F</v>
          </cell>
          <cell r="C274" t="str">
            <v>ANDY JUNIWASTIAR</v>
          </cell>
          <cell r="D274">
            <v>91107606</v>
          </cell>
          <cell r="E274">
            <v>4120177526</v>
          </cell>
          <cell r="F274">
            <v>54</v>
          </cell>
          <cell r="G274" t="str">
            <v>Perjalanan Dinas Diklat</v>
          </cell>
          <cell r="H274" t="str">
            <v>Kota Makassar - Kota Yogyakarta</v>
          </cell>
          <cell r="I274" t="str">
            <v>01/09/2025 - 05/09/2025</v>
          </cell>
          <cell r="J274">
            <v>5</v>
          </cell>
          <cell r="K274" t="str">
            <v>Flight One Way</v>
          </cell>
          <cell r="L274" t="str">
            <v>30-08-2025 09:07:15</v>
          </cell>
          <cell r="M274" t="str">
            <v>Lion Air Domestic UPG Hasanuddin JT-641 - Lion Air  YIA Yogyakarta International Airport JT-641</v>
          </cell>
          <cell r="N274" t="str">
            <v>TL K3L DAN KAM</v>
          </cell>
          <cell r="O274">
            <v>74092701</v>
          </cell>
          <cell r="P274" t="str">
            <v>01/09/2025 08:40:00 - 01/09/2025 09:35:00</v>
          </cell>
          <cell r="Q274">
            <v>1330000</v>
          </cell>
        </row>
        <row r="275">
          <cell r="A275">
            <v>1280636942</v>
          </cell>
          <cell r="B275" t="str">
            <v>9615052FY</v>
          </cell>
          <cell r="C275" t="str">
            <v>AGUS RIANTO WIBOWO</v>
          </cell>
          <cell r="D275">
            <v>96137735</v>
          </cell>
          <cell r="E275">
            <v>4120177497</v>
          </cell>
          <cell r="F275">
            <v>54</v>
          </cell>
          <cell r="G275" t="str">
            <v>Perjalanan Dinas Non-Diklat</v>
          </cell>
          <cell r="H275" t="str">
            <v>Kota Kendari - Kota Makassar</v>
          </cell>
          <cell r="I275" t="str">
            <v>02/09/2025 - 05/09/2025</v>
          </cell>
          <cell r="J275">
            <v>4</v>
          </cell>
          <cell r="K275" t="str">
            <v>Flight One Way</v>
          </cell>
          <cell r="L275" t="str">
            <v>29-08-2025 16:25:49</v>
          </cell>
          <cell r="M275" t="str">
            <v>Garuda Indonesia  KDI Haluoleo GA-605 - Garuda Indonesia Domestic UPG Hasanuddin GA-605</v>
          </cell>
          <cell r="N275" t="str">
            <v>JOF ADM MUM</v>
          </cell>
          <cell r="O275">
            <v>7412240</v>
          </cell>
          <cell r="P275" t="str">
            <v>02/09/2025 09:10:00 - 02/09/2025 10:10:00</v>
          </cell>
          <cell r="Q275">
            <v>970800</v>
          </cell>
        </row>
        <row r="276">
          <cell r="A276">
            <v>1281674926</v>
          </cell>
          <cell r="B276" t="str">
            <v>8512119ZY</v>
          </cell>
          <cell r="C276" t="str">
            <v>MUHAMMAD ROYAN BUDI RINALDY</v>
          </cell>
          <cell r="D276">
            <v>85128000</v>
          </cell>
          <cell r="E276">
            <v>4120177521</v>
          </cell>
          <cell r="F276">
            <v>54</v>
          </cell>
          <cell r="G276" t="str">
            <v>Perjalanan Dinas Diklat</v>
          </cell>
          <cell r="H276" t="str">
            <v>Kota Makassar - Kota Yogyakarta</v>
          </cell>
          <cell r="I276" t="str">
            <v>01/09/2025 - 05/09/2025</v>
          </cell>
          <cell r="J276">
            <v>5</v>
          </cell>
          <cell r="K276" t="str">
            <v>Flight One Way</v>
          </cell>
          <cell r="L276" t="str">
            <v>03-09-2025 09:08:12</v>
          </cell>
          <cell r="M276" t="str">
            <v>Lion Air  YIA Yogyakarta International Airport JT-644 - Lion Air Domestic UPG Hasanuddin JT-644</v>
          </cell>
          <cell r="N276" t="str">
            <v>ASMAN LING</v>
          </cell>
          <cell r="O276">
            <v>7412000</v>
          </cell>
          <cell r="P276" t="str">
            <v>05/09/2025 15:40:00 - 05/09/2025 18:35:00</v>
          </cell>
          <cell r="Q276">
            <v>1134200</v>
          </cell>
        </row>
        <row r="277">
          <cell r="A277">
            <v>1280756627</v>
          </cell>
          <cell r="B277" t="str">
            <v>8512119ZY</v>
          </cell>
          <cell r="C277" t="str">
            <v>MUHAMMAD ROYAN BUDI RINALDY</v>
          </cell>
          <cell r="D277">
            <v>85128000</v>
          </cell>
          <cell r="E277">
            <v>4120177521</v>
          </cell>
          <cell r="F277">
            <v>54</v>
          </cell>
          <cell r="G277" t="str">
            <v>Perjalanan Dinas Diklat</v>
          </cell>
          <cell r="H277" t="str">
            <v>Kota Makassar - Kota Yogyakarta</v>
          </cell>
          <cell r="I277" t="str">
            <v>01/09/2025 - 05/09/2025</v>
          </cell>
          <cell r="J277">
            <v>5</v>
          </cell>
          <cell r="K277" t="str">
            <v>Flight One Way</v>
          </cell>
          <cell r="L277" t="str">
            <v>30-08-2025 06:58:55</v>
          </cell>
          <cell r="M277" t="str">
            <v>Lion Air Domestic UPG Hasanuddin JT-641 - Lion Air  YIA Yogyakarta International Airport JT-641</v>
          </cell>
          <cell r="N277" t="str">
            <v>ASMAN LING</v>
          </cell>
          <cell r="O277">
            <v>7412000</v>
          </cell>
          <cell r="P277" t="str">
            <v>01/09/2025 08:40:00 - 01/09/2025 09:35:00</v>
          </cell>
          <cell r="Q277">
            <v>1330000</v>
          </cell>
        </row>
        <row r="278">
          <cell r="A278">
            <v>1280770841</v>
          </cell>
          <cell r="B278" t="str">
            <v>9110014F</v>
          </cell>
          <cell r="C278" t="str">
            <v>RESJAN MANAYA SAMBARA</v>
          </cell>
          <cell r="D278">
            <v>91107603</v>
          </cell>
          <cell r="E278">
            <v>4120177507</v>
          </cell>
          <cell r="F278">
            <v>54</v>
          </cell>
          <cell r="G278" t="str">
            <v>Perjalanan Dinas Diklat</v>
          </cell>
          <cell r="H278" t="str">
            <v>Kota Makassar - Kota Yogyakarta</v>
          </cell>
          <cell r="I278" t="str">
            <v>01/09/2025 - 05/09/2025</v>
          </cell>
          <cell r="J278">
            <v>5</v>
          </cell>
          <cell r="K278" t="str">
            <v>Flight One Way</v>
          </cell>
          <cell r="L278" t="str">
            <v>30-08-2025 08:40:25</v>
          </cell>
          <cell r="M278" t="str">
            <v>Lion Air Domestic UPG Hasanuddin JT-641 - Lion Air  YIA Yogyakarta International Airport JT-641</v>
          </cell>
          <cell r="N278" t="str">
            <v>TL K3L DAN KAM</v>
          </cell>
          <cell r="O278">
            <v>74092801</v>
          </cell>
          <cell r="P278" t="str">
            <v>01/09/2025 08:40:00 - 01/09/2025 09:35:00</v>
          </cell>
          <cell r="Q278">
            <v>1330000</v>
          </cell>
        </row>
        <row r="279">
          <cell r="A279">
            <v>1281513970</v>
          </cell>
          <cell r="B279" t="str">
            <v>9110014F</v>
          </cell>
          <cell r="C279" t="str">
            <v>RESJAN MANAYA SAMBARA</v>
          </cell>
          <cell r="D279">
            <v>91107603</v>
          </cell>
          <cell r="E279">
            <v>4120177507</v>
          </cell>
          <cell r="F279">
            <v>54</v>
          </cell>
          <cell r="G279" t="str">
            <v>Perjalanan Dinas Diklat</v>
          </cell>
          <cell r="H279" t="str">
            <v>Kota Makassar - Kota Yogyakarta</v>
          </cell>
          <cell r="I279" t="str">
            <v>01/09/2025 - 05/09/2025</v>
          </cell>
          <cell r="J279">
            <v>5</v>
          </cell>
          <cell r="K279" t="str">
            <v>Flight One Way</v>
          </cell>
          <cell r="L279" t="str">
            <v>02-09-2025 15:22:01</v>
          </cell>
          <cell r="M279" t="str">
            <v>Lion Air  YIA Yogyakarta International Airport JT-644 - Lion Air Domestic UPG Hasanuddin JT-644</v>
          </cell>
          <cell r="N279" t="str">
            <v>TL K3L DAN KAM</v>
          </cell>
          <cell r="O279">
            <v>74092801</v>
          </cell>
          <cell r="P279" t="str">
            <v>05/09/2025 15:40:00 - 05/09/2025 18:35:00</v>
          </cell>
          <cell r="Q279">
            <v>1134200</v>
          </cell>
        </row>
        <row r="280">
          <cell r="A280">
            <v>1280637841</v>
          </cell>
          <cell r="B280" t="str">
            <v>9618005FBY</v>
          </cell>
          <cell r="C280" t="str">
            <v>MUH. RIYAN MIFTA</v>
          </cell>
          <cell r="D280">
            <v>96187604</v>
          </cell>
          <cell r="E280">
            <v>4120177502</v>
          </cell>
          <cell r="F280">
            <v>54</v>
          </cell>
          <cell r="G280" t="str">
            <v>Perjalanan Dinas Diklat</v>
          </cell>
          <cell r="H280" t="str">
            <v>Kab. Mamuju - Kota Cilegon</v>
          </cell>
          <cell r="I280" t="str">
            <v>31/08/2025 - 05/09/2025</v>
          </cell>
          <cell r="J280">
            <v>6</v>
          </cell>
          <cell r="K280" t="str">
            <v>Flight One Way</v>
          </cell>
          <cell r="L280" t="str">
            <v>29-08-2025 16:29:55</v>
          </cell>
          <cell r="M280" t="str">
            <v>Batik Air  MJU Tampa Padang ID-6789 - Batik Air 1A CGK Soekarno Hatta International Airport ID-6789</v>
          </cell>
          <cell r="N280" t="str">
            <v>JTC KONS LISDES</v>
          </cell>
          <cell r="O280">
            <v>7412290</v>
          </cell>
          <cell r="P280" t="str">
            <v>31/08/2025 11:35:00 - 31/08/2025 14:45:00</v>
          </cell>
          <cell r="Q280">
            <v>2643000</v>
          </cell>
        </row>
        <row r="281">
          <cell r="A281">
            <v>1280738301</v>
          </cell>
          <cell r="B281" t="str">
            <v>9618005FBY</v>
          </cell>
          <cell r="C281" t="str">
            <v>MUH. RIYAN MIFTA</v>
          </cell>
          <cell r="D281">
            <v>96187604</v>
          </cell>
          <cell r="E281">
            <v>4120177502</v>
          </cell>
          <cell r="F281">
            <v>54</v>
          </cell>
          <cell r="G281" t="str">
            <v>Perjalanan Dinas Diklat</v>
          </cell>
          <cell r="H281" t="str">
            <v>Kab. Mamuju - Kota Cilegon</v>
          </cell>
          <cell r="I281" t="str">
            <v>31/08/2025 - 05/09/2025</v>
          </cell>
          <cell r="J281">
            <v>6</v>
          </cell>
          <cell r="K281" t="str">
            <v>Flight One Way</v>
          </cell>
          <cell r="L281" t="str">
            <v>30-08-2025 00:33:58</v>
          </cell>
          <cell r="M281" t="str">
            <v>Batik Air  MJU Tampa Padang ID-6789 - Batik Air 1A CGK Soekarno Hatta International Airport ID-6789</v>
          </cell>
          <cell r="N281" t="str">
            <v>JTC KONS LISDES</v>
          </cell>
          <cell r="O281">
            <v>7412290</v>
          </cell>
          <cell r="P281" t="str">
            <v>31/08/2025 11:35:00 - 31/08/2025 14:45:00</v>
          </cell>
          <cell r="Q281">
            <v>2595600</v>
          </cell>
        </row>
        <row r="282">
          <cell r="A282">
            <v>1281853254</v>
          </cell>
          <cell r="B282" t="str">
            <v>9618005FBY</v>
          </cell>
          <cell r="C282" t="str">
            <v>MUH. RIYAN MIFTA</v>
          </cell>
          <cell r="D282">
            <v>96187604</v>
          </cell>
          <cell r="E282">
            <v>4120177502</v>
          </cell>
          <cell r="F282">
            <v>54</v>
          </cell>
          <cell r="G282" t="str">
            <v>Perjalanan Dinas Diklat</v>
          </cell>
          <cell r="H282" t="str">
            <v>Kab. Mamuju - Kota Cilegon</v>
          </cell>
          <cell r="I282" t="str">
            <v>31/08/2025 - 05/09/2025</v>
          </cell>
          <cell r="J282">
            <v>6</v>
          </cell>
          <cell r="K282" t="str">
            <v>Flight One Way</v>
          </cell>
          <cell r="L282" t="str">
            <v>03-09-2025 20:33:33</v>
          </cell>
          <cell r="M282" t="str">
            <v>Garuda Indonesia  CGK Soekarno Hatta International Airport GA-604 - Garuda Indonesia Domestic UPG Hasanuddin GA-604</v>
          </cell>
          <cell r="N282" t="str">
            <v>JTC KONS LISDES</v>
          </cell>
          <cell r="O282">
            <v>7412290</v>
          </cell>
          <cell r="P282" t="str">
            <v>05/09/2025 02:50:00 - 05/09/2025 06:25:00</v>
          </cell>
          <cell r="Q282">
            <v>2371200</v>
          </cell>
        </row>
        <row r="283">
          <cell r="A283">
            <v>1280750410</v>
          </cell>
          <cell r="B283" t="str">
            <v>8808064F</v>
          </cell>
          <cell r="C283" t="str">
            <v>ARMAN ARIF</v>
          </cell>
          <cell r="D283">
            <v>88087610</v>
          </cell>
          <cell r="E283">
            <v>4120177516</v>
          </cell>
          <cell r="F283">
            <v>54</v>
          </cell>
          <cell r="G283" t="str">
            <v>Perjalanan Dinas Diklat</v>
          </cell>
          <cell r="H283" t="str">
            <v>Kota Palopo - Jakarta Barat</v>
          </cell>
          <cell r="I283" t="str">
            <v>30/08/2025 - 06/09/2025</v>
          </cell>
          <cell r="J283">
            <v>8</v>
          </cell>
          <cell r="K283" t="str">
            <v>Flight Round-Trip</v>
          </cell>
          <cell r="L283" t="str">
            <v>30-08-2025 05:46:47</v>
          </cell>
          <cell r="M283" t="str">
            <v>Sriwijaya Air Domestic UPG Hasanuddin SJ-581 - Sriwijaya Air 1A CGK Soekarno Hatta International Airport SJ-581</v>
          </cell>
          <cell r="N283" t="str">
            <v>TL K3L DAN KAM</v>
          </cell>
          <cell r="O283">
            <v>7412260</v>
          </cell>
          <cell r="P283" t="str">
            <v>31/08/2025 12:10:00 - 31/08/2025 13:25:00</v>
          </cell>
          <cell r="Q283">
            <v>3724700</v>
          </cell>
        </row>
        <row r="284">
          <cell r="A284">
            <v>1281744423</v>
          </cell>
          <cell r="B284" t="str">
            <v>9616062FY</v>
          </cell>
          <cell r="C284" t="str">
            <v>MUHAMMAD REZKI NEHRU</v>
          </cell>
          <cell r="D284">
            <v>96167812</v>
          </cell>
          <cell r="E284">
            <v>4120177486</v>
          </cell>
          <cell r="F284">
            <v>54</v>
          </cell>
          <cell r="G284" t="str">
            <v>Perjalanan Dinas Diklat</v>
          </cell>
          <cell r="H284" t="str">
            <v>Kota Makassar - Kota Cilegon</v>
          </cell>
          <cell r="I284" t="str">
            <v>31/08/2025 - 05/09/2025</v>
          </cell>
          <cell r="J284">
            <v>6</v>
          </cell>
          <cell r="K284" t="str">
            <v>Flight One Way</v>
          </cell>
          <cell r="L284" t="str">
            <v>03-09-2025 13:34:57</v>
          </cell>
          <cell r="M284" t="str">
            <v>Garuda Indonesia  CGK Soekarno Hatta International Airport GA-604 - Garuda Indonesia Domestic UPG Hasanuddin GA-604</v>
          </cell>
          <cell r="N284" t="str">
            <v>JTC KONS LISDES</v>
          </cell>
          <cell r="O284">
            <v>7412000</v>
          </cell>
          <cell r="P284" t="str">
            <v>05/09/2025 02:50:00 - 05/09/2025 06:25:00</v>
          </cell>
          <cell r="Q284">
            <v>1431600</v>
          </cell>
        </row>
        <row r="285">
          <cell r="A285">
            <v>1280620370</v>
          </cell>
          <cell r="B285" t="str">
            <v>9616062FY</v>
          </cell>
          <cell r="C285" t="str">
            <v>MUHAMMAD REZKI NEHRU</v>
          </cell>
          <cell r="D285">
            <v>96167812</v>
          </cell>
          <cell r="E285">
            <v>4120177486</v>
          </cell>
          <cell r="F285">
            <v>54</v>
          </cell>
          <cell r="G285" t="str">
            <v>Perjalanan Dinas Diklat</v>
          </cell>
          <cell r="H285" t="str">
            <v>Kota Makassar - Kota Cilegon</v>
          </cell>
          <cell r="I285" t="str">
            <v>31/08/2025 - 05/09/2025</v>
          </cell>
          <cell r="J285">
            <v>6</v>
          </cell>
          <cell r="K285" t="str">
            <v>Flight One Way</v>
          </cell>
          <cell r="L285" t="str">
            <v>29-08-2025 15:19:01</v>
          </cell>
          <cell r="M285" t="str">
            <v>Garuda Indonesia Domestic UPG Hasanuddin GA-605 - Garuda Indonesia  CGK Soekarno Hatta International Airport GA-605</v>
          </cell>
          <cell r="N285" t="str">
            <v>JTC KONS LISDES</v>
          </cell>
          <cell r="O285">
            <v>7412000</v>
          </cell>
          <cell r="P285" t="str">
            <v>31/08/2025 10:55:00 - 31/08/2025 12:25:00</v>
          </cell>
          <cell r="Q285">
            <v>2349600</v>
          </cell>
        </row>
        <row r="286">
          <cell r="A286">
            <v>1280599920</v>
          </cell>
          <cell r="B286" t="str">
            <v>9518699ZY</v>
          </cell>
          <cell r="C286" t="str">
            <v>RISKY ASWARA ASWIN</v>
          </cell>
          <cell r="D286">
            <v>95187604</v>
          </cell>
          <cell r="E286">
            <v>4120177519</v>
          </cell>
          <cell r="F286">
            <v>54</v>
          </cell>
          <cell r="G286" t="str">
            <v>Perjalanan Dinas Diklat</v>
          </cell>
          <cell r="H286" t="str">
            <v>Kota Makassar - Kota Yogyakarta</v>
          </cell>
          <cell r="I286" t="str">
            <v>01/09/2025 - 05/09/2025</v>
          </cell>
          <cell r="J286">
            <v>5</v>
          </cell>
          <cell r="K286" t="str">
            <v>Flight Round-Trip</v>
          </cell>
          <cell r="L286" t="str">
            <v>29-08-2025 13:59:33</v>
          </cell>
          <cell r="M286" t="str">
            <v>Lion Air Domestic UPG Hasanuddin JT-641 - Lion Air  YIA Yogyakarta International Airport JT-641</v>
          </cell>
          <cell r="N286" t="str">
            <v>OF LING</v>
          </cell>
          <cell r="O286">
            <v>7412000</v>
          </cell>
          <cell r="P286" t="str">
            <v>01/09/2025 08:40:00 - 01/09/2025 09:35:00</v>
          </cell>
          <cell r="Q286">
            <v>2329800</v>
          </cell>
        </row>
        <row r="287">
          <cell r="A287">
            <v>1280628422</v>
          </cell>
          <cell r="B287" t="str">
            <v>9317719ZY</v>
          </cell>
          <cell r="C287" t="str">
            <v>NUR LAYLA SARI HS</v>
          </cell>
          <cell r="D287">
            <v>93177609</v>
          </cell>
          <cell r="E287">
            <v>4120177518</v>
          </cell>
          <cell r="F287">
            <v>54</v>
          </cell>
          <cell r="G287" t="str">
            <v>Perjalanan Dinas Diklat</v>
          </cell>
          <cell r="H287" t="str">
            <v>Kota Makassar - Jakarta Barat</v>
          </cell>
          <cell r="I287" t="str">
            <v>30/08/2025 - 06/09/2025</v>
          </cell>
          <cell r="J287">
            <v>8</v>
          </cell>
          <cell r="K287" t="str">
            <v>Flight Round-Trip</v>
          </cell>
          <cell r="L287" t="str">
            <v>29-08-2025 15:50:54</v>
          </cell>
          <cell r="M287" t="str">
            <v>Garuda Indonesia Domestic UPG Hasanuddin GA-615 - Garuda Indonesia  CGK Soekarno Hatta International Airport GA-615</v>
          </cell>
          <cell r="N287" t="str">
            <v>OF K3 DAN KAM</v>
          </cell>
          <cell r="O287">
            <v>7412000</v>
          </cell>
          <cell r="P287" t="str">
            <v>30/08/2025 19:00:00 - 30/08/2025 20:25:00</v>
          </cell>
          <cell r="Q287">
            <v>4735300</v>
          </cell>
        </row>
        <row r="288">
          <cell r="A288">
            <v>1282311288</v>
          </cell>
          <cell r="B288" t="str">
            <v>9317719ZY</v>
          </cell>
          <cell r="C288" t="str">
            <v>NUR LAYLA SARI HS</v>
          </cell>
          <cell r="D288">
            <v>93177609</v>
          </cell>
          <cell r="E288">
            <v>4120177518</v>
          </cell>
          <cell r="F288">
            <v>54</v>
          </cell>
          <cell r="G288" t="str">
            <v>Perjalanan Dinas Diklat</v>
          </cell>
          <cell r="H288" t="str">
            <v>Kota Makassar - Jakarta Barat</v>
          </cell>
          <cell r="I288" t="str">
            <v>30/08/2025 - 06/09/2025</v>
          </cell>
          <cell r="J288">
            <v>8</v>
          </cell>
          <cell r="K288" t="str">
            <v>Hotel</v>
          </cell>
          <cell r="L288" t="str">
            <v>05-09-2025 12:13:41</v>
          </cell>
          <cell r="M288" t="str">
            <v xml:space="preserve">ibis Styles Jakarta Airport - 3.0 Stars  - </v>
          </cell>
          <cell r="N288" t="str">
            <v>OF K3 DAN KAM</v>
          </cell>
          <cell r="O288">
            <v>7412000</v>
          </cell>
          <cell r="P288" t="str">
            <v>05/09/2025 14:00:00 - 06/09/2025 12:00:00</v>
          </cell>
          <cell r="Q288">
            <v>841192</v>
          </cell>
        </row>
        <row r="289">
          <cell r="A289">
            <v>1280897809</v>
          </cell>
          <cell r="B289" t="str">
            <v>9619392ZY</v>
          </cell>
          <cell r="C289" t="str">
            <v>YOGA YUNIAR B M</v>
          </cell>
          <cell r="D289">
            <v>96196205</v>
          </cell>
          <cell r="E289">
            <v>4120177517</v>
          </cell>
          <cell r="F289">
            <v>54</v>
          </cell>
          <cell r="G289" t="str">
            <v>Perjalanan Dinas Diklat</v>
          </cell>
          <cell r="H289" t="str">
            <v>Kab. Pinrang - Jakarta Barat</v>
          </cell>
          <cell r="I289" t="str">
            <v>30/08/2025 - 06/09/2025</v>
          </cell>
          <cell r="J289">
            <v>8</v>
          </cell>
          <cell r="K289" t="str">
            <v>Hotel</v>
          </cell>
          <cell r="L289" t="str">
            <v>30-08-2025 18:33:41</v>
          </cell>
          <cell r="M289" t="str">
            <v xml:space="preserve">Royal Palm Hotel &amp; Conference Center Cengkareng - 4.0 Stars  - </v>
          </cell>
          <cell r="N289" t="str">
            <v>TL K3L DAN KAM</v>
          </cell>
          <cell r="O289">
            <v>7412250</v>
          </cell>
          <cell r="P289" t="str">
            <v>30/08/2025 14:00:00 - 31/08/2025 12:00:00</v>
          </cell>
          <cell r="Q289">
            <v>637338</v>
          </cell>
        </row>
        <row r="290">
          <cell r="A290">
            <v>1280580127</v>
          </cell>
          <cell r="B290" t="str">
            <v>9619392ZY</v>
          </cell>
          <cell r="C290" t="str">
            <v>YOGA YUNIAR B M</v>
          </cell>
          <cell r="D290">
            <v>96196205</v>
          </cell>
          <cell r="E290">
            <v>4120177517</v>
          </cell>
          <cell r="F290">
            <v>54</v>
          </cell>
          <cell r="G290" t="str">
            <v>Perjalanan Dinas Diklat</v>
          </cell>
          <cell r="H290" t="str">
            <v>Kab. Pinrang - Jakarta Barat</v>
          </cell>
          <cell r="I290" t="str">
            <v>30/08/2025 - 06/09/2025</v>
          </cell>
          <cell r="J290">
            <v>8</v>
          </cell>
          <cell r="K290" t="str">
            <v>Flight One Way</v>
          </cell>
          <cell r="L290" t="str">
            <v>29-08-2025 12:41:50</v>
          </cell>
          <cell r="M290" t="str">
            <v>Citilink Domestic UPG Hasanuddin QG-427 - Citilink 1B CGK Soekarno Hatta International Airport QG-427</v>
          </cell>
          <cell r="N290" t="str">
            <v>TL K3L DAN KAM</v>
          </cell>
          <cell r="O290">
            <v>7412250</v>
          </cell>
          <cell r="P290" t="str">
            <v>30/08/2025 22:10:00 - 30/08/2025 23:30:00</v>
          </cell>
          <cell r="Q290">
            <v>1547700</v>
          </cell>
        </row>
        <row r="291">
          <cell r="A291">
            <v>1281656532</v>
          </cell>
          <cell r="B291" t="str">
            <v>9619392ZY</v>
          </cell>
          <cell r="C291" t="str">
            <v>YOGA YUNIAR B M</v>
          </cell>
          <cell r="D291">
            <v>96196205</v>
          </cell>
          <cell r="E291">
            <v>4120177517</v>
          </cell>
          <cell r="F291">
            <v>54</v>
          </cell>
          <cell r="G291" t="str">
            <v>Perjalanan Dinas Diklat</v>
          </cell>
          <cell r="H291" t="str">
            <v>Kab. Pinrang - Jakarta Barat</v>
          </cell>
          <cell r="I291" t="str">
            <v>30/08/2025 - 06/09/2025</v>
          </cell>
          <cell r="J291">
            <v>8</v>
          </cell>
          <cell r="K291" t="str">
            <v>Flight One Way</v>
          </cell>
          <cell r="L291" t="str">
            <v>03-09-2025 07:23:08</v>
          </cell>
          <cell r="M291" t="str">
            <v>Garuda Indonesia  CGK Soekarno Hatta International Airport GA-618 - Garuda Indonesia Domestic UPG Hasanuddin GA-618</v>
          </cell>
          <cell r="N291" t="str">
            <v>TL K3L DAN KAM</v>
          </cell>
          <cell r="O291">
            <v>7412250</v>
          </cell>
          <cell r="P291" t="str">
            <v>06/09/2025 20:15:00 - 06/09/2025 23:50:00</v>
          </cell>
          <cell r="Q291">
            <v>1431600</v>
          </cell>
        </row>
        <row r="292">
          <cell r="A292">
            <v>1282237861</v>
          </cell>
          <cell r="B292" t="str">
            <v>9619392ZY</v>
          </cell>
          <cell r="C292" t="str">
            <v>YOGA YUNIAR B M</v>
          </cell>
          <cell r="D292">
            <v>96196205</v>
          </cell>
          <cell r="E292">
            <v>4120177517</v>
          </cell>
          <cell r="F292">
            <v>54</v>
          </cell>
          <cell r="G292" t="str">
            <v>Perjalanan Dinas Diklat</v>
          </cell>
          <cell r="H292" t="str">
            <v>Kab. Pinrang - Jakarta Barat</v>
          </cell>
          <cell r="I292" t="str">
            <v>30/08/2025 - 06/09/2025</v>
          </cell>
          <cell r="J292">
            <v>8</v>
          </cell>
          <cell r="K292" t="str">
            <v>Hotel</v>
          </cell>
          <cell r="L292" t="str">
            <v>05-09-2025 07:36:39</v>
          </cell>
          <cell r="M292" t="str">
            <v xml:space="preserve">Arosa Hotel Jakarta - 3.0 Stars  - </v>
          </cell>
          <cell r="N292" t="str">
            <v>TL K3L DAN KAM</v>
          </cell>
          <cell r="O292">
            <v>7412250</v>
          </cell>
          <cell r="P292" t="str">
            <v>05/09/2025 14:00:00 - 06/09/2025 12:00:00</v>
          </cell>
          <cell r="Q292">
            <v>641250</v>
          </cell>
        </row>
        <row r="293">
          <cell r="A293">
            <v>1280548362</v>
          </cell>
          <cell r="B293" t="str">
            <v>9619975ZY</v>
          </cell>
          <cell r="C293" t="str">
            <v>SEKARWATI CIPTOROSO</v>
          </cell>
          <cell r="D293">
            <v>96197610</v>
          </cell>
          <cell r="E293">
            <v>4120177514</v>
          </cell>
          <cell r="F293">
            <v>54</v>
          </cell>
          <cell r="G293" t="str">
            <v>Perjalanan Dinas Non-Diklat</v>
          </cell>
          <cell r="H293" t="str">
            <v>Kota Baubau - Kota Makassar</v>
          </cell>
          <cell r="I293" t="str">
            <v>02/09/2025 - 05/09/2025</v>
          </cell>
          <cell r="J293">
            <v>4</v>
          </cell>
          <cell r="K293" t="str">
            <v>Flight One Way</v>
          </cell>
          <cell r="L293" t="str">
            <v>29-08-2025 10:35:44</v>
          </cell>
          <cell r="M293" t="str">
            <v>Super Air Jet  BUW Betoambari IU-573 - Super Air Jet  UPG Hasanuddin IU-573</v>
          </cell>
          <cell r="N293" t="str">
            <v>OF KIN KEU DAN MUM</v>
          </cell>
          <cell r="O293">
            <v>7412280</v>
          </cell>
          <cell r="P293" t="str">
            <v>02/09/2025 15:35:00 - 02/09/2025 16:20:00</v>
          </cell>
          <cell r="Q293">
            <v>744200</v>
          </cell>
        </row>
        <row r="294">
          <cell r="A294">
            <v>1280558996</v>
          </cell>
          <cell r="B294" t="str">
            <v>9619975ZY</v>
          </cell>
          <cell r="C294" t="str">
            <v>SEKARWATI CIPTOROSO</v>
          </cell>
          <cell r="D294">
            <v>96197610</v>
          </cell>
          <cell r="E294">
            <v>4120177514</v>
          </cell>
          <cell r="F294">
            <v>54</v>
          </cell>
          <cell r="G294" t="str">
            <v>Perjalanan Dinas Non-Diklat</v>
          </cell>
          <cell r="H294" t="str">
            <v>Kota Baubau - Kota Makassar</v>
          </cell>
          <cell r="I294" t="str">
            <v>02/09/2025 - 05/09/2025</v>
          </cell>
          <cell r="J294">
            <v>4</v>
          </cell>
          <cell r="K294" t="str">
            <v>Hotel</v>
          </cell>
          <cell r="L294" t="str">
            <v>29-08-2025 11:16:47</v>
          </cell>
          <cell r="M294" t="str">
            <v xml:space="preserve">Vasaka Hotel Makassar Managed By Dafam - 3.5 Stars  - </v>
          </cell>
          <cell r="N294" t="str">
            <v>OF KIN KEU DAN MUM</v>
          </cell>
          <cell r="O294">
            <v>7412280</v>
          </cell>
          <cell r="P294" t="str">
            <v>02/09/2025 14:00:00 - 05/09/2025 12:00:00</v>
          </cell>
          <cell r="Q294">
            <v>1738800</v>
          </cell>
        </row>
        <row r="295">
          <cell r="A295">
            <v>1280376865</v>
          </cell>
          <cell r="B295" t="str">
            <v>9112002FY</v>
          </cell>
          <cell r="C295" t="str">
            <v>ABDUL RAIS</v>
          </cell>
          <cell r="D295">
            <v>91127600</v>
          </cell>
          <cell r="E295">
            <v>4120177506</v>
          </cell>
          <cell r="F295">
            <v>54</v>
          </cell>
          <cell r="G295" t="str">
            <v>Perjalanan Dinas Diklat</v>
          </cell>
          <cell r="H295" t="str">
            <v>Kota Baubau - Kota Yogyakarta</v>
          </cell>
          <cell r="I295" t="str">
            <v>01/09/2025 - 05/09/2025</v>
          </cell>
          <cell r="J295">
            <v>5</v>
          </cell>
          <cell r="K295" t="str">
            <v>Flight Round-Trip</v>
          </cell>
          <cell r="L295" t="str">
            <v>28-08-2025 16:20:35</v>
          </cell>
          <cell r="M295" t="str">
            <v>Lion Air Domestic UPG Hasanuddin JT-641 - Lion Air  YIA Yogyakarta International Airport JT-641</v>
          </cell>
          <cell r="N295" t="str">
            <v>TL K3 DAN KAM LAY GAN</v>
          </cell>
          <cell r="O295">
            <v>7409650</v>
          </cell>
          <cell r="P295" t="str">
            <v>01/09/2025 08:40:00 - 01/09/2025 09:35:00</v>
          </cell>
          <cell r="Q295">
            <v>2598500</v>
          </cell>
        </row>
        <row r="296">
          <cell r="A296">
            <v>1280344826</v>
          </cell>
          <cell r="B296" t="str">
            <v>94171599ZY</v>
          </cell>
          <cell r="C296" t="str">
            <v>MUHAMMAD IQBAAL MS</v>
          </cell>
          <cell r="D296">
            <v>94177619</v>
          </cell>
          <cell r="E296">
            <v>4120177496</v>
          </cell>
          <cell r="F296">
            <v>54</v>
          </cell>
          <cell r="G296" t="str">
            <v>Perjalanan Dinas Diklat</v>
          </cell>
          <cell r="H296" t="str">
            <v>Kota Baubau - Kota Yogyakarta</v>
          </cell>
          <cell r="I296" t="str">
            <v>01/09/2025 - 05/09/2025</v>
          </cell>
          <cell r="J296">
            <v>5</v>
          </cell>
          <cell r="K296" t="str">
            <v>Flight One Way</v>
          </cell>
          <cell r="L296" t="str">
            <v>28-08-2025 14:15:47</v>
          </cell>
          <cell r="M296" t="str">
            <v>Wings Air  BUW Betoambari IW-1305 - Wings Air 2D CGK Soekarno Hatta International Airport IW-1305</v>
          </cell>
          <cell r="N296" t="str">
            <v>TL K3L DAN KAM</v>
          </cell>
          <cell r="O296">
            <v>7412280</v>
          </cell>
          <cell r="P296" t="str">
            <v>01/09/2025 06:30:00 - 01/09/2025 13:35:00</v>
          </cell>
          <cell r="Q296">
            <v>3247100</v>
          </cell>
        </row>
        <row r="297">
          <cell r="A297">
            <v>1280346724</v>
          </cell>
          <cell r="B297" t="str">
            <v>94171599ZY</v>
          </cell>
          <cell r="C297" t="str">
            <v>MUHAMMAD IQBAAL MS</v>
          </cell>
          <cell r="D297">
            <v>94177619</v>
          </cell>
          <cell r="E297">
            <v>4120177496</v>
          </cell>
          <cell r="F297">
            <v>54</v>
          </cell>
          <cell r="G297" t="str">
            <v>Perjalanan Dinas Diklat</v>
          </cell>
          <cell r="H297" t="str">
            <v>Kota Baubau - Kota Yogyakarta</v>
          </cell>
          <cell r="I297" t="str">
            <v>01/09/2025 - 05/09/2025</v>
          </cell>
          <cell r="J297">
            <v>5</v>
          </cell>
          <cell r="K297" t="str">
            <v>Flight One Way</v>
          </cell>
          <cell r="L297" t="str">
            <v>28-08-2025 14:22:48</v>
          </cell>
          <cell r="M297" t="str">
            <v>Wings Air  BUW Betoambari IW-1305 - Wings Air  YIA Yogyakarta International Airport IW-1305</v>
          </cell>
          <cell r="N297" t="str">
            <v>TL K3L DAN KAM</v>
          </cell>
          <cell r="O297">
            <v>7412280</v>
          </cell>
          <cell r="P297" t="str">
            <v>01/09/2025 06:30:00 - 01/09/2025 09:35:00</v>
          </cell>
          <cell r="Q297">
            <v>2827000</v>
          </cell>
        </row>
        <row r="298">
          <cell r="A298">
            <v>1280615523</v>
          </cell>
          <cell r="B298" t="str">
            <v>8808035F</v>
          </cell>
          <cell r="C298" t="str">
            <v>M. JABAL NOOR</v>
          </cell>
          <cell r="D298">
            <v>88087601</v>
          </cell>
          <cell r="E298">
            <v>4120177501</v>
          </cell>
          <cell r="F298">
            <v>54</v>
          </cell>
          <cell r="G298" t="str">
            <v>Perjalanan Dinas Diklat</v>
          </cell>
          <cell r="H298" t="str">
            <v>Kota Kendari - Jakarta Barat</v>
          </cell>
          <cell r="I298" t="str">
            <v>30/08/2025 - 06/09/2025</v>
          </cell>
          <cell r="J298">
            <v>8</v>
          </cell>
          <cell r="K298" t="str">
            <v>Flight One Way</v>
          </cell>
          <cell r="L298" t="str">
            <v>29-08-2025 14:59:44</v>
          </cell>
          <cell r="M298" t="str">
            <v>Pelita Air  KDI Haluoleo IP-811 - Pelita Air 3 CGK Soekarno Hatta International Airport IP-811</v>
          </cell>
          <cell r="N298" t="str">
            <v>TL K3L DAN KAM</v>
          </cell>
          <cell r="O298">
            <v>7412240</v>
          </cell>
          <cell r="P298" t="str">
            <v>31/08/2025 10:35:00 - 31/08/2025 12:20:00</v>
          </cell>
          <cell r="Q298">
            <v>2422000</v>
          </cell>
        </row>
        <row r="299">
          <cell r="A299">
            <v>1280628483</v>
          </cell>
          <cell r="B299" t="str">
            <v>8808035F</v>
          </cell>
          <cell r="C299" t="str">
            <v>M. JABAL NOOR</v>
          </cell>
          <cell r="D299">
            <v>88087601</v>
          </cell>
          <cell r="E299">
            <v>4120177501</v>
          </cell>
          <cell r="F299">
            <v>54</v>
          </cell>
          <cell r="G299" t="str">
            <v>Perjalanan Dinas Diklat</v>
          </cell>
          <cell r="H299" t="str">
            <v>Kota Kendari - Jakarta Barat</v>
          </cell>
          <cell r="I299" t="str">
            <v>30/08/2025 - 06/09/2025</v>
          </cell>
          <cell r="J299">
            <v>8</v>
          </cell>
          <cell r="K299" t="str">
            <v>Flight One Way</v>
          </cell>
          <cell r="L299" t="str">
            <v>29-08-2025 15:51:03</v>
          </cell>
          <cell r="M299" t="str">
            <v>Citilink 1B CGK Soekarno Hatta International Airport QG-330 - Citilink  KDI Haluoleo QG-330</v>
          </cell>
          <cell r="N299" t="str">
            <v>TL K3L DAN KAM</v>
          </cell>
          <cell r="O299">
            <v>7412240</v>
          </cell>
          <cell r="P299" t="str">
            <v>06/09/2025 13:00:00 - 06/09/2025 16:55:00</v>
          </cell>
          <cell r="Q299">
            <v>1881500</v>
          </cell>
        </row>
        <row r="300">
          <cell r="A300">
            <v>1280640250</v>
          </cell>
          <cell r="B300" t="str">
            <v>90112386Z</v>
          </cell>
          <cell r="C300" t="str">
            <v>ISWANTO HAKIM</v>
          </cell>
          <cell r="D300">
            <v>90117611</v>
          </cell>
          <cell r="E300">
            <v>4120177480</v>
          </cell>
          <cell r="F300">
            <v>54</v>
          </cell>
          <cell r="G300" t="str">
            <v>Perjalanan Dinas Non-Diklat</v>
          </cell>
          <cell r="H300" t="str">
            <v>Kab. Muna - Kota Baubau</v>
          </cell>
          <cell r="I300" t="str">
            <v>28/08/2025 - 30/08/2025</v>
          </cell>
          <cell r="J300">
            <v>3</v>
          </cell>
          <cell r="K300" t="str">
            <v>Hotel</v>
          </cell>
          <cell r="L300" t="str">
            <v>29-08-2025 16:39:50</v>
          </cell>
          <cell r="M300" t="str">
            <v>Zenith Premiere Hotel Baubau - 3.0 Stars  - Superior Twin</v>
          </cell>
          <cell r="N300" t="str">
            <v>MUL ULP (RAHA)</v>
          </cell>
          <cell r="O300">
            <v>7409651</v>
          </cell>
          <cell r="P300" t="str">
            <v>29/08/2025 14:00:00 - 30/08/2025 12:00:00</v>
          </cell>
          <cell r="Q300">
            <v>782655</v>
          </cell>
        </row>
        <row r="301">
          <cell r="A301">
            <v>1280308209</v>
          </cell>
          <cell r="B301" t="str">
            <v>91151479ZY</v>
          </cell>
          <cell r="C301" t="str">
            <v>RICKY TITIN TRIPUTRA</v>
          </cell>
          <cell r="D301">
            <v>91157612</v>
          </cell>
          <cell r="E301">
            <v>4120177487</v>
          </cell>
          <cell r="F301">
            <v>54</v>
          </cell>
          <cell r="G301" t="str">
            <v>Perjalanan Dinas Non-Diklat</v>
          </cell>
          <cell r="H301" t="str">
            <v>Kab. Wakatobi - Kota Baubau</v>
          </cell>
          <cell r="I301" t="str">
            <v>28/08/2025 - 30/08/2025</v>
          </cell>
          <cell r="J301">
            <v>3</v>
          </cell>
          <cell r="K301" t="str">
            <v>Hotel</v>
          </cell>
          <cell r="L301" t="str">
            <v>28-08-2025 11:53:53</v>
          </cell>
          <cell r="M301" t="str">
            <v xml:space="preserve">Zenith Premiere Hotel Baubau - 3.0 Stars  - </v>
          </cell>
          <cell r="N301" t="str">
            <v>MUL</v>
          </cell>
          <cell r="O301">
            <v>7409652</v>
          </cell>
          <cell r="P301" t="str">
            <v>29/08/2025 14:00:00 - 30/08/2025 12:00:00</v>
          </cell>
          <cell r="Q301">
            <v>789920</v>
          </cell>
        </row>
        <row r="302">
          <cell r="A302">
            <v>1280299982</v>
          </cell>
          <cell r="B302" t="str">
            <v>93151297ZY</v>
          </cell>
          <cell r="C302" t="str">
            <v>APRIZAL ARIF AMIR</v>
          </cell>
          <cell r="D302">
            <v>93157607</v>
          </cell>
          <cell r="E302">
            <v>4120177481</v>
          </cell>
          <cell r="F302">
            <v>54</v>
          </cell>
          <cell r="G302" t="str">
            <v>Perjalanan Dinas Non-Diklat</v>
          </cell>
          <cell r="H302" t="str">
            <v>Kab. Buton Tengah - Kota Baubau</v>
          </cell>
          <cell r="I302" t="str">
            <v>29/08/2025 - 30/08/2025</v>
          </cell>
          <cell r="J302">
            <v>2</v>
          </cell>
          <cell r="K302" t="str">
            <v>Hotel</v>
          </cell>
          <cell r="L302" t="str">
            <v>28-08-2025 11:23:34</v>
          </cell>
          <cell r="M302" t="str">
            <v xml:space="preserve">Zenith Premiere Hotel Baubau - 3.0 Stars  - </v>
          </cell>
          <cell r="N302" t="str">
            <v>MUL ULP (MAWASANGKA)</v>
          </cell>
          <cell r="O302">
            <v>7409654</v>
          </cell>
          <cell r="P302" t="str">
            <v>29/08/2025 14:00:00 - 30/08/2025 12:00:00</v>
          </cell>
          <cell r="Q302">
            <v>784120</v>
          </cell>
        </row>
        <row r="303">
          <cell r="A303">
            <v>1280387742</v>
          </cell>
          <cell r="B303" t="str">
            <v>9823328ZY</v>
          </cell>
          <cell r="C303" t="str">
            <v>ANDI FAUZAN ALIM</v>
          </cell>
          <cell r="D303">
            <v>98237600</v>
          </cell>
          <cell r="E303">
            <v>4120177484</v>
          </cell>
          <cell r="F303">
            <v>54</v>
          </cell>
          <cell r="G303" t="str">
            <v>Perjalanan Dinas Non-Diklat</v>
          </cell>
          <cell r="H303" t="str">
            <v>Kab. Bulukumba - Kota Makassar</v>
          </cell>
          <cell r="I303" t="str">
            <v>28/08/2025 - 29/08/2025</v>
          </cell>
          <cell r="J303">
            <v>2</v>
          </cell>
          <cell r="K303" t="str">
            <v>Hotel</v>
          </cell>
          <cell r="L303" t="str">
            <v>28-08-2025 17:05:21</v>
          </cell>
          <cell r="M303" t="str">
            <v xml:space="preserve">Gammara Hotel Makassar - 4.0 Stars  - </v>
          </cell>
          <cell r="N303" t="str">
            <v>TC DAL SUSUT</v>
          </cell>
          <cell r="O303">
            <v>7411273</v>
          </cell>
          <cell r="P303" t="str">
            <v>28/08/2025 14:00:00 - 29/08/2025 12:00:00</v>
          </cell>
          <cell r="Q303">
            <v>628625</v>
          </cell>
        </row>
        <row r="304">
          <cell r="A304">
            <v>1280196454</v>
          </cell>
          <cell r="B304" t="str">
            <v>96191275ZY</v>
          </cell>
          <cell r="C304" t="str">
            <v>BAMA RUSMALI</v>
          </cell>
          <cell r="D304">
            <v>96197617</v>
          </cell>
          <cell r="E304">
            <v>4120177473</v>
          </cell>
          <cell r="F304">
            <v>54</v>
          </cell>
          <cell r="G304" t="str">
            <v>Perjalanan Dinas Non-Diklat</v>
          </cell>
          <cell r="H304" t="str">
            <v>Kota Makassar - Jakarta Pusat</v>
          </cell>
          <cell r="I304" t="str">
            <v>28/08/2025 - 29/08/2025</v>
          </cell>
          <cell r="J304">
            <v>2</v>
          </cell>
          <cell r="K304" t="str">
            <v>Flight One Way</v>
          </cell>
          <cell r="L304" t="str">
            <v>27-08-2025 21:34:26</v>
          </cell>
          <cell r="M304" t="str">
            <v>Garuda Indonesia Domestic UPG Hasanuddin GA-611 - Garuda Indonesia  CGK Soekarno Hatta International Airport GA-611</v>
          </cell>
          <cell r="N304" t="str">
            <v>OF REN LIST PERDESAAN</v>
          </cell>
          <cell r="O304">
            <v>7412000</v>
          </cell>
          <cell r="P304" t="str">
            <v>28/08/2025 11:20:00 - 28/08/2025 12:45:00</v>
          </cell>
          <cell r="Q304">
            <v>2301000</v>
          </cell>
        </row>
        <row r="305">
          <cell r="A305">
            <v>1280210256</v>
          </cell>
          <cell r="B305" t="str">
            <v>96191275ZY</v>
          </cell>
          <cell r="C305" t="str">
            <v>BAMA RUSMALI</v>
          </cell>
          <cell r="D305">
            <v>96197617</v>
          </cell>
          <cell r="E305">
            <v>4120177473</v>
          </cell>
          <cell r="F305">
            <v>54</v>
          </cell>
          <cell r="G305" t="str">
            <v>Perjalanan Dinas Non-Diklat</v>
          </cell>
          <cell r="H305" t="str">
            <v>Kota Makassar - Jakarta Pusat</v>
          </cell>
          <cell r="I305" t="str">
            <v>28/08/2025 - 29/08/2025</v>
          </cell>
          <cell r="J305">
            <v>2</v>
          </cell>
          <cell r="K305" t="str">
            <v>Hotel</v>
          </cell>
          <cell r="L305" t="str">
            <v>27-08-2025 22:37:23</v>
          </cell>
          <cell r="M305" t="str">
            <v xml:space="preserve">Holiday Inn Express JAKARTA WAHID HASYIM by IHG, an IHG Hotel - 3.0 Stars  - </v>
          </cell>
          <cell r="N305" t="str">
            <v>OF REN LIST PERDESAAN</v>
          </cell>
          <cell r="O305">
            <v>7412000</v>
          </cell>
          <cell r="P305" t="str">
            <v>28/08/2025 14:00:00 - 29/08/2025 12:00:00</v>
          </cell>
          <cell r="Q305">
            <v>848038</v>
          </cell>
        </row>
        <row r="306">
          <cell r="A306">
            <v>1280140394</v>
          </cell>
          <cell r="B306" t="str">
            <v>8309472Z</v>
          </cell>
          <cell r="C306" t="str">
            <v>WAWANG WIRATAMA</v>
          </cell>
          <cell r="D306">
            <v>83098401</v>
          </cell>
          <cell r="E306">
            <v>4120177463</v>
          </cell>
          <cell r="F306">
            <v>54</v>
          </cell>
          <cell r="G306" t="str">
            <v>Perjalanan Dinas Non-Diklat</v>
          </cell>
          <cell r="H306" t="str">
            <v>Kota Makassar - Kab. Bone</v>
          </cell>
          <cell r="I306" t="str">
            <v>27/08/2025 - 29/08/2025</v>
          </cell>
          <cell r="J306">
            <v>3</v>
          </cell>
          <cell r="K306" t="str">
            <v>Hotel</v>
          </cell>
          <cell r="L306" t="str">
            <v>27-08-2025 17:43:50</v>
          </cell>
          <cell r="M306" t="str">
            <v xml:space="preserve">Helios Hotel and Convention - 3.0 Stars  - </v>
          </cell>
          <cell r="N306" t="str">
            <v>MAN PNGMANAN PDPT</v>
          </cell>
          <cell r="O306">
            <v>7411141</v>
          </cell>
          <cell r="P306" t="str">
            <v>27/08/2025 14:00:00 - 29/08/2025 12:00:00</v>
          </cell>
          <cell r="Q306">
            <v>1566360</v>
          </cell>
        </row>
        <row r="307">
          <cell r="A307">
            <v>1280049268</v>
          </cell>
          <cell r="B307" t="str">
            <v>7493078F</v>
          </cell>
          <cell r="C307" t="str">
            <v>MUHAMMAD IMRAN SARBIN AR</v>
          </cell>
          <cell r="D307">
            <v>74937604</v>
          </cell>
          <cell r="E307">
            <v>4120177476</v>
          </cell>
          <cell r="F307">
            <v>54</v>
          </cell>
          <cell r="G307" t="str">
            <v>Perjalanan Dinas Non-Diklat</v>
          </cell>
          <cell r="H307" t="str">
            <v>Kota Makassar - Jakarta Pusat</v>
          </cell>
          <cell r="I307" t="str">
            <v>27/08/2025 - 30/08/2025</v>
          </cell>
          <cell r="J307">
            <v>4</v>
          </cell>
          <cell r="K307" t="str">
            <v>Flight One Way</v>
          </cell>
          <cell r="L307" t="str">
            <v>27-08-2025 11:35:35</v>
          </cell>
          <cell r="M307" t="str">
            <v>Garuda Indonesia  CGK Soekarno Hatta International Airport GA-616 - Garuda Indonesia Domestic UPG Hasanuddin GA-616</v>
          </cell>
          <cell r="N307" t="str">
            <v>SOF PAT MAN</v>
          </cell>
          <cell r="O307">
            <v>74092801</v>
          </cell>
          <cell r="P307" t="str">
            <v>30/08/2025 16:45:00 - 30/08/2025 20:20:00</v>
          </cell>
          <cell r="Q307">
            <v>1870200</v>
          </cell>
        </row>
        <row r="308">
          <cell r="A308">
            <v>1280052318</v>
          </cell>
          <cell r="B308" t="str">
            <v>7493078F</v>
          </cell>
          <cell r="C308" t="str">
            <v>MUHAMMAD IMRAN SARBIN AR</v>
          </cell>
          <cell r="D308">
            <v>74937604</v>
          </cell>
          <cell r="E308">
            <v>4120177476</v>
          </cell>
          <cell r="F308">
            <v>54</v>
          </cell>
          <cell r="G308" t="str">
            <v>Perjalanan Dinas Non-Diklat</v>
          </cell>
          <cell r="H308" t="str">
            <v>Kota Makassar - Jakarta Pusat</v>
          </cell>
          <cell r="I308" t="str">
            <v>27/08/2025 - 30/08/2025</v>
          </cell>
          <cell r="J308">
            <v>4</v>
          </cell>
          <cell r="K308" t="str">
            <v>Hotel</v>
          </cell>
          <cell r="L308" t="str">
            <v>27-08-2025 11:47:05</v>
          </cell>
          <cell r="M308" t="str">
            <v xml:space="preserve">Juno Tanah Abang Jakarta - 3.0 Stars  - </v>
          </cell>
          <cell r="N308" t="str">
            <v>SOF PAT MAN</v>
          </cell>
          <cell r="O308">
            <v>74092801</v>
          </cell>
          <cell r="P308" t="str">
            <v>27/08/2025 14:00:00 - 30/08/2025 12:00:00</v>
          </cell>
          <cell r="Q308">
            <v>2298909</v>
          </cell>
        </row>
        <row r="309">
          <cell r="A309">
            <v>1280149341</v>
          </cell>
          <cell r="B309" t="str">
            <v>8406680Z</v>
          </cell>
          <cell r="C309" t="str">
            <v>EKO HANGGORO WICAKSONO</v>
          </cell>
          <cell r="D309">
            <v>84067601</v>
          </cell>
          <cell r="E309">
            <v>4120177475</v>
          </cell>
          <cell r="F309">
            <v>54</v>
          </cell>
          <cell r="G309" t="str">
            <v>Perjalanan Dinas Non-Diklat</v>
          </cell>
          <cell r="H309" t="str">
            <v>Kota Makassar - Kota Sukabumi</v>
          </cell>
          <cell r="I309" t="str">
            <v>28/08/2025 - 30/08/2025</v>
          </cell>
          <cell r="J309">
            <v>3</v>
          </cell>
          <cell r="K309" t="str">
            <v>Hotel</v>
          </cell>
          <cell r="L309" t="str">
            <v>27-08-2025 18:23:28</v>
          </cell>
          <cell r="M309" t="str">
            <v xml:space="preserve">Grand Savero Hotel Bogor - 4.0 Stars  - </v>
          </cell>
          <cell r="N309" t="str">
            <v>ASMAN REN</v>
          </cell>
          <cell r="O309">
            <v>7412340</v>
          </cell>
          <cell r="P309" t="str">
            <v>28/08/2025 14:00:00 - 29/08/2025 12:00:00</v>
          </cell>
          <cell r="Q309">
            <v>929280</v>
          </cell>
        </row>
        <row r="310">
          <cell r="A310">
            <v>1280451961</v>
          </cell>
          <cell r="B310" t="str">
            <v>8406680Z</v>
          </cell>
          <cell r="C310" t="str">
            <v>EKO HANGGORO WICAKSONO</v>
          </cell>
          <cell r="D310">
            <v>84067601</v>
          </cell>
          <cell r="E310">
            <v>4120177475</v>
          </cell>
          <cell r="F310">
            <v>54</v>
          </cell>
          <cell r="G310" t="str">
            <v>Perjalanan Dinas Non-Diklat</v>
          </cell>
          <cell r="H310" t="str">
            <v>Kota Makassar - Kota Sukabumi</v>
          </cell>
          <cell r="I310" t="str">
            <v>28/08/2025 - 30/08/2025</v>
          </cell>
          <cell r="J310">
            <v>3</v>
          </cell>
          <cell r="K310" t="str">
            <v>Hotel</v>
          </cell>
          <cell r="L310" t="str">
            <v>28-08-2025 21:12:25</v>
          </cell>
          <cell r="M310" t="str">
            <v xml:space="preserve">Hotel Orchardz Bandara - 3.0 Stars  - </v>
          </cell>
          <cell r="N310" t="str">
            <v>ASMAN REN</v>
          </cell>
          <cell r="O310">
            <v>7412340</v>
          </cell>
          <cell r="P310" t="str">
            <v>29/08/2025 14:00:00 - 30/08/2025 12:00:00</v>
          </cell>
          <cell r="Q310">
            <v>746975</v>
          </cell>
        </row>
        <row r="311">
          <cell r="A311">
            <v>1280132670</v>
          </cell>
          <cell r="B311" t="str">
            <v>8406680Z</v>
          </cell>
          <cell r="C311" t="str">
            <v>EKO HANGGORO WICAKSONO</v>
          </cell>
          <cell r="D311">
            <v>84067601</v>
          </cell>
          <cell r="E311">
            <v>4120177475</v>
          </cell>
          <cell r="F311">
            <v>54</v>
          </cell>
          <cell r="G311" t="str">
            <v>Perjalanan Dinas Non-Diklat</v>
          </cell>
          <cell r="H311" t="str">
            <v>Kota Makassar - Kota Sukabumi</v>
          </cell>
          <cell r="I311" t="str">
            <v>28/08/2025 - 30/08/2025</v>
          </cell>
          <cell r="J311">
            <v>3</v>
          </cell>
          <cell r="K311" t="str">
            <v>Flight Round-Trip</v>
          </cell>
          <cell r="L311" t="str">
            <v>27-08-2025 17:10:45</v>
          </cell>
          <cell r="M311" t="str">
            <v>Garuda Indonesia Domestic UPG Hasanuddin GA-605 - Garuda Indonesia  CGK Soekarno Hatta International Airport GA-605</v>
          </cell>
          <cell r="N311" t="str">
            <v>ASMAN REN</v>
          </cell>
          <cell r="O311">
            <v>7412340</v>
          </cell>
          <cell r="P311" t="str">
            <v>28/08/2025 10:55:00 - 28/08/2025 12:25:00</v>
          </cell>
          <cell r="Q311">
            <v>3962600</v>
          </cell>
        </row>
        <row r="312">
          <cell r="A312">
            <v>1280356009</v>
          </cell>
          <cell r="B312" t="str">
            <v>9719688ZY</v>
          </cell>
          <cell r="C312" t="str">
            <v>FORTUNATUS YOSANTONINO SETYONO PUTRA</v>
          </cell>
          <cell r="D312">
            <v>97196206</v>
          </cell>
          <cell r="E312">
            <v>4120177433</v>
          </cell>
          <cell r="F312">
            <v>54</v>
          </cell>
          <cell r="G312" t="str">
            <v>Perjalanan Dinas Non-Diklat</v>
          </cell>
          <cell r="H312" t="str">
            <v>Kota Kendari - Kota Kendari</v>
          </cell>
          <cell r="I312" t="str">
            <v>27/08/2025 - 30/08/2025</v>
          </cell>
          <cell r="J312">
            <v>4</v>
          </cell>
          <cell r="K312" t="str">
            <v>Hotel</v>
          </cell>
          <cell r="L312" t="str">
            <v>28-08-2025 14:58:36</v>
          </cell>
          <cell r="M312" t="str">
            <v xml:space="preserve">Hotel Zenith Kendari - 3.0 Stars  - </v>
          </cell>
          <cell r="N312" t="str">
            <v>TL TEKNIK LAY GAN</v>
          </cell>
          <cell r="O312">
            <v>7409654</v>
          </cell>
          <cell r="P312" t="str">
            <v>28/08/2025 14:00:00 - 30/08/2025 12:00:00</v>
          </cell>
          <cell r="Q312">
            <v>1084339</v>
          </cell>
        </row>
        <row r="313">
          <cell r="A313">
            <v>1280006203</v>
          </cell>
          <cell r="B313" t="str">
            <v>7293060F</v>
          </cell>
          <cell r="C313" t="str">
            <v xml:space="preserve">LALLA </v>
          </cell>
          <cell r="D313">
            <v>72937616</v>
          </cell>
          <cell r="E313">
            <v>4120177468</v>
          </cell>
          <cell r="F313">
            <v>54</v>
          </cell>
          <cell r="G313" t="str">
            <v>Perjalanan Dinas Non-Diklat</v>
          </cell>
          <cell r="H313" t="str">
            <v>Kota Makassar - Kota Manado</v>
          </cell>
          <cell r="I313" t="str">
            <v>28/08/2025 - 30/08/2025</v>
          </cell>
          <cell r="J313">
            <v>3</v>
          </cell>
          <cell r="K313" t="str">
            <v>Hotel</v>
          </cell>
          <cell r="L313" t="str">
            <v>27-08-2025 08:40:11</v>
          </cell>
          <cell r="M313" t="str">
            <v xml:space="preserve">Four Points by Sheraton Manado - 4.0 Stars  - </v>
          </cell>
          <cell r="N313" t="str">
            <v>MUP UP2D (MAKASSAR)</v>
          </cell>
          <cell r="O313">
            <v>7412340</v>
          </cell>
          <cell r="P313" t="str">
            <v>28/08/2025 14:00:00 - 30/08/2025 12:00:00</v>
          </cell>
          <cell r="Q313">
            <v>2929898</v>
          </cell>
        </row>
        <row r="314">
          <cell r="A314">
            <v>1280007159</v>
          </cell>
          <cell r="B314" t="str">
            <v>7293060F</v>
          </cell>
          <cell r="C314" t="str">
            <v xml:space="preserve">LALLA </v>
          </cell>
          <cell r="D314">
            <v>72937616</v>
          </cell>
          <cell r="E314">
            <v>4120177468</v>
          </cell>
          <cell r="F314">
            <v>54</v>
          </cell>
          <cell r="G314" t="str">
            <v>Perjalanan Dinas Non-Diklat</v>
          </cell>
          <cell r="H314" t="str">
            <v>Kota Makassar - Kota Manado</v>
          </cell>
          <cell r="I314" t="str">
            <v>28/08/2025 - 30/08/2025</v>
          </cell>
          <cell r="J314">
            <v>3</v>
          </cell>
          <cell r="K314" t="str">
            <v>Flight One Way</v>
          </cell>
          <cell r="L314" t="str">
            <v>27-08-2025 08:45:09</v>
          </cell>
          <cell r="M314" t="str">
            <v>Batik Air Domestic MDC Sam Ratulangi ID-6763 - Batik Air Domestic UPG Hasanuddin ID-6763</v>
          </cell>
          <cell r="N314" t="str">
            <v>MUP UP2D (MAKASSAR)</v>
          </cell>
          <cell r="O314">
            <v>7412340</v>
          </cell>
          <cell r="P314" t="str">
            <v>30/08/2025 16:45:00 - 30/08/2025 18:25:00</v>
          </cell>
          <cell r="Q314">
            <v>1446900</v>
          </cell>
        </row>
        <row r="315">
          <cell r="A315">
            <v>1279933421</v>
          </cell>
          <cell r="B315" t="str">
            <v>7393048F</v>
          </cell>
          <cell r="C315" t="str">
            <v xml:space="preserve">SULTAN </v>
          </cell>
          <cell r="D315">
            <v>73937614</v>
          </cell>
          <cell r="E315">
            <v>4120177469</v>
          </cell>
          <cell r="F315">
            <v>54</v>
          </cell>
          <cell r="G315" t="str">
            <v>Perjalanan Dinas Non-Diklat</v>
          </cell>
          <cell r="H315" t="str">
            <v>Kota Makassar - Kota Manado</v>
          </cell>
          <cell r="I315" t="str">
            <v>27/08/2025 - 30/08/2025</v>
          </cell>
          <cell r="J315">
            <v>4</v>
          </cell>
          <cell r="K315" t="str">
            <v>Hotel</v>
          </cell>
          <cell r="L315" t="str">
            <v>26-08-2025 21:04:30</v>
          </cell>
          <cell r="M315" t="str">
            <v>Four Points by Sheraton Manado - 4.0 Stars  - 1 King Bed</v>
          </cell>
          <cell r="N315" t="str">
            <v>SPC KIN DIST</v>
          </cell>
          <cell r="O315">
            <v>7412000</v>
          </cell>
          <cell r="P315" t="str">
            <v>28/08/2025 14:00:00 - 30/08/2025 12:00:00</v>
          </cell>
          <cell r="Q315">
            <v>2530598</v>
          </cell>
        </row>
        <row r="316">
          <cell r="A316">
            <v>1279931493</v>
          </cell>
          <cell r="B316" t="str">
            <v>7393048F</v>
          </cell>
          <cell r="C316" t="str">
            <v xml:space="preserve">SULTAN </v>
          </cell>
          <cell r="D316">
            <v>73937614</v>
          </cell>
          <cell r="E316">
            <v>4120177469</v>
          </cell>
          <cell r="F316">
            <v>54</v>
          </cell>
          <cell r="G316" t="str">
            <v>Perjalanan Dinas Non-Diklat</v>
          </cell>
          <cell r="H316" t="str">
            <v>Kota Makassar - Kota Manado</v>
          </cell>
          <cell r="I316" t="str">
            <v>27/08/2025 - 30/08/2025</v>
          </cell>
          <cell r="J316">
            <v>4</v>
          </cell>
          <cell r="K316" t="str">
            <v>Flight Round-Trip</v>
          </cell>
          <cell r="L316" t="str">
            <v>26-08-2025 20:56:35</v>
          </cell>
          <cell r="M316" t="str">
            <v>Lion Air Domestic UPG Hasanuddin JT-742 - Lion Air Domestic MDC Sam Ratulangi JT-742</v>
          </cell>
          <cell r="N316" t="str">
            <v>SPC KIN DIST</v>
          </cell>
          <cell r="O316">
            <v>7412000</v>
          </cell>
          <cell r="P316" t="str">
            <v>28/08/2025 09:10:00 - 28/08/2025 10:55:00</v>
          </cell>
          <cell r="Q316">
            <v>2843500</v>
          </cell>
        </row>
        <row r="317">
          <cell r="A317">
            <v>1279989558</v>
          </cell>
          <cell r="B317" t="str">
            <v>8608555Z</v>
          </cell>
          <cell r="C317" t="str">
            <v xml:space="preserve">ZULFIKRI </v>
          </cell>
          <cell r="D317">
            <v>86088002</v>
          </cell>
          <cell r="E317">
            <v>4120177454</v>
          </cell>
          <cell r="F317">
            <v>54</v>
          </cell>
          <cell r="G317" t="str">
            <v>Perjalanan Dinas Non-Diklat</v>
          </cell>
          <cell r="H317" t="str">
            <v>Kota Makassar - Jakarta Pusat</v>
          </cell>
          <cell r="I317" t="str">
            <v>27/08/2025 - 30/08/2025</v>
          </cell>
          <cell r="J317">
            <v>4</v>
          </cell>
          <cell r="K317" t="str">
            <v>Flight Round-Trip</v>
          </cell>
          <cell r="L317" t="str">
            <v>27-08-2025 06:48:52</v>
          </cell>
          <cell r="M317" t="str">
            <v>Sriwijaya Air Domestic UPG Hasanuddin SJ-599 - Sriwijaya Air 1A CGK Soekarno Hatta International Airport SJ-599</v>
          </cell>
          <cell r="N317" t="str">
            <v>TL LAKS DAN</v>
          </cell>
          <cell r="O317">
            <v>74092801</v>
          </cell>
          <cell r="P317" t="str">
            <v>27/08/2025 14:45:00 - 27/08/2025 16:00:00</v>
          </cell>
          <cell r="Q317">
            <v>2788200</v>
          </cell>
        </row>
        <row r="318">
          <cell r="A318">
            <v>1279972692</v>
          </cell>
          <cell r="B318" t="str">
            <v>8908081F</v>
          </cell>
          <cell r="C318" t="str">
            <v>HESFIALWAN B</v>
          </cell>
          <cell r="D318">
            <v>89087601</v>
          </cell>
          <cell r="E318">
            <v>4120177460</v>
          </cell>
          <cell r="F318">
            <v>54</v>
          </cell>
          <cell r="G318" t="str">
            <v>Perjalanan Dinas Non-Diklat</v>
          </cell>
          <cell r="H318" t="str">
            <v>Kota Makassar - Jakarta Selatan</v>
          </cell>
          <cell r="I318" t="str">
            <v>26/08/2025 - 27/08/2025</v>
          </cell>
          <cell r="J318">
            <v>2</v>
          </cell>
          <cell r="K318" t="str">
            <v>Flight One Way</v>
          </cell>
          <cell r="L318" t="str">
            <v>27-08-2025 00:44:07</v>
          </cell>
          <cell r="M318" t="str">
            <v>Batik Air 2D CGK Soekarno Hatta International Airport ID-6142 - Batik Air Domestic UPG Hasanuddin ID-6142</v>
          </cell>
          <cell r="N318" t="str">
            <v>ASMAN LOLA ASET DIST</v>
          </cell>
          <cell r="O318">
            <v>7412000</v>
          </cell>
          <cell r="P318" t="str">
            <v>27/08/2025 18:30:00 - 27/08/2025 21:50:00</v>
          </cell>
          <cell r="Q318">
            <v>1750000</v>
          </cell>
        </row>
        <row r="319">
          <cell r="A319">
            <v>1279919097</v>
          </cell>
          <cell r="B319" t="str">
            <v>8908081F</v>
          </cell>
          <cell r="C319" t="str">
            <v>HESFIALWAN B</v>
          </cell>
          <cell r="D319">
            <v>89087601</v>
          </cell>
          <cell r="E319">
            <v>4120177460</v>
          </cell>
          <cell r="F319">
            <v>54</v>
          </cell>
          <cell r="G319" t="str">
            <v>Perjalanan Dinas Non-Diklat</v>
          </cell>
          <cell r="H319" t="str">
            <v>Kota Makassar - Jakarta Selatan</v>
          </cell>
          <cell r="I319" t="str">
            <v>26/08/2025 - 27/08/2025</v>
          </cell>
          <cell r="J319">
            <v>2</v>
          </cell>
          <cell r="K319" t="str">
            <v>Hotel</v>
          </cell>
          <cell r="L319" t="str">
            <v>26-08-2025 20:08:07</v>
          </cell>
          <cell r="M319" t="str">
            <v xml:space="preserve">Swiss-Belresidences Kalibata - 4.0 Stars  - </v>
          </cell>
          <cell r="N319" t="str">
            <v>ASMAN LOLA ASET DIST</v>
          </cell>
          <cell r="O319">
            <v>7412000</v>
          </cell>
          <cell r="P319" t="str">
            <v>26/08/2025 14:00:00 - 27/08/2025 12:00:00</v>
          </cell>
          <cell r="Q319">
            <v>970000</v>
          </cell>
        </row>
        <row r="320">
          <cell r="A320">
            <v>1279864389</v>
          </cell>
          <cell r="B320" t="str">
            <v>8908081F</v>
          </cell>
          <cell r="C320" t="str">
            <v>HESFIALWAN B</v>
          </cell>
          <cell r="D320">
            <v>89087601</v>
          </cell>
          <cell r="E320">
            <v>4120177460</v>
          </cell>
          <cell r="F320">
            <v>54</v>
          </cell>
          <cell r="G320" t="str">
            <v>Perjalanan Dinas Non-Diklat</v>
          </cell>
          <cell r="H320" t="str">
            <v>Kota Makassar - Jakarta Selatan</v>
          </cell>
          <cell r="I320" t="str">
            <v>26/08/2025 - 27/08/2025</v>
          </cell>
          <cell r="J320">
            <v>2</v>
          </cell>
          <cell r="K320" t="str">
            <v>Flight One Way</v>
          </cell>
          <cell r="L320" t="str">
            <v>26-08-2025 16:23:35</v>
          </cell>
          <cell r="M320" t="str">
            <v>Citilink Domestic UPG Hasanuddin QG-427 - Citilink 1B CGK Soekarno Hatta International Airport QG-427</v>
          </cell>
          <cell r="N320" t="str">
            <v>ASMAN LOLA ASET DIST</v>
          </cell>
          <cell r="O320">
            <v>7412000</v>
          </cell>
          <cell r="P320" t="str">
            <v>26/08/2025 21:35:00 - 26/08/2025 22:55:00</v>
          </cell>
          <cell r="Q320">
            <v>1186600</v>
          </cell>
        </row>
        <row r="321">
          <cell r="A321">
            <v>1280139102</v>
          </cell>
          <cell r="B321" t="str">
            <v>7805001M</v>
          </cell>
          <cell r="C321" t="str">
            <v>ALAMSYAH ANWAR</v>
          </cell>
          <cell r="D321">
            <v>78050000</v>
          </cell>
          <cell r="E321">
            <v>4120177456</v>
          </cell>
          <cell r="F321">
            <v>54</v>
          </cell>
          <cell r="G321" t="str">
            <v>Perjalanan Dinas Non-Diklat</v>
          </cell>
          <cell r="H321" t="str">
            <v>Kota Makassar - Kab. Bone</v>
          </cell>
          <cell r="I321" t="str">
            <v>27/08/2025 - 29/08/2025</v>
          </cell>
          <cell r="J321">
            <v>3</v>
          </cell>
          <cell r="K321" t="str">
            <v>Hotel</v>
          </cell>
          <cell r="L321" t="str">
            <v>27-08-2025 17:38:03</v>
          </cell>
          <cell r="M321" t="str">
            <v xml:space="preserve">Helios Hotel and Convention - 3.0 Stars  - </v>
          </cell>
          <cell r="N321" t="str">
            <v>SPC KIN DIST</v>
          </cell>
          <cell r="O321">
            <v>7412000</v>
          </cell>
          <cell r="P321" t="str">
            <v>27/08/2025 14:00:00 - 29/08/2025 12:00:00</v>
          </cell>
          <cell r="Q321">
            <v>1566360</v>
          </cell>
        </row>
        <row r="322">
          <cell r="A322">
            <v>1279996489</v>
          </cell>
          <cell r="B322" t="str">
            <v>8609336Z</v>
          </cell>
          <cell r="C322" t="str">
            <v>RATHY SHINTA UTAMI</v>
          </cell>
          <cell r="D322">
            <v>86093800</v>
          </cell>
          <cell r="E322">
            <v>4120177458</v>
          </cell>
          <cell r="F322">
            <v>54</v>
          </cell>
          <cell r="G322" t="str">
            <v>Perjalanan Dinas Non-Diklat</v>
          </cell>
          <cell r="H322" t="str">
            <v>Kota Makassar - Kota Parepare</v>
          </cell>
          <cell r="I322" t="str">
            <v>27/08/2025 - 29/08/2025</v>
          </cell>
          <cell r="J322">
            <v>3</v>
          </cell>
          <cell r="K322" t="str">
            <v>Hotel</v>
          </cell>
          <cell r="L322" t="str">
            <v>27-08-2025 07:43:35</v>
          </cell>
          <cell r="M322" t="str">
            <v xml:space="preserve">Pare Beach Hotel - 0.0 Stars  - </v>
          </cell>
          <cell r="N322" t="str">
            <v>SPC KIN DIST</v>
          </cell>
          <cell r="O322">
            <v>7412000</v>
          </cell>
          <cell r="P322" t="str">
            <v>27/08/2025 14:00:00 - 29/08/2025 12:00:00</v>
          </cell>
          <cell r="Q322">
            <v>800000</v>
          </cell>
        </row>
        <row r="323">
          <cell r="A323">
            <v>1279995722</v>
          </cell>
          <cell r="B323" t="str">
            <v>92162583ZY</v>
          </cell>
          <cell r="C323" t="str">
            <v xml:space="preserve">SUNARTI </v>
          </cell>
          <cell r="D323">
            <v>92168019</v>
          </cell>
          <cell r="E323">
            <v>4120177461</v>
          </cell>
          <cell r="F323">
            <v>54</v>
          </cell>
          <cell r="G323" t="str">
            <v>Perjalanan Dinas Non-Diklat</v>
          </cell>
          <cell r="H323" t="str">
            <v>Kota Makassar - Kota Parepare - Kab. Pinrang</v>
          </cell>
          <cell r="I323" t="str">
            <v>27/08/2025 - 29/08/2025</v>
          </cell>
          <cell r="J323">
            <v>3</v>
          </cell>
          <cell r="K323" t="str">
            <v>Hotel</v>
          </cell>
          <cell r="L323" t="str">
            <v>27-08-2025 07:38:15</v>
          </cell>
          <cell r="M323" t="str">
            <v xml:space="preserve">Pare Beach Hotel - 0.0 Stars  - </v>
          </cell>
          <cell r="N323" t="str">
            <v>OF PR AE</v>
          </cell>
          <cell r="O323">
            <v>7411140</v>
          </cell>
          <cell r="P323" t="str">
            <v>27/08/2025 14:00:00 - 29/08/2025 12:00:00</v>
          </cell>
          <cell r="Q323">
            <v>1000000</v>
          </cell>
        </row>
        <row r="324">
          <cell r="A324">
            <v>1280674442</v>
          </cell>
          <cell r="B324" t="str">
            <v>8910030F</v>
          </cell>
          <cell r="C324" t="str">
            <v xml:space="preserve">JASMAN </v>
          </cell>
          <cell r="D324">
            <v>89107607</v>
          </cell>
          <cell r="E324">
            <v>4120177447</v>
          </cell>
          <cell r="F324">
            <v>54</v>
          </cell>
          <cell r="G324" t="str">
            <v>Perjalanan Dinas Non-Diklat</v>
          </cell>
          <cell r="H324" t="str">
            <v>Kota Makassar - Jakarta Pusat</v>
          </cell>
          <cell r="I324" t="str">
            <v>27/08/2025 - 30/08/2025</v>
          </cell>
          <cell r="J324">
            <v>4</v>
          </cell>
          <cell r="K324" t="str">
            <v>Flight One Way</v>
          </cell>
          <cell r="L324" t="str">
            <v>29-08-2025 19:04:43</v>
          </cell>
          <cell r="M324" t="str">
            <v>Garuda Indonesia  CGK Soekarno Hatta International Airport GA-616 - Garuda Indonesia Domestic UPG Hasanuddin GA-616</v>
          </cell>
          <cell r="N324" t="str">
            <v>TL LAKS DAN</v>
          </cell>
          <cell r="O324">
            <v>74092701</v>
          </cell>
          <cell r="P324" t="str">
            <v>30/08/2025 16:45:00 - 30/08/2025 20:20:00</v>
          </cell>
          <cell r="Q324">
            <v>1787100</v>
          </cell>
        </row>
        <row r="325">
          <cell r="A325">
            <v>1280602319</v>
          </cell>
          <cell r="B325" t="str">
            <v>8910030F</v>
          </cell>
          <cell r="C325" t="str">
            <v xml:space="preserve">JASMAN </v>
          </cell>
          <cell r="D325">
            <v>89107607</v>
          </cell>
          <cell r="E325">
            <v>4120177447</v>
          </cell>
          <cell r="F325">
            <v>54</v>
          </cell>
          <cell r="G325" t="str">
            <v>Perjalanan Dinas Non-Diklat</v>
          </cell>
          <cell r="H325" t="str">
            <v>Kota Makassar - Jakarta Pusat</v>
          </cell>
          <cell r="I325" t="str">
            <v>27/08/2025 - 30/08/2025</v>
          </cell>
          <cell r="J325">
            <v>4</v>
          </cell>
          <cell r="K325" t="str">
            <v>Hotel</v>
          </cell>
          <cell r="L325" t="str">
            <v>29-08-2025 14:09:12</v>
          </cell>
          <cell r="M325" t="str">
            <v xml:space="preserve">Swiss-Belinn Simatupang Jakarta - 3.0 Stars  - </v>
          </cell>
          <cell r="N325" t="str">
            <v>TL LAKS DAN</v>
          </cell>
          <cell r="O325">
            <v>74092701</v>
          </cell>
          <cell r="P325" t="str">
            <v>29/08/2025 14:00:00 - 30/08/2025 12:00:00</v>
          </cell>
          <cell r="Q325">
            <v>750000</v>
          </cell>
        </row>
        <row r="326">
          <cell r="A326">
            <v>1279949244</v>
          </cell>
          <cell r="B326" t="str">
            <v>8910030F</v>
          </cell>
          <cell r="C326" t="str">
            <v xml:space="preserve">JASMAN </v>
          </cell>
          <cell r="D326">
            <v>89107607</v>
          </cell>
          <cell r="E326">
            <v>4120177447</v>
          </cell>
          <cell r="F326">
            <v>54</v>
          </cell>
          <cell r="G326" t="str">
            <v>Perjalanan Dinas Non-Diklat</v>
          </cell>
          <cell r="H326" t="str">
            <v>Kota Makassar - Jakarta Pusat</v>
          </cell>
          <cell r="I326" t="str">
            <v>27/08/2025 - 30/08/2025</v>
          </cell>
          <cell r="J326">
            <v>4</v>
          </cell>
          <cell r="K326" t="str">
            <v>Flight One Way</v>
          </cell>
          <cell r="L326" t="str">
            <v>26-08-2025 22:06:28</v>
          </cell>
          <cell r="M326" t="str">
            <v>Batik Air Domestic UPG Hasanuddin ID-6143 - Batik Air 2D CGK Soekarno Hatta International Airport ID-6143</v>
          </cell>
          <cell r="N326" t="str">
            <v>TL LAKS DAN</v>
          </cell>
          <cell r="O326">
            <v>74092701</v>
          </cell>
          <cell r="P326" t="str">
            <v>27/08/2025 16:45:00 - 27/08/2025 18:05:00</v>
          </cell>
          <cell r="Q326">
            <v>2222200</v>
          </cell>
        </row>
        <row r="327">
          <cell r="A327">
            <v>1280371861</v>
          </cell>
          <cell r="B327" t="str">
            <v>8712617ZY</v>
          </cell>
          <cell r="C327" t="str">
            <v>M. LUKMAN HAKIM</v>
          </cell>
          <cell r="D327">
            <v>87127603</v>
          </cell>
          <cell r="E327">
            <v>4120177453</v>
          </cell>
          <cell r="F327">
            <v>54</v>
          </cell>
          <cell r="G327" t="str">
            <v>Perjalanan Dinas Non-Diklat</v>
          </cell>
          <cell r="H327" t="str">
            <v>Kota Makassar - Kab. Bulukumba</v>
          </cell>
          <cell r="I327" t="str">
            <v>27/08/2025 - 29/08/2025</v>
          </cell>
          <cell r="J327">
            <v>3</v>
          </cell>
          <cell r="K327" t="str">
            <v>Hotel</v>
          </cell>
          <cell r="L327" t="str">
            <v>28-08-2025 16:00:12</v>
          </cell>
          <cell r="M327" t="str">
            <v xml:space="preserve">Riltree Hotel - 0.0 Stars  - </v>
          </cell>
          <cell r="N327" t="str">
            <v>ASMAN DIG SERVICE DAN CUST EX</v>
          </cell>
          <cell r="O327">
            <v>7411140</v>
          </cell>
          <cell r="P327" t="str">
            <v>28/08/2025 14:00:00 - 29/08/2025 12:00:00</v>
          </cell>
          <cell r="Q327">
            <v>405000</v>
          </cell>
        </row>
        <row r="328">
          <cell r="A328">
            <v>1279880270</v>
          </cell>
          <cell r="B328" t="str">
            <v>94171795ZY</v>
          </cell>
          <cell r="C328" t="str">
            <v>BONILISA SA'PANG RANTEBALIK</v>
          </cell>
          <cell r="D328">
            <v>94170108</v>
          </cell>
          <cell r="E328">
            <v>4120177450</v>
          </cell>
          <cell r="F328">
            <v>54</v>
          </cell>
          <cell r="G328" t="str">
            <v>Perjalanan Dinas Non-Diklat</v>
          </cell>
          <cell r="H328" t="str">
            <v>Kota Makassar - Jakarta Pusat</v>
          </cell>
          <cell r="I328" t="str">
            <v>27/08/2025 - 30/08/2025</v>
          </cell>
          <cell r="J328">
            <v>4</v>
          </cell>
          <cell r="K328" t="str">
            <v>Flight One Way</v>
          </cell>
          <cell r="L328" t="str">
            <v>26-08-2025 17:28:44</v>
          </cell>
          <cell r="M328" t="str">
            <v>Super Air Jet  UPG Hasanuddin IU-245 - Super Air Jet 2E CGK Soekarno Hatta International Airport IU-245</v>
          </cell>
          <cell r="N328" t="str">
            <v>OF REN PNGUSHAN DAN KIN</v>
          </cell>
          <cell r="O328">
            <v>7412111</v>
          </cell>
          <cell r="P328" t="str">
            <v>27/08/2025 17:00:00 - 27/08/2025 18:20:00</v>
          </cell>
          <cell r="Q328">
            <v>1246600</v>
          </cell>
        </row>
        <row r="329">
          <cell r="A329">
            <v>1279945762</v>
          </cell>
          <cell r="B329" t="str">
            <v>8610308Z</v>
          </cell>
          <cell r="C329" t="str">
            <v xml:space="preserve">FATMAWATI </v>
          </cell>
          <cell r="D329">
            <v>86104000</v>
          </cell>
          <cell r="E329">
            <v>4120177452</v>
          </cell>
          <cell r="F329">
            <v>54</v>
          </cell>
          <cell r="G329" t="str">
            <v>Perjalanan Dinas Non-Diklat</v>
          </cell>
          <cell r="H329" t="str">
            <v>Kota Makassar - Jakarta Pusat</v>
          </cell>
          <cell r="I329" t="str">
            <v>27/08/2025 - 30/08/2025</v>
          </cell>
          <cell r="J329">
            <v>4</v>
          </cell>
          <cell r="K329" t="str">
            <v>Flight One Way</v>
          </cell>
          <cell r="L329" t="str">
            <v>26-08-2025 21:52:17</v>
          </cell>
          <cell r="M329" t="str">
            <v>Batik Air Domestic UPG Hasanuddin ID-6143 - Batik Air 2D CGK Soekarno Hatta International Airport ID-6143</v>
          </cell>
          <cell r="N329" t="str">
            <v>OF LAKS DAN</v>
          </cell>
          <cell r="O329">
            <v>7412000</v>
          </cell>
          <cell r="P329" t="str">
            <v>27/08/2025 16:45:00 - 27/08/2025 18:05:00</v>
          </cell>
          <cell r="Q329">
            <v>2156200</v>
          </cell>
        </row>
        <row r="330">
          <cell r="A330">
            <v>1280590472</v>
          </cell>
          <cell r="B330" t="str">
            <v>8610308Z</v>
          </cell>
          <cell r="C330" t="str">
            <v xml:space="preserve">FATMAWATI </v>
          </cell>
          <cell r="D330">
            <v>86104000</v>
          </cell>
          <cell r="E330">
            <v>4120177452</v>
          </cell>
          <cell r="F330">
            <v>54</v>
          </cell>
          <cell r="G330" t="str">
            <v>Perjalanan Dinas Non-Diklat</v>
          </cell>
          <cell r="H330" t="str">
            <v>Kota Makassar - Jakarta Pusat</v>
          </cell>
          <cell r="I330" t="str">
            <v>27/08/2025 - 30/08/2025</v>
          </cell>
          <cell r="J330">
            <v>4</v>
          </cell>
          <cell r="K330" t="str">
            <v>Flight One Way</v>
          </cell>
          <cell r="L330" t="str">
            <v>29-08-2025 13:22:33</v>
          </cell>
          <cell r="M330" t="str">
            <v>Batik Air 2D CGK Soekarno Hatta International Airport ID-6266 - Batik Air Domestic UPG Hasanuddin ID-6266</v>
          </cell>
          <cell r="N330" t="str">
            <v>OF LAKS DAN</v>
          </cell>
          <cell r="O330">
            <v>7412000</v>
          </cell>
          <cell r="P330" t="str">
            <v>30/08/2025 14:30:00 - 30/08/2025 17:50:00</v>
          </cell>
          <cell r="Q330">
            <v>1750000</v>
          </cell>
        </row>
        <row r="331">
          <cell r="A331">
            <v>1280379885</v>
          </cell>
          <cell r="B331" t="str">
            <v>9008084F</v>
          </cell>
          <cell r="C331" t="str">
            <v>ZAKI ASHARI</v>
          </cell>
          <cell r="D331">
            <v>90087607</v>
          </cell>
          <cell r="E331">
            <v>4120177448</v>
          </cell>
          <cell r="F331">
            <v>54</v>
          </cell>
          <cell r="G331" t="str">
            <v>Perjalanan Dinas Non-Diklat</v>
          </cell>
          <cell r="H331" t="str">
            <v>Kota Makassar - Kab. Bulukumba</v>
          </cell>
          <cell r="I331" t="str">
            <v>27/08/2025 - 29/08/2025</v>
          </cell>
          <cell r="J331">
            <v>3</v>
          </cell>
          <cell r="K331" t="str">
            <v>Hotel</v>
          </cell>
          <cell r="L331" t="str">
            <v>28-08-2025 16:33:09</v>
          </cell>
          <cell r="M331" t="str">
            <v xml:space="preserve">Riltree Hotel - 0.0 Stars  - </v>
          </cell>
          <cell r="N331" t="str">
            <v>OF STR SAR</v>
          </cell>
          <cell r="O331">
            <v>7411143</v>
          </cell>
          <cell r="P331" t="str">
            <v>28/08/2025 14:00:00 - 29/08/2025 12:00:00</v>
          </cell>
          <cell r="Q331">
            <v>405000</v>
          </cell>
        </row>
        <row r="332">
          <cell r="A332">
            <v>1279861056</v>
          </cell>
          <cell r="B332" t="str">
            <v>9008084F</v>
          </cell>
          <cell r="C332" t="str">
            <v>ZAKI ASHARI</v>
          </cell>
          <cell r="D332">
            <v>90087607</v>
          </cell>
          <cell r="E332">
            <v>4120177448</v>
          </cell>
          <cell r="F332">
            <v>54</v>
          </cell>
          <cell r="G332" t="str">
            <v>Perjalanan Dinas Non-Diklat</v>
          </cell>
          <cell r="H332" t="str">
            <v>Kota Makassar - Kab. Bulukumba</v>
          </cell>
          <cell r="I332" t="str">
            <v>27/08/2025 - 29/08/2025</v>
          </cell>
          <cell r="J332">
            <v>3</v>
          </cell>
          <cell r="K332" t="str">
            <v>Hotel</v>
          </cell>
          <cell r="L332" t="str">
            <v>26-08-2025 16:10:32</v>
          </cell>
          <cell r="M332" t="str">
            <v xml:space="preserve">Seruni Hotel Bantaeng - 3.0 Stars  - </v>
          </cell>
          <cell r="N332" t="str">
            <v>OF STR SAR</v>
          </cell>
          <cell r="O332">
            <v>7411143</v>
          </cell>
          <cell r="P332" t="str">
            <v>27/08/2025 14:00:00 - 28/08/2025 12:00:00</v>
          </cell>
          <cell r="Q332">
            <v>525000</v>
          </cell>
        </row>
        <row r="333">
          <cell r="A333">
            <v>1279816776</v>
          </cell>
          <cell r="B333" t="str">
            <v>93151397ZY</v>
          </cell>
          <cell r="C333" t="str">
            <v>KIKI RESKI ANDRIANI</v>
          </cell>
          <cell r="D333">
            <v>93153811</v>
          </cell>
          <cell r="E333">
            <v>4120177437</v>
          </cell>
          <cell r="F333">
            <v>54</v>
          </cell>
          <cell r="G333" t="str">
            <v>Perjalanan Dinas Non-Diklat</v>
          </cell>
          <cell r="H333" t="str">
            <v>Kota Makassar - Kota Baubau</v>
          </cell>
          <cell r="I333" t="str">
            <v>27/08/2025 - 30/08/2025</v>
          </cell>
          <cell r="J333">
            <v>4</v>
          </cell>
          <cell r="K333" t="str">
            <v>Flight One Way</v>
          </cell>
          <cell r="L333" t="str">
            <v>26-08-2025 13:22:00</v>
          </cell>
          <cell r="M333" t="str">
            <v>Super Air Jet  UPG Hasanuddin IU-572 - Super Air Jet  BUW Betoambari IU-572</v>
          </cell>
          <cell r="N333" t="str">
            <v>ASMAN ADM GAN</v>
          </cell>
          <cell r="O333">
            <v>7411140</v>
          </cell>
          <cell r="P333" t="str">
            <v>27/08/2025 14:10:00 - 27/08/2025 14:55:00</v>
          </cell>
          <cell r="Q333">
            <v>844100</v>
          </cell>
        </row>
        <row r="334">
          <cell r="A334">
            <v>1280153538</v>
          </cell>
          <cell r="B334" t="str">
            <v>93151397ZY</v>
          </cell>
          <cell r="C334" t="str">
            <v>KIKI RESKI ANDRIANI</v>
          </cell>
          <cell r="D334">
            <v>93153811</v>
          </cell>
          <cell r="E334">
            <v>4120177437</v>
          </cell>
          <cell r="F334">
            <v>54</v>
          </cell>
          <cell r="G334" t="str">
            <v>Perjalanan Dinas Non-Diklat</v>
          </cell>
          <cell r="H334" t="str">
            <v>Kota Makassar - Kota Baubau</v>
          </cell>
          <cell r="I334" t="str">
            <v>27/08/2025 - 30/08/2025</v>
          </cell>
          <cell r="J334">
            <v>4</v>
          </cell>
          <cell r="K334" t="str">
            <v>Flight One Way</v>
          </cell>
          <cell r="L334" t="str">
            <v>27-08-2025 18:42:13</v>
          </cell>
          <cell r="M334" t="str">
            <v>Super Air Jet  BUW Betoambari IU-573 - Super Air Jet  UPG Hasanuddin IU-573</v>
          </cell>
          <cell r="N334" t="str">
            <v>ASMAN ADM GAN</v>
          </cell>
          <cell r="O334">
            <v>7411140</v>
          </cell>
          <cell r="P334" t="str">
            <v>30/08/2025 15:35:00 - 30/08/2025 16:20:00</v>
          </cell>
          <cell r="Q334">
            <v>744200</v>
          </cell>
        </row>
        <row r="335">
          <cell r="A335">
            <v>1279840512</v>
          </cell>
          <cell r="B335" t="str">
            <v>93151397ZY</v>
          </cell>
          <cell r="C335" t="str">
            <v>KIKI RESKI ANDRIANI</v>
          </cell>
          <cell r="D335">
            <v>93153811</v>
          </cell>
          <cell r="E335">
            <v>4120177437</v>
          </cell>
          <cell r="F335">
            <v>54</v>
          </cell>
          <cell r="G335" t="str">
            <v>Perjalanan Dinas Non-Diklat</v>
          </cell>
          <cell r="H335" t="str">
            <v>Kota Makassar - Kota Baubau</v>
          </cell>
          <cell r="I335" t="str">
            <v>27/08/2025 - 30/08/2025</v>
          </cell>
          <cell r="J335">
            <v>4</v>
          </cell>
          <cell r="K335" t="str">
            <v>Hotel</v>
          </cell>
          <cell r="L335" t="str">
            <v>26-08-2025 14:50:55</v>
          </cell>
          <cell r="M335" t="str">
            <v xml:space="preserve">Zenith Premiere Hotel Baubau - 3.0 Stars  - </v>
          </cell>
          <cell r="N335" t="str">
            <v>ASMAN ADM GAN</v>
          </cell>
          <cell r="O335">
            <v>7411140</v>
          </cell>
          <cell r="P335" t="str">
            <v>27/08/2025 14:00:00 - 30/08/2025 12:00:00</v>
          </cell>
          <cell r="Q335">
            <v>2352360</v>
          </cell>
        </row>
        <row r="336">
          <cell r="A336">
            <v>1279813489</v>
          </cell>
          <cell r="B336" t="str">
            <v>9114965ZY</v>
          </cell>
          <cell r="C336" t="str">
            <v>I WAYAN EDY PURNAMA ARSA</v>
          </cell>
          <cell r="D336">
            <v>91147609</v>
          </cell>
          <cell r="E336">
            <v>4120177438</v>
          </cell>
          <cell r="F336">
            <v>54</v>
          </cell>
          <cell r="G336" t="str">
            <v>Perjalanan Dinas Non-Diklat</v>
          </cell>
          <cell r="H336" t="str">
            <v>Kota Makassar - Kota Kendari</v>
          </cell>
          <cell r="I336" t="str">
            <v>27/08/2025 - 30/08/2025</v>
          </cell>
          <cell r="J336">
            <v>4</v>
          </cell>
          <cell r="K336" t="str">
            <v>Flight One Way</v>
          </cell>
          <cell r="L336" t="str">
            <v>26-08-2025 13:09:34</v>
          </cell>
          <cell r="M336" t="str">
            <v>Lion Air Domestic UPG Hasanuddin JT-986 - Lion Air  KDI Haluoleo JT-986</v>
          </cell>
          <cell r="N336" t="str">
            <v>OF PR AE</v>
          </cell>
          <cell r="O336">
            <v>7411140</v>
          </cell>
          <cell r="P336" t="str">
            <v>28/08/2025 07:00:00 - 28/08/2025 08:05:00</v>
          </cell>
          <cell r="Q336">
            <v>718700</v>
          </cell>
        </row>
        <row r="337">
          <cell r="A337">
            <v>1279944100</v>
          </cell>
          <cell r="B337" t="str">
            <v>9114965ZY</v>
          </cell>
          <cell r="C337" t="str">
            <v>I WAYAN EDY PURNAMA ARSA</v>
          </cell>
          <cell r="D337">
            <v>91147609</v>
          </cell>
          <cell r="E337">
            <v>4120177438</v>
          </cell>
          <cell r="F337">
            <v>54</v>
          </cell>
          <cell r="G337" t="str">
            <v>Perjalanan Dinas Non-Diklat</v>
          </cell>
          <cell r="H337" t="str">
            <v>Kota Makassar - Kota Kendari</v>
          </cell>
          <cell r="I337" t="str">
            <v>27/08/2025 - 30/08/2025</v>
          </cell>
          <cell r="J337">
            <v>4</v>
          </cell>
          <cell r="K337" t="str">
            <v>Hotel</v>
          </cell>
          <cell r="L337" t="str">
            <v>26-08-2025 21:45:35</v>
          </cell>
          <cell r="M337" t="str">
            <v xml:space="preserve">Parade inn kendari - 0.0 Stars  - </v>
          </cell>
          <cell r="N337" t="str">
            <v>OF PR AE</v>
          </cell>
          <cell r="O337">
            <v>7411140</v>
          </cell>
          <cell r="P337" t="str">
            <v>28/08/2025 14:00:00 - 30/08/2025 12:00:00</v>
          </cell>
          <cell r="Q337">
            <v>1666668</v>
          </cell>
        </row>
        <row r="338">
          <cell r="A338">
            <v>1279830032</v>
          </cell>
          <cell r="B338" t="str">
            <v>9114965ZY</v>
          </cell>
          <cell r="C338" t="str">
            <v>I WAYAN EDY PURNAMA ARSA</v>
          </cell>
          <cell r="D338">
            <v>91147609</v>
          </cell>
          <cell r="E338">
            <v>4120177438</v>
          </cell>
          <cell r="F338">
            <v>54</v>
          </cell>
          <cell r="G338" t="str">
            <v>Perjalanan Dinas Non-Diklat</v>
          </cell>
          <cell r="H338" t="str">
            <v>Kota Makassar - Kota Kendari</v>
          </cell>
          <cell r="I338" t="str">
            <v>27/08/2025 - 30/08/2025</v>
          </cell>
          <cell r="J338">
            <v>4</v>
          </cell>
          <cell r="K338" t="str">
            <v>Flight One Way</v>
          </cell>
          <cell r="L338" t="str">
            <v>26-08-2025 14:09:51</v>
          </cell>
          <cell r="M338" t="str">
            <v>Garuda Indonesia  KDI Haluoleo GA-605 - Garuda Indonesia Domestic UPG Hasanuddin GA-605</v>
          </cell>
          <cell r="N338" t="str">
            <v>OF PR AE</v>
          </cell>
          <cell r="O338">
            <v>7411140</v>
          </cell>
          <cell r="P338" t="str">
            <v>30/08/2025 09:10:00 - 30/08/2025 10:10:00</v>
          </cell>
          <cell r="Q338">
            <v>965100</v>
          </cell>
        </row>
        <row r="339">
          <cell r="A339">
            <v>1279922897</v>
          </cell>
          <cell r="B339" t="str">
            <v>85111166Z</v>
          </cell>
          <cell r="C339" t="str">
            <v>NURDIANTY MAHYUDDIN</v>
          </cell>
          <cell r="D339">
            <v>85117400</v>
          </cell>
          <cell r="E339">
            <v>4120177436</v>
          </cell>
          <cell r="F339">
            <v>54</v>
          </cell>
          <cell r="G339" t="str">
            <v>Perjalanan Dinas Non-Diklat</v>
          </cell>
          <cell r="H339" t="str">
            <v>Kota Makassar - Kota Palopo</v>
          </cell>
          <cell r="I339" t="str">
            <v>27/08/2025 - 30/08/2025</v>
          </cell>
          <cell r="J339">
            <v>4</v>
          </cell>
          <cell r="K339" t="str">
            <v>Flight One Way</v>
          </cell>
          <cell r="L339" t="str">
            <v>26-08-2025 20:22:49</v>
          </cell>
          <cell r="M339" t="str">
            <v>Wings Air Domestic UPG Hasanuddin IW-1350 - Wings Air  LLO Lagaligo Airport IW-1350</v>
          </cell>
          <cell r="N339" t="str">
            <v>SOF STR SAR</v>
          </cell>
          <cell r="O339">
            <v>7411143</v>
          </cell>
          <cell r="P339" t="str">
            <v>27/08/2025 08:10:00 - 27/08/2025 09:05:00</v>
          </cell>
          <cell r="Q339">
            <v>1455300</v>
          </cell>
        </row>
        <row r="340">
          <cell r="A340">
            <v>1280530544</v>
          </cell>
          <cell r="B340" t="str">
            <v>8609527Z</v>
          </cell>
          <cell r="C340" t="str">
            <v>MUHAMMAD SUSGANDINATA</v>
          </cell>
          <cell r="D340">
            <v>86097601</v>
          </cell>
          <cell r="E340">
            <v>4120177435</v>
          </cell>
          <cell r="F340">
            <v>54</v>
          </cell>
          <cell r="G340" t="str">
            <v>Perjalanan Dinas Non-Diklat</v>
          </cell>
          <cell r="H340" t="str">
            <v>Kota Makassar - Kota Palopo</v>
          </cell>
          <cell r="I340" t="str">
            <v>27/08/2025 - 30/08/2025</v>
          </cell>
          <cell r="J340">
            <v>4</v>
          </cell>
          <cell r="K340" t="str">
            <v>Flight One Way</v>
          </cell>
          <cell r="L340" t="str">
            <v>29-08-2025 09:22:08</v>
          </cell>
          <cell r="M340" t="str">
            <v>Wings Air  LLO Lagaligo Airport IW-1351 - Wings Air Domestic UPG Hasanuddin IW-1351</v>
          </cell>
          <cell r="N340" t="str">
            <v>MAN YAN GAN</v>
          </cell>
          <cell r="O340">
            <v>7411140</v>
          </cell>
          <cell r="P340" t="str">
            <v>30/08/2025 09:40:00 - 30/08/2025 10:35:00</v>
          </cell>
          <cell r="Q340">
            <v>1355400</v>
          </cell>
        </row>
        <row r="341">
          <cell r="A341">
            <v>1279823108</v>
          </cell>
          <cell r="B341" t="str">
            <v>8609527Z</v>
          </cell>
          <cell r="C341" t="str">
            <v>MUHAMMAD SUSGANDINATA</v>
          </cell>
          <cell r="D341">
            <v>86097601</v>
          </cell>
          <cell r="E341">
            <v>4120177435</v>
          </cell>
          <cell r="F341">
            <v>54</v>
          </cell>
          <cell r="G341" t="str">
            <v>Perjalanan Dinas Non-Diklat</v>
          </cell>
          <cell r="H341" t="str">
            <v>Kota Makassar - Kota Palopo</v>
          </cell>
          <cell r="I341" t="str">
            <v>27/08/2025 - 30/08/2025</v>
          </cell>
          <cell r="J341">
            <v>4</v>
          </cell>
          <cell r="K341" t="str">
            <v>Flight One Way</v>
          </cell>
          <cell r="L341" t="str">
            <v>26-08-2025 13:45:01</v>
          </cell>
          <cell r="M341" t="str">
            <v>Wings Air Domestic UPG Hasanuddin IW-1350 - Wings Air  LLO Lagaligo Airport IW-1350</v>
          </cell>
          <cell r="N341" t="str">
            <v>MAN YAN GAN</v>
          </cell>
          <cell r="O341">
            <v>7411140</v>
          </cell>
          <cell r="P341" t="str">
            <v>27/08/2025 08:10:00 - 27/08/2025 09:05:00</v>
          </cell>
          <cell r="Q341">
            <v>1455300</v>
          </cell>
        </row>
        <row r="342">
          <cell r="A342">
            <v>1279813147</v>
          </cell>
          <cell r="B342" t="str">
            <v>8609651Z</v>
          </cell>
          <cell r="C342" t="str">
            <v>KOMANG YEHUDA PRAWIRA</v>
          </cell>
          <cell r="D342">
            <v>86098203</v>
          </cell>
          <cell r="E342">
            <v>4120177439</v>
          </cell>
          <cell r="F342">
            <v>54</v>
          </cell>
          <cell r="G342" t="str">
            <v>Perjalanan Dinas Non-Diklat</v>
          </cell>
          <cell r="H342" t="str">
            <v>Kota Makassar - Kota Kendari</v>
          </cell>
          <cell r="I342" t="str">
            <v>27/08/2025 - 30/08/2025</v>
          </cell>
          <cell r="J342">
            <v>4</v>
          </cell>
          <cell r="K342" t="str">
            <v>Flight Round-Trip</v>
          </cell>
          <cell r="L342" t="str">
            <v>26-08-2025 13:08:17</v>
          </cell>
          <cell r="M342" t="str">
            <v>Lion Air Domestic UPG Hasanuddin JT-986 - Lion Air  KDI Haluoleo JT-986</v>
          </cell>
          <cell r="N342" t="str">
            <v>MAN STR SAR</v>
          </cell>
          <cell r="O342">
            <v>7411143</v>
          </cell>
          <cell r="P342" t="str">
            <v>28/08/2025 07:00:00 - 28/08/2025 08:05:00</v>
          </cell>
          <cell r="Q342">
            <v>1683800</v>
          </cell>
        </row>
        <row r="343">
          <cell r="A343">
            <v>1279923720</v>
          </cell>
          <cell r="B343" t="str">
            <v>8609651Z</v>
          </cell>
          <cell r="C343" t="str">
            <v>KOMANG YEHUDA PRAWIRA</v>
          </cell>
          <cell r="D343">
            <v>86098203</v>
          </cell>
          <cell r="E343">
            <v>4120177439</v>
          </cell>
          <cell r="F343">
            <v>54</v>
          </cell>
          <cell r="G343" t="str">
            <v>Perjalanan Dinas Non-Diklat</v>
          </cell>
          <cell r="H343" t="str">
            <v>Kota Makassar - Kota Kendari</v>
          </cell>
          <cell r="I343" t="str">
            <v>27/08/2025 - 30/08/2025</v>
          </cell>
          <cell r="J343">
            <v>4</v>
          </cell>
          <cell r="K343" t="str">
            <v>Hotel</v>
          </cell>
          <cell r="L343" t="str">
            <v>26-08-2025 20:26:03</v>
          </cell>
          <cell r="M343" t="str">
            <v xml:space="preserve">Sahid Azizah Syariah Hotel &amp; Convention Kendari - 3.0 Stars  - </v>
          </cell>
          <cell r="N343" t="str">
            <v>MAN STR SAR</v>
          </cell>
          <cell r="O343">
            <v>7411143</v>
          </cell>
          <cell r="P343" t="str">
            <v>28/08/2025 14:00:00 - 30/08/2025 12:00:00</v>
          </cell>
          <cell r="Q343">
            <v>1984500</v>
          </cell>
        </row>
        <row r="344">
          <cell r="A344">
            <v>1279841815</v>
          </cell>
          <cell r="B344" t="str">
            <v>93161029ZY</v>
          </cell>
          <cell r="C344" t="str">
            <v xml:space="preserve">ASDARIA </v>
          </cell>
          <cell r="D344">
            <v>93167609</v>
          </cell>
          <cell r="E344">
            <v>4120177432</v>
          </cell>
          <cell r="F344">
            <v>54</v>
          </cell>
          <cell r="G344" t="str">
            <v>Perjalanan Dinas Non-Diklat</v>
          </cell>
          <cell r="H344" t="str">
            <v>Kota Makassar - Kota Baubau</v>
          </cell>
          <cell r="I344" t="str">
            <v>27/08/2025 - 30/08/2025</v>
          </cell>
          <cell r="J344">
            <v>4</v>
          </cell>
          <cell r="K344" t="str">
            <v>Hotel</v>
          </cell>
          <cell r="L344" t="str">
            <v>26-08-2025 14:56:15</v>
          </cell>
          <cell r="M344" t="str">
            <v xml:space="preserve">Zenith Premiere Hotel Baubau - 3.0 Stars  - </v>
          </cell>
          <cell r="N344" t="str">
            <v>OF DIG SERVICE DAN CUST EX</v>
          </cell>
          <cell r="O344">
            <v>7411140</v>
          </cell>
          <cell r="P344" t="str">
            <v>29/08/2025 14:00:00 - 30/08/2025 12:00:00</v>
          </cell>
          <cell r="Q344">
            <v>778611</v>
          </cell>
        </row>
        <row r="345">
          <cell r="A345">
            <v>1280153613</v>
          </cell>
          <cell r="B345" t="str">
            <v>93161029ZY</v>
          </cell>
          <cell r="C345" t="str">
            <v xml:space="preserve">ASDARIA </v>
          </cell>
          <cell r="D345">
            <v>93167609</v>
          </cell>
          <cell r="E345">
            <v>4120177432</v>
          </cell>
          <cell r="F345">
            <v>54</v>
          </cell>
          <cell r="G345" t="str">
            <v>Perjalanan Dinas Non-Diklat</v>
          </cell>
          <cell r="H345" t="str">
            <v>Kota Makassar - Kota Baubau</v>
          </cell>
          <cell r="I345" t="str">
            <v>27/08/2025 - 30/08/2025</v>
          </cell>
          <cell r="J345">
            <v>4</v>
          </cell>
          <cell r="K345" t="str">
            <v>Flight One Way</v>
          </cell>
          <cell r="L345" t="str">
            <v>27-08-2025 18:42:31</v>
          </cell>
          <cell r="M345" t="str">
            <v>Super Air Jet  BUW Betoambari IU-573 - Super Air Jet  UPG Hasanuddin IU-573</v>
          </cell>
          <cell r="N345" t="str">
            <v>OF DIG SERVICE DAN CUST EX</v>
          </cell>
          <cell r="O345">
            <v>7411140</v>
          </cell>
          <cell r="P345" t="str">
            <v>30/08/2025 15:35:00 - 30/08/2025 16:20:00</v>
          </cell>
          <cell r="Q345">
            <v>744200</v>
          </cell>
        </row>
        <row r="346">
          <cell r="A346">
            <v>1279842298</v>
          </cell>
          <cell r="B346" t="str">
            <v>93161029ZY</v>
          </cell>
          <cell r="C346" t="str">
            <v xml:space="preserve">ASDARIA </v>
          </cell>
          <cell r="D346">
            <v>93167609</v>
          </cell>
          <cell r="E346">
            <v>4120177432</v>
          </cell>
          <cell r="F346">
            <v>54</v>
          </cell>
          <cell r="G346" t="str">
            <v>Perjalanan Dinas Non-Diklat</v>
          </cell>
          <cell r="H346" t="str">
            <v>Kota Makassar - Kota Baubau</v>
          </cell>
          <cell r="I346" t="str">
            <v>27/08/2025 - 30/08/2025</v>
          </cell>
          <cell r="J346">
            <v>4</v>
          </cell>
          <cell r="K346" t="str">
            <v>Hotel</v>
          </cell>
          <cell r="L346" t="str">
            <v>26-08-2025 14:58:04</v>
          </cell>
          <cell r="M346" t="str">
            <v xml:space="preserve">Zenith Premiere Hotel Baubau - 3.0 Stars  - </v>
          </cell>
          <cell r="N346" t="str">
            <v>OF DIG SERVICE DAN CUST EX</v>
          </cell>
          <cell r="O346">
            <v>7411140</v>
          </cell>
          <cell r="P346" t="str">
            <v>28/08/2025 14:00:00 - 29/08/2025 12:00:00</v>
          </cell>
          <cell r="Q346">
            <v>771158</v>
          </cell>
        </row>
        <row r="347">
          <cell r="A347">
            <v>1279827915</v>
          </cell>
          <cell r="B347" t="str">
            <v>93161029ZY</v>
          </cell>
          <cell r="C347" t="str">
            <v xml:space="preserve">ASDARIA </v>
          </cell>
          <cell r="D347">
            <v>93167609</v>
          </cell>
          <cell r="E347">
            <v>4120177432</v>
          </cell>
          <cell r="F347">
            <v>54</v>
          </cell>
          <cell r="G347" t="str">
            <v>Perjalanan Dinas Non-Diklat</v>
          </cell>
          <cell r="H347" t="str">
            <v>Kota Makassar - Kota Baubau</v>
          </cell>
          <cell r="I347" t="str">
            <v>27/08/2025 - 30/08/2025</v>
          </cell>
          <cell r="J347">
            <v>4</v>
          </cell>
          <cell r="K347" t="str">
            <v>Flight One Way</v>
          </cell>
          <cell r="L347" t="str">
            <v>26-08-2025 14:02:13</v>
          </cell>
          <cell r="M347" t="str">
            <v>Super Air Jet  UPG Hasanuddin IU-572 - Super Air Jet  BUW Betoambari IU-572</v>
          </cell>
          <cell r="N347" t="str">
            <v>OF DIG SERVICE DAN CUST EX</v>
          </cell>
          <cell r="O347">
            <v>7411140</v>
          </cell>
          <cell r="P347" t="str">
            <v>27/08/2025 14:10:00 - 27/08/2025 14:55:00</v>
          </cell>
          <cell r="Q347">
            <v>844100</v>
          </cell>
        </row>
        <row r="348">
          <cell r="A348">
            <v>1280063887</v>
          </cell>
          <cell r="B348" t="str">
            <v>8106034F</v>
          </cell>
          <cell r="C348" t="str">
            <v>DIAN ADHIRAMA ACHDAR</v>
          </cell>
          <cell r="D348">
            <v>81067606</v>
          </cell>
          <cell r="E348">
            <v>4120177429</v>
          </cell>
          <cell r="F348">
            <v>54</v>
          </cell>
          <cell r="G348" t="str">
            <v>Perjalanan Dinas Non-Diklat</v>
          </cell>
          <cell r="H348" t="str">
            <v>Kota Makassar - Kab. Bulukumba</v>
          </cell>
          <cell r="I348" t="str">
            <v>26/08/2025 - 28/08/2025</v>
          </cell>
          <cell r="J348">
            <v>3</v>
          </cell>
          <cell r="K348" t="str">
            <v>Hotel</v>
          </cell>
          <cell r="L348" t="str">
            <v>27-08-2025 12:33:55</v>
          </cell>
          <cell r="M348" t="str">
            <v xml:space="preserve">Seruni Hotel Bantaeng - 3.0 Stars  - </v>
          </cell>
          <cell r="N348" t="str">
            <v>TC HAR ELEKTRO</v>
          </cell>
          <cell r="O348">
            <v>7412340</v>
          </cell>
          <cell r="P348" t="str">
            <v>27/08/2025 14:00:00 - 28/08/2025 12:00:00</v>
          </cell>
          <cell r="Q348">
            <v>760000</v>
          </cell>
        </row>
        <row r="349">
          <cell r="A349">
            <v>1279784974</v>
          </cell>
          <cell r="B349" t="str">
            <v>8106034F</v>
          </cell>
          <cell r="C349" t="str">
            <v>DIAN ADHIRAMA ACHDAR</v>
          </cell>
          <cell r="D349">
            <v>81067606</v>
          </cell>
          <cell r="E349">
            <v>4120177429</v>
          </cell>
          <cell r="F349">
            <v>54</v>
          </cell>
          <cell r="G349" t="str">
            <v>Perjalanan Dinas Non-Diklat</v>
          </cell>
          <cell r="H349" t="str">
            <v>Kota Makassar - Kab. Bulukumba</v>
          </cell>
          <cell r="I349" t="str">
            <v>26/08/2025 - 28/08/2025</v>
          </cell>
          <cell r="J349">
            <v>3</v>
          </cell>
          <cell r="K349" t="str">
            <v>Hotel</v>
          </cell>
          <cell r="L349" t="str">
            <v>26-08-2025 11:18:45</v>
          </cell>
          <cell r="M349" t="str">
            <v xml:space="preserve">Hotel Agri Bulukumba - 2.0 Stars  - </v>
          </cell>
          <cell r="N349" t="str">
            <v>TC HAR ELEKTRO</v>
          </cell>
          <cell r="O349">
            <v>7412340</v>
          </cell>
          <cell r="P349" t="str">
            <v>26/08/2025 14:00:00 - 27/08/2025 12:00:00</v>
          </cell>
          <cell r="Q349">
            <v>380000</v>
          </cell>
        </row>
        <row r="350">
          <cell r="A350">
            <v>1280238660</v>
          </cell>
          <cell r="B350" t="str">
            <v>9520545ZY</v>
          </cell>
          <cell r="C350" t="str">
            <v>YANUAR MUHAMMAD IQBAL</v>
          </cell>
          <cell r="D350">
            <v>95207604</v>
          </cell>
          <cell r="E350">
            <v>4120177396</v>
          </cell>
          <cell r="F350">
            <v>54</v>
          </cell>
          <cell r="G350" t="str">
            <v>Perjalanan Dinas Non-Diklat</v>
          </cell>
          <cell r="H350" t="str">
            <v>Kab. Bone - Kota Mataram</v>
          </cell>
          <cell r="I350" t="str">
            <v>01/09/2025 - 04/09/2025</v>
          </cell>
          <cell r="J350">
            <v>4</v>
          </cell>
          <cell r="K350" t="str">
            <v>Flight One Way</v>
          </cell>
          <cell r="L350" t="str">
            <v>28-08-2025 05:59:44</v>
          </cell>
          <cell r="M350" t="str">
            <v>Lion Air Domestic UPG Hasanuddin JT-787 - Lion Air Domestic LOP Lombok Praya International Airport JT-787</v>
          </cell>
          <cell r="N350" t="str">
            <v>TL TE LAY GAN</v>
          </cell>
          <cell r="O350">
            <v>7409622</v>
          </cell>
          <cell r="P350" t="str">
            <v>01/09/2025 12:00:00 - 01/09/2025 17:10:00</v>
          </cell>
          <cell r="Q350">
            <v>1879600</v>
          </cell>
        </row>
        <row r="351">
          <cell r="A351">
            <v>1279829955</v>
          </cell>
          <cell r="B351" t="str">
            <v>9520545ZY</v>
          </cell>
          <cell r="C351" t="str">
            <v>YANUAR MUHAMMAD IQBAL</v>
          </cell>
          <cell r="D351">
            <v>95207604</v>
          </cell>
          <cell r="E351">
            <v>4120177396</v>
          </cell>
          <cell r="F351">
            <v>54</v>
          </cell>
          <cell r="G351" t="str">
            <v>Perjalanan Dinas Non-Diklat</v>
          </cell>
          <cell r="H351" t="str">
            <v>Kab. Bone - Kota Mataram</v>
          </cell>
          <cell r="I351" t="str">
            <v>01/09/2025 - 04/09/2025</v>
          </cell>
          <cell r="J351">
            <v>4</v>
          </cell>
          <cell r="K351" t="str">
            <v>Hotel</v>
          </cell>
          <cell r="L351" t="str">
            <v>26-08-2025 14:09:27</v>
          </cell>
          <cell r="M351" t="str">
            <v xml:space="preserve">Aston Inn Mataram - 4.0 Stars  - </v>
          </cell>
          <cell r="N351" t="str">
            <v>TL TE LAY GAN</v>
          </cell>
          <cell r="O351">
            <v>7409622</v>
          </cell>
          <cell r="P351" t="str">
            <v>03/09/2025 14:00:00 - 04/09/2025 12:00:00</v>
          </cell>
          <cell r="Q351">
            <v>832944</v>
          </cell>
        </row>
        <row r="352">
          <cell r="A352">
            <v>1279777435</v>
          </cell>
          <cell r="B352" t="str">
            <v>95191890ZY</v>
          </cell>
          <cell r="C352" t="str">
            <v>BIMA SAKTI MAHARDIKA BUDI</v>
          </cell>
          <cell r="D352">
            <v>95197623</v>
          </cell>
          <cell r="E352">
            <v>4120177430</v>
          </cell>
          <cell r="F352">
            <v>54</v>
          </cell>
          <cell r="G352" t="str">
            <v>Perjalanan Dinas Non-Diklat</v>
          </cell>
          <cell r="H352" t="str">
            <v>Kab. Muna - Kota Kendari</v>
          </cell>
          <cell r="I352" t="str">
            <v>27/08/2025 - 30/08/2025</v>
          </cell>
          <cell r="J352">
            <v>4</v>
          </cell>
          <cell r="K352" t="str">
            <v>Hotel</v>
          </cell>
          <cell r="L352" t="str">
            <v>26-08-2025 10:51:21</v>
          </cell>
          <cell r="M352" t="str">
            <v xml:space="preserve">Wisma Saranani - 3.0 Stars  - </v>
          </cell>
          <cell r="N352" t="str">
            <v>TL TEKNIK LAY GAN</v>
          </cell>
          <cell r="O352">
            <v>7409651</v>
          </cell>
          <cell r="P352" t="str">
            <v>27/08/2025 14:00:00 - 28/08/2025 12:00:00</v>
          </cell>
          <cell r="Q352">
            <v>201691</v>
          </cell>
        </row>
        <row r="353">
          <cell r="A353">
            <v>1279766065</v>
          </cell>
          <cell r="B353" t="str">
            <v>95191890ZY</v>
          </cell>
          <cell r="C353" t="str">
            <v>BIMA SAKTI MAHARDIKA BUDI</v>
          </cell>
          <cell r="D353">
            <v>95197623</v>
          </cell>
          <cell r="E353">
            <v>4120177430</v>
          </cell>
          <cell r="F353">
            <v>54</v>
          </cell>
          <cell r="G353" t="str">
            <v>Perjalanan Dinas Non-Diklat</v>
          </cell>
          <cell r="H353" t="str">
            <v>Kab. Muna - Kota Kendari</v>
          </cell>
          <cell r="I353" t="str">
            <v>27/08/2025 - 30/08/2025</v>
          </cell>
          <cell r="J353">
            <v>4</v>
          </cell>
          <cell r="K353" t="str">
            <v>Hotel</v>
          </cell>
          <cell r="L353" t="str">
            <v>26-08-2025 10:07:42</v>
          </cell>
          <cell r="M353" t="str">
            <v xml:space="preserve">Sahid Azizah Syariah Hotel &amp; Convention Kendari - 3.0 Stars  - </v>
          </cell>
          <cell r="N353" t="str">
            <v>TL TEKNIK LAY GAN</v>
          </cell>
          <cell r="O353">
            <v>7409651</v>
          </cell>
          <cell r="P353" t="str">
            <v>28/08/2025 14:00:00 - 30/08/2025 12:00:00</v>
          </cell>
          <cell r="Q353">
            <v>1885500</v>
          </cell>
        </row>
        <row r="354">
          <cell r="A354">
            <v>1280090086</v>
          </cell>
          <cell r="B354" t="str">
            <v>95191271ZY</v>
          </cell>
          <cell r="C354" t="str">
            <v>WASHILATUL HUDA</v>
          </cell>
          <cell r="D354">
            <v>95197611</v>
          </cell>
          <cell r="E354">
            <v>4120177412</v>
          </cell>
          <cell r="F354">
            <v>54</v>
          </cell>
          <cell r="G354" t="str">
            <v>Perjalanan Dinas Non-Diklat</v>
          </cell>
          <cell r="H354" t="str">
            <v>Kota Makassar - Jakarta Pusat</v>
          </cell>
          <cell r="I354" t="str">
            <v>28/08/2025 - 29/08/2025</v>
          </cell>
          <cell r="J354">
            <v>2</v>
          </cell>
          <cell r="K354" t="str">
            <v>Flight One Way</v>
          </cell>
          <cell r="L354" t="str">
            <v>27-08-2025 14:16:15</v>
          </cell>
          <cell r="M354" t="str">
            <v>Garuda Indonesia Domestic UPG Hasanuddin GA-605 - Garuda Indonesia  CGK Soekarno Hatta International Airport GA-605</v>
          </cell>
          <cell r="N354" t="str">
            <v>OF KEU DAN AKT</v>
          </cell>
          <cell r="O354">
            <v>7409343</v>
          </cell>
          <cell r="P354" t="str">
            <v>28/08/2025 10:55:00 - 28/08/2025 12:25:00</v>
          </cell>
          <cell r="Q354">
            <v>2343100</v>
          </cell>
        </row>
        <row r="355">
          <cell r="A355">
            <v>1280215756</v>
          </cell>
          <cell r="B355" t="str">
            <v>95191271ZY</v>
          </cell>
          <cell r="C355" t="str">
            <v>WASHILATUL HUDA</v>
          </cell>
          <cell r="D355">
            <v>95197611</v>
          </cell>
          <cell r="E355">
            <v>4120177412</v>
          </cell>
          <cell r="F355">
            <v>54</v>
          </cell>
          <cell r="G355" t="str">
            <v>Perjalanan Dinas Non-Diklat</v>
          </cell>
          <cell r="H355" t="str">
            <v>Kota Makassar - Jakarta Pusat</v>
          </cell>
          <cell r="I355" t="str">
            <v>28/08/2025 - 29/08/2025</v>
          </cell>
          <cell r="J355">
            <v>2</v>
          </cell>
          <cell r="K355" t="str">
            <v>Hotel</v>
          </cell>
          <cell r="L355" t="str">
            <v>27-08-2025 23:08:06</v>
          </cell>
          <cell r="M355" t="str">
            <v xml:space="preserve">Yello Hotel Harmoni - 3.0 Stars  - </v>
          </cell>
          <cell r="N355" t="str">
            <v>OF KEU DAN AKT</v>
          </cell>
          <cell r="O355">
            <v>7409343</v>
          </cell>
          <cell r="P355" t="str">
            <v>28/08/2025 14:00:00 - 29/08/2025 12:00:00</v>
          </cell>
          <cell r="Q355">
            <v>736000</v>
          </cell>
        </row>
        <row r="356">
          <cell r="A356">
            <v>1279653136</v>
          </cell>
          <cell r="B356" t="str">
            <v>9318627ZY</v>
          </cell>
          <cell r="C356" t="str">
            <v>HINDARTO RHOMAD NUR WICAKSONO</v>
          </cell>
          <cell r="D356">
            <v>93187610</v>
          </cell>
          <cell r="E356">
            <v>4120177409</v>
          </cell>
          <cell r="F356">
            <v>54</v>
          </cell>
          <cell r="G356" t="str">
            <v>Perjalanan Dinas Non-Diklat</v>
          </cell>
          <cell r="H356" t="str">
            <v>Kota Makassar - Kab. Bogor</v>
          </cell>
          <cell r="I356" t="str">
            <v>26/08/2025 - 28/08/2025</v>
          </cell>
          <cell r="J356">
            <v>3</v>
          </cell>
          <cell r="K356" t="str">
            <v>Hotel</v>
          </cell>
          <cell r="L356" t="str">
            <v>25-08-2025 19:22:23</v>
          </cell>
          <cell r="M356" t="str">
            <v xml:space="preserve">Nemuru Grand Bhuvana Ciawi - 4.0 Stars  - </v>
          </cell>
          <cell r="N356" t="str">
            <v>TL SCADA DAN TEL (MKS)</v>
          </cell>
          <cell r="O356">
            <v>7408341</v>
          </cell>
          <cell r="P356" t="str">
            <v>26/08/2025 14:00:00 - 27/08/2025 12:00:00</v>
          </cell>
          <cell r="Q356">
            <v>725760</v>
          </cell>
        </row>
        <row r="357">
          <cell r="A357">
            <v>1279647652</v>
          </cell>
          <cell r="B357" t="str">
            <v>9318627ZY</v>
          </cell>
          <cell r="C357" t="str">
            <v>HINDARTO RHOMAD NUR WICAKSONO</v>
          </cell>
          <cell r="D357">
            <v>93187610</v>
          </cell>
          <cell r="E357">
            <v>4120177409</v>
          </cell>
          <cell r="F357">
            <v>54</v>
          </cell>
          <cell r="G357" t="str">
            <v>Perjalanan Dinas Non-Diklat</v>
          </cell>
          <cell r="H357" t="str">
            <v>Kota Makassar - Kab. Bogor</v>
          </cell>
          <cell r="I357" t="str">
            <v>26/08/2025 - 28/08/2025</v>
          </cell>
          <cell r="J357">
            <v>3</v>
          </cell>
          <cell r="K357" t="str">
            <v>Flight One Way</v>
          </cell>
          <cell r="L357" t="str">
            <v>25-08-2025 18:59:59</v>
          </cell>
          <cell r="M357" t="str">
            <v>Citilink Domestic UPG Hasanuddin QG-213 - Citilink 1B CGK Soekarno Hatta International Airport QG-213</v>
          </cell>
          <cell r="N357" t="str">
            <v>TL SCADA DAN TEL (MKS)</v>
          </cell>
          <cell r="O357">
            <v>7408341</v>
          </cell>
          <cell r="P357" t="str">
            <v>26/08/2025 13:35:00 - 26/08/2025 15:00:00</v>
          </cell>
          <cell r="Q357">
            <v>1921500</v>
          </cell>
        </row>
        <row r="358">
          <cell r="A358">
            <v>1279652903</v>
          </cell>
          <cell r="B358" t="str">
            <v>96191272ZY</v>
          </cell>
          <cell r="C358" t="str">
            <v>AHMAD FATHAN MAARIF</v>
          </cell>
          <cell r="D358">
            <v>96197614</v>
          </cell>
          <cell r="E358">
            <v>4120177408</v>
          </cell>
          <cell r="F358">
            <v>54</v>
          </cell>
          <cell r="G358" t="str">
            <v>Perjalanan Dinas Non-Diklat</v>
          </cell>
          <cell r="H358" t="str">
            <v>Kota Kendari - Kab. Bogor</v>
          </cell>
          <cell r="I358" t="str">
            <v>26/08/2025 - 28/08/2025</v>
          </cell>
          <cell r="J358">
            <v>3</v>
          </cell>
          <cell r="K358" t="str">
            <v>Hotel</v>
          </cell>
          <cell r="L358" t="str">
            <v>25-08-2025 19:21:22</v>
          </cell>
          <cell r="M358" t="str">
            <v xml:space="preserve">Nemuru Grand Bhuvana Ciawi - 4.0 Stars  - </v>
          </cell>
          <cell r="N358" t="str">
            <v>TL SCADA DAN TEL (KEN)</v>
          </cell>
          <cell r="O358">
            <v>7408341</v>
          </cell>
          <cell r="P358" t="str">
            <v>26/08/2025 14:00:00 - 27/08/2025 12:00:00</v>
          </cell>
          <cell r="Q358">
            <v>725760</v>
          </cell>
        </row>
        <row r="359">
          <cell r="A359">
            <v>1279933746</v>
          </cell>
          <cell r="B359" t="str">
            <v>96191272ZY</v>
          </cell>
          <cell r="C359" t="str">
            <v>AHMAD FATHAN MAARIF</v>
          </cell>
          <cell r="D359">
            <v>96197614</v>
          </cell>
          <cell r="E359">
            <v>4120177408</v>
          </cell>
          <cell r="F359">
            <v>54</v>
          </cell>
          <cell r="G359" t="str">
            <v>Perjalanan Dinas Non-Diklat</v>
          </cell>
          <cell r="H359" t="str">
            <v>Kota Kendari - Kab. Bogor</v>
          </cell>
          <cell r="I359" t="str">
            <v>26/08/2025 - 28/08/2025</v>
          </cell>
          <cell r="J359">
            <v>3</v>
          </cell>
          <cell r="K359" t="str">
            <v>Hotel</v>
          </cell>
          <cell r="L359" t="str">
            <v>26-08-2025 21:05:23</v>
          </cell>
          <cell r="M359" t="str">
            <v xml:space="preserve">Fieris Hotel Jakarta - 3.0 Stars  - </v>
          </cell>
          <cell r="N359" t="str">
            <v>TL SCADA DAN TEL (KEN)</v>
          </cell>
          <cell r="O359">
            <v>7408341</v>
          </cell>
          <cell r="P359" t="str">
            <v>27/08/2025 14:00:00 - 28/08/2025 12:00:00</v>
          </cell>
          <cell r="Q359">
            <v>725000</v>
          </cell>
        </row>
        <row r="360">
          <cell r="A360">
            <v>1279938851</v>
          </cell>
          <cell r="B360" t="str">
            <v>96191272ZY</v>
          </cell>
          <cell r="C360" t="str">
            <v>AHMAD FATHAN MAARIF</v>
          </cell>
          <cell r="D360">
            <v>96197614</v>
          </cell>
          <cell r="E360">
            <v>4120177408</v>
          </cell>
          <cell r="F360">
            <v>54</v>
          </cell>
          <cell r="G360" t="str">
            <v>Perjalanan Dinas Non-Diklat</v>
          </cell>
          <cell r="H360" t="str">
            <v>Kota Kendari - Kab. Bogor</v>
          </cell>
          <cell r="I360" t="str">
            <v>26/08/2025 - 28/08/2025</v>
          </cell>
          <cell r="J360">
            <v>3</v>
          </cell>
          <cell r="K360" t="str">
            <v>Flight One Way</v>
          </cell>
          <cell r="L360" t="str">
            <v>26-08-2025 21:25:51</v>
          </cell>
          <cell r="M360" t="str">
            <v>Lion Air 1A CGK Soekarno Hatta International Airport JT-986 - Lion Air  KDI Haluoleo JT-986</v>
          </cell>
          <cell r="N360" t="str">
            <v>TL SCADA DAN TEL (KEN)</v>
          </cell>
          <cell r="O360">
            <v>7408341</v>
          </cell>
          <cell r="P360" t="str">
            <v>28/08/2025 01:30:00 - 28/08/2025 08:05:00</v>
          </cell>
          <cell r="Q360">
            <v>1514100</v>
          </cell>
        </row>
        <row r="361">
          <cell r="A361">
            <v>1279584794</v>
          </cell>
          <cell r="B361" t="str">
            <v>96191272ZY</v>
          </cell>
          <cell r="C361" t="str">
            <v>AHMAD FATHAN MAARIF</v>
          </cell>
          <cell r="D361">
            <v>96197614</v>
          </cell>
          <cell r="E361">
            <v>4120177408</v>
          </cell>
          <cell r="F361">
            <v>54</v>
          </cell>
          <cell r="G361" t="str">
            <v>Perjalanan Dinas Non-Diklat</v>
          </cell>
          <cell r="H361" t="str">
            <v>Kota Kendari - Kab. Bogor</v>
          </cell>
          <cell r="I361" t="str">
            <v>26/08/2025 - 28/08/2025</v>
          </cell>
          <cell r="J361">
            <v>3</v>
          </cell>
          <cell r="K361" t="str">
            <v>Flight One Way</v>
          </cell>
          <cell r="L361" t="str">
            <v>25-08-2025 14:38:25</v>
          </cell>
          <cell r="M361" t="str">
            <v>Garuda Indonesia  KDI Haluoleo GA-605 - Garuda Indonesia  CGK Soekarno Hatta International Airport GA-605</v>
          </cell>
          <cell r="N361" t="str">
            <v>TL SCADA DAN TEL (KEN)</v>
          </cell>
          <cell r="O361">
            <v>7408341</v>
          </cell>
          <cell r="P361" t="str">
            <v>26/08/2025 09:10:00 - 26/08/2025 12:25:00</v>
          </cell>
          <cell r="Q361">
            <v>2670500</v>
          </cell>
        </row>
        <row r="362">
          <cell r="A362">
            <v>1280355920</v>
          </cell>
          <cell r="B362" t="str">
            <v>9616004FY</v>
          </cell>
          <cell r="C362" t="str">
            <v>SATRIA ANSARUDIN ANWAR</v>
          </cell>
          <cell r="D362">
            <v>96167802</v>
          </cell>
          <cell r="E362">
            <v>4120177415</v>
          </cell>
          <cell r="F362">
            <v>54</v>
          </cell>
          <cell r="G362" t="str">
            <v>Perjalanan Dinas Non-Diklat</v>
          </cell>
          <cell r="H362" t="str">
            <v>Kota Baubau - Kota Kendari</v>
          </cell>
          <cell r="I362" t="str">
            <v>27/08/2025 - 30/08/2025</v>
          </cell>
          <cell r="J362">
            <v>4</v>
          </cell>
          <cell r="K362" t="str">
            <v>Hotel</v>
          </cell>
          <cell r="L362" t="str">
            <v>28-08-2025 14:58:16</v>
          </cell>
          <cell r="M362" t="str">
            <v xml:space="preserve">Hotel Zenith Kendari - 3.0 Stars  - </v>
          </cell>
          <cell r="N362" t="str">
            <v>JTC HAR DIST</v>
          </cell>
          <cell r="O362">
            <v>7409281</v>
          </cell>
          <cell r="P362" t="str">
            <v>28/08/2025 14:00:00 - 30/08/2025 12:00:00</v>
          </cell>
          <cell r="Q362">
            <v>1084339</v>
          </cell>
        </row>
        <row r="363">
          <cell r="A363">
            <v>1279503376</v>
          </cell>
          <cell r="B363" t="str">
            <v>8812081ZY</v>
          </cell>
          <cell r="C363" t="str">
            <v>SATRIA PRASAMYA</v>
          </cell>
          <cell r="D363">
            <v>88127601</v>
          </cell>
          <cell r="E363">
            <v>4120177403</v>
          </cell>
          <cell r="F363">
            <v>54</v>
          </cell>
          <cell r="G363" t="str">
            <v>Perjalanan Dinas Non-Diklat</v>
          </cell>
          <cell r="H363" t="str">
            <v>Kota Makassar - Jakarta Barat</v>
          </cell>
          <cell r="I363" t="str">
            <v>25/08/2025 - 27/08/2025</v>
          </cell>
          <cell r="J363">
            <v>3</v>
          </cell>
          <cell r="K363" t="str">
            <v>Flight One Way</v>
          </cell>
          <cell r="L363" t="str">
            <v>25-08-2025 09:31:40</v>
          </cell>
          <cell r="M363" t="str">
            <v>Garuda Indonesia Domestic UPG Hasanuddin GA-613 - Garuda Indonesia  CGK Soekarno Hatta International Airport GA-613</v>
          </cell>
          <cell r="N363" t="str">
            <v>MAN REN DAN</v>
          </cell>
          <cell r="O363">
            <v>7412000</v>
          </cell>
          <cell r="P363" t="str">
            <v>25/08/2025 13:00:00 - 25/08/2025 14:25:00</v>
          </cell>
          <cell r="Q363">
            <v>2344900</v>
          </cell>
        </row>
        <row r="364">
          <cell r="A364">
            <v>1279979206</v>
          </cell>
          <cell r="B364" t="str">
            <v>8812081ZY</v>
          </cell>
          <cell r="C364" t="str">
            <v>SATRIA PRASAMYA</v>
          </cell>
          <cell r="D364">
            <v>88127601</v>
          </cell>
          <cell r="E364">
            <v>4120177403</v>
          </cell>
          <cell r="F364">
            <v>54</v>
          </cell>
          <cell r="G364" t="str">
            <v>Perjalanan Dinas Non-Diklat</v>
          </cell>
          <cell r="H364" t="str">
            <v>Kota Makassar - Jakarta Barat</v>
          </cell>
          <cell r="I364" t="str">
            <v>25/08/2025 - 27/08/2025</v>
          </cell>
          <cell r="J364">
            <v>3</v>
          </cell>
          <cell r="K364" t="str">
            <v>Flight One Way</v>
          </cell>
          <cell r="L364" t="str">
            <v>27-08-2025 03:36:09</v>
          </cell>
          <cell r="M364" t="str">
            <v>Batik Air 2D CGK Soekarno Hatta International Airport ID-6266 - Batik Air Domestic UPG Hasanuddin ID-6266</v>
          </cell>
          <cell r="N364" t="str">
            <v>MAN REN DAN</v>
          </cell>
          <cell r="O364">
            <v>7412000</v>
          </cell>
          <cell r="P364" t="str">
            <v>27/08/2025 14:30:00 - 27/08/2025 17:50:00</v>
          </cell>
          <cell r="Q364">
            <v>2156200</v>
          </cell>
        </row>
        <row r="365">
          <cell r="A365">
            <v>1279492834</v>
          </cell>
          <cell r="B365" t="str">
            <v>8812081ZY</v>
          </cell>
          <cell r="C365" t="str">
            <v>SATRIA PRASAMYA</v>
          </cell>
          <cell r="D365">
            <v>88127601</v>
          </cell>
          <cell r="E365">
            <v>4120177403</v>
          </cell>
          <cell r="F365">
            <v>54</v>
          </cell>
          <cell r="G365" t="str">
            <v>Perjalanan Dinas Non-Diklat</v>
          </cell>
          <cell r="H365" t="str">
            <v>Kota Makassar - Jakarta Barat</v>
          </cell>
          <cell r="I365" t="str">
            <v>25/08/2025 - 27/08/2025</v>
          </cell>
          <cell r="J365">
            <v>3</v>
          </cell>
          <cell r="K365" t="str">
            <v>Hotel</v>
          </cell>
          <cell r="L365" t="str">
            <v>25-08-2025 08:41:52</v>
          </cell>
          <cell r="M365" t="str">
            <v xml:space="preserve">Mercure Jakarta Gatot Subroto - 4.0 Stars  - </v>
          </cell>
          <cell r="N365" t="str">
            <v>MAN REN DAN</v>
          </cell>
          <cell r="O365">
            <v>7412000</v>
          </cell>
          <cell r="P365" t="str">
            <v>25/08/2025 14:00:00 - 27/08/2025 12:00:00</v>
          </cell>
          <cell r="Q365">
            <v>2928158</v>
          </cell>
        </row>
        <row r="366">
          <cell r="A366">
            <v>1279605694</v>
          </cell>
          <cell r="B366" t="str">
            <v>8007053Z</v>
          </cell>
          <cell r="C366" t="str">
            <v>DALMASIUS NUGROHO ADI PUTRANTO</v>
          </cell>
          <cell r="D366">
            <v>80077601</v>
          </cell>
          <cell r="E366">
            <v>4120177401</v>
          </cell>
          <cell r="F366">
            <v>54</v>
          </cell>
          <cell r="G366" t="str">
            <v>Perjalanan Dinas Non-Diklat</v>
          </cell>
          <cell r="H366" t="str">
            <v>Kota Makassar - Jakarta Selatan</v>
          </cell>
          <cell r="I366" t="str">
            <v>25/08/2025 - 27/08/2025</v>
          </cell>
          <cell r="J366">
            <v>3</v>
          </cell>
          <cell r="K366" t="str">
            <v>Hotel</v>
          </cell>
          <cell r="L366" t="str">
            <v>25-08-2025 16:00:56</v>
          </cell>
          <cell r="M366" t="str">
            <v xml:space="preserve">ARTOTEL Gelora Senayan Jakarta - 4.0 Stars  - </v>
          </cell>
          <cell r="N366" t="str">
            <v>MAN REN SIS KELIST</v>
          </cell>
          <cell r="O366">
            <v>7412112</v>
          </cell>
          <cell r="P366" t="str">
            <v>25/08/2025 14:00:00 - 26/08/2025 12:00:00</v>
          </cell>
          <cell r="Q366">
            <v>1274225</v>
          </cell>
        </row>
        <row r="367">
          <cell r="A367">
            <v>1279301053</v>
          </cell>
          <cell r="B367" t="str">
            <v>8007053Z</v>
          </cell>
          <cell r="C367" t="str">
            <v>DALMASIUS NUGROHO ADI PUTRANTO</v>
          </cell>
          <cell r="D367">
            <v>80077601</v>
          </cell>
          <cell r="E367">
            <v>4120177401</v>
          </cell>
          <cell r="F367">
            <v>54</v>
          </cell>
          <cell r="G367" t="str">
            <v>Perjalanan Dinas Non-Diklat</v>
          </cell>
          <cell r="H367" t="str">
            <v>Kota Makassar - Jakarta Selatan</v>
          </cell>
          <cell r="I367" t="str">
            <v>25/08/2025 - 27/08/2025</v>
          </cell>
          <cell r="J367">
            <v>3</v>
          </cell>
          <cell r="K367" t="str">
            <v>Flight One Way</v>
          </cell>
          <cell r="L367" t="str">
            <v>24-08-2025 09:26:06</v>
          </cell>
          <cell r="M367" t="str">
            <v>Garuda Indonesia Domestic UPG Hasanuddin GA-619 - Garuda Indonesia  CGK Soekarno Hatta International Airport GA-619</v>
          </cell>
          <cell r="N367" t="str">
            <v>MAN REN SIS KELIST</v>
          </cell>
          <cell r="O367">
            <v>7412112</v>
          </cell>
          <cell r="P367" t="str">
            <v>25/08/2025 05:25:00 - 25/08/2025 06:55:00</v>
          </cell>
          <cell r="Q367">
            <v>1848800</v>
          </cell>
        </row>
        <row r="368">
          <cell r="A368">
            <v>1279698230</v>
          </cell>
          <cell r="B368" t="str">
            <v>8007053Z</v>
          </cell>
          <cell r="C368" t="str">
            <v>DALMASIUS NUGROHO ADI PUTRANTO</v>
          </cell>
          <cell r="D368">
            <v>80077601</v>
          </cell>
          <cell r="E368">
            <v>4120177401</v>
          </cell>
          <cell r="F368">
            <v>54</v>
          </cell>
          <cell r="G368" t="str">
            <v>Perjalanan Dinas Non-Diklat</v>
          </cell>
          <cell r="H368" t="str">
            <v>Kota Makassar - Jakarta Selatan</v>
          </cell>
          <cell r="I368" t="str">
            <v>25/08/2025 - 27/08/2025</v>
          </cell>
          <cell r="J368">
            <v>3</v>
          </cell>
          <cell r="K368" t="str">
            <v>Flight One Way</v>
          </cell>
          <cell r="L368" t="str">
            <v>25-08-2025 22:30:49</v>
          </cell>
          <cell r="M368" t="str">
            <v>Sriwijaya Air 1A CGK Soekarno Hatta International Airport SJ-580 - Sriwijaya Air Domestic UPG Hasanuddin SJ-580</v>
          </cell>
          <cell r="N368" t="str">
            <v>MAN REN SIS KELIST</v>
          </cell>
          <cell r="O368">
            <v>7412112</v>
          </cell>
          <cell r="P368" t="str">
            <v>26/08/2025 14:25:00 - 26/08/2025 17:50:00</v>
          </cell>
          <cell r="Q368">
            <v>1321800</v>
          </cell>
        </row>
        <row r="369">
          <cell r="A369">
            <v>1279885673</v>
          </cell>
          <cell r="B369" t="str">
            <v>8408499Z</v>
          </cell>
          <cell r="C369" t="str">
            <v xml:space="preserve">MIRSAN </v>
          </cell>
          <cell r="D369">
            <v>84087802</v>
          </cell>
          <cell r="E369">
            <v>4120177398</v>
          </cell>
          <cell r="F369">
            <v>54</v>
          </cell>
          <cell r="G369" t="str">
            <v>Perjalanan Dinas Non-Diklat</v>
          </cell>
          <cell r="H369" t="str">
            <v>Kota Makassar - Kab. Kolaka</v>
          </cell>
          <cell r="I369" t="str">
            <v>26/08/2025 - 28/08/2025</v>
          </cell>
          <cell r="J369">
            <v>3</v>
          </cell>
          <cell r="K369" t="str">
            <v>Flight One Way</v>
          </cell>
          <cell r="L369" t="str">
            <v>26-08-2025 17:51:31</v>
          </cell>
          <cell r="M369" t="str">
            <v>Wings Air  KXB Sangia Nibandera IW-1207 - Wings Air Domestic UPG Hasanuddin IW-1207</v>
          </cell>
          <cell r="N369" t="str">
            <v>MAN YAN PRIORITAS DAN PAE</v>
          </cell>
          <cell r="O369">
            <v>7411140</v>
          </cell>
          <cell r="P369" t="str">
            <v>28/08/2025 08:30:00 - 28/08/2025 09:25:00</v>
          </cell>
          <cell r="Q369">
            <v>1315800</v>
          </cell>
        </row>
        <row r="370">
          <cell r="A370">
            <v>1279482488</v>
          </cell>
          <cell r="B370" t="str">
            <v>8408499Z</v>
          </cell>
          <cell r="C370" t="str">
            <v xml:space="preserve">MIRSAN </v>
          </cell>
          <cell r="D370">
            <v>84087802</v>
          </cell>
          <cell r="E370">
            <v>4120177398</v>
          </cell>
          <cell r="F370">
            <v>54</v>
          </cell>
          <cell r="G370" t="str">
            <v>Perjalanan Dinas Non-Diklat</v>
          </cell>
          <cell r="H370" t="str">
            <v>Kota Makassar - Kab. Kolaka</v>
          </cell>
          <cell r="I370" t="str">
            <v>26/08/2025 - 28/08/2025</v>
          </cell>
          <cell r="J370">
            <v>3</v>
          </cell>
          <cell r="K370" t="str">
            <v>Flight One Way</v>
          </cell>
          <cell r="L370" t="str">
            <v>25-08-2025 07:32:25</v>
          </cell>
          <cell r="M370" t="str">
            <v>Wings Air Domestic UPG Hasanuddin IW-1204 - Wings Air  KXB Sangia Nibandera IW-1204</v>
          </cell>
          <cell r="N370" t="str">
            <v>MAN YAN PRIORITAS DAN PAE</v>
          </cell>
          <cell r="O370">
            <v>7411140</v>
          </cell>
          <cell r="P370" t="str">
            <v>26/08/2025 09:40:00 - 26/08/2025 10:40:00</v>
          </cell>
          <cell r="Q370">
            <v>1415700</v>
          </cell>
        </row>
        <row r="371">
          <cell r="A371">
            <v>1279212382</v>
          </cell>
          <cell r="B371" t="str">
            <v>8812188ZY</v>
          </cell>
          <cell r="C371" t="str">
            <v>JULYANZAH PERDANA PUTRA</v>
          </cell>
          <cell r="D371">
            <v>88128002</v>
          </cell>
          <cell r="E371">
            <v>4120177386</v>
          </cell>
          <cell r="F371">
            <v>54</v>
          </cell>
          <cell r="G371" t="str">
            <v>Perjalanan Dinas Non-Diklat</v>
          </cell>
          <cell r="H371" t="str">
            <v>Kota Makassar - Jakarta Selatan</v>
          </cell>
          <cell r="I371" t="str">
            <v>24/08/2025 - 27/08/2025</v>
          </cell>
          <cell r="J371">
            <v>4</v>
          </cell>
          <cell r="K371" t="str">
            <v>Hotel</v>
          </cell>
          <cell r="L371" t="str">
            <v>23-08-2025 19:11:32</v>
          </cell>
          <cell r="M371" t="str">
            <v xml:space="preserve">Sotis Hotel Kemang Jakarta - 4.0 Stars  - </v>
          </cell>
          <cell r="N371" t="str">
            <v>SOF REN SIS KELIST</v>
          </cell>
          <cell r="O371">
            <v>7412112</v>
          </cell>
          <cell r="P371" t="str">
            <v>24/08/2025 14:00:00 - 26/08/2025 12:00:00</v>
          </cell>
          <cell r="Q371">
            <v>1900000</v>
          </cell>
        </row>
        <row r="372">
          <cell r="A372">
            <v>1279718541</v>
          </cell>
          <cell r="B372" t="str">
            <v>8812188ZY</v>
          </cell>
          <cell r="C372" t="str">
            <v>JULYANZAH PERDANA PUTRA</v>
          </cell>
          <cell r="D372">
            <v>88128002</v>
          </cell>
          <cell r="E372">
            <v>4120177386</v>
          </cell>
          <cell r="F372">
            <v>54</v>
          </cell>
          <cell r="G372" t="str">
            <v>Perjalanan Dinas Non-Diklat</v>
          </cell>
          <cell r="H372" t="str">
            <v>Kota Makassar - Jakarta Selatan</v>
          </cell>
          <cell r="I372" t="str">
            <v>24/08/2025 - 27/08/2025</v>
          </cell>
          <cell r="J372">
            <v>4</v>
          </cell>
          <cell r="K372" t="str">
            <v>Flight One Way</v>
          </cell>
          <cell r="L372" t="str">
            <v>26-08-2025 02:23:30</v>
          </cell>
          <cell r="M372" t="str">
            <v>Garuda Indonesia  CGK Soekarno Hatta International Airport GA-610 - Garuda Indonesia Domestic UPG Hasanuddin GA-610</v>
          </cell>
          <cell r="N372" t="str">
            <v>SOF REN SIS KELIST</v>
          </cell>
          <cell r="O372">
            <v>7412112</v>
          </cell>
          <cell r="P372" t="str">
            <v>27/08/2025 06:55:00 - 27/08/2025 10:30:00</v>
          </cell>
          <cell r="Q372">
            <v>2381300</v>
          </cell>
        </row>
        <row r="373">
          <cell r="A373">
            <v>1278963847</v>
          </cell>
          <cell r="B373" t="str">
            <v>8209147Z</v>
          </cell>
          <cell r="C373" t="str">
            <v>WENNY DIANA</v>
          </cell>
          <cell r="D373">
            <v>82097400</v>
          </cell>
          <cell r="E373">
            <v>4120177391</v>
          </cell>
          <cell r="F373">
            <v>54</v>
          </cell>
          <cell r="G373" t="str">
            <v>Perjalanan Dinas Non-Diklat</v>
          </cell>
          <cell r="H373" t="str">
            <v>Kota Makassar - Kota Kendari</v>
          </cell>
          <cell r="I373" t="str">
            <v>24/08/2025 - 26/08/2025</v>
          </cell>
          <cell r="J373">
            <v>3</v>
          </cell>
          <cell r="K373" t="str">
            <v>Flight One Way</v>
          </cell>
          <cell r="L373" t="str">
            <v>22-08-2025 18:12:54</v>
          </cell>
          <cell r="M373" t="str">
            <v>Batik Air Domestic UPG Hasanuddin ID-6751 - Batik Air  KDI Haluoleo ID-6751</v>
          </cell>
          <cell r="N373" t="str">
            <v>SOF IPP DAN EXCESS POWER</v>
          </cell>
          <cell r="O373">
            <v>7412110</v>
          </cell>
          <cell r="P373" t="str">
            <v>24/08/2025 08:30:00 - 24/08/2025 09:35:00</v>
          </cell>
          <cell r="Q373">
            <v>905300</v>
          </cell>
        </row>
        <row r="374">
          <cell r="A374">
            <v>1279565981</v>
          </cell>
          <cell r="B374" t="str">
            <v>8209147Z</v>
          </cell>
          <cell r="C374" t="str">
            <v>WENNY DIANA</v>
          </cell>
          <cell r="D374">
            <v>82097400</v>
          </cell>
          <cell r="E374">
            <v>4120177391</v>
          </cell>
          <cell r="F374">
            <v>54</v>
          </cell>
          <cell r="G374" t="str">
            <v>Perjalanan Dinas Non-Diklat</v>
          </cell>
          <cell r="H374" t="str">
            <v>Kota Makassar - Kota Kendari</v>
          </cell>
          <cell r="I374" t="str">
            <v>24/08/2025 - 26/08/2025</v>
          </cell>
          <cell r="J374">
            <v>3</v>
          </cell>
          <cell r="K374" t="str">
            <v>Flight One Way</v>
          </cell>
          <cell r="L374" t="str">
            <v>25-08-2025 13:28:06</v>
          </cell>
          <cell r="M374" t="str">
            <v>Garuda Indonesia  KDI Haluoleo GA-605 - Garuda Indonesia Domestic UPG Hasanuddin GA-605</v>
          </cell>
          <cell r="N374" t="str">
            <v>SOF IPP DAN EXCESS POWER</v>
          </cell>
          <cell r="O374">
            <v>7412110</v>
          </cell>
          <cell r="P374" t="str">
            <v>26/08/2025 09:10:00 - 26/08/2025 10:10:00</v>
          </cell>
          <cell r="Q374">
            <v>972800</v>
          </cell>
        </row>
        <row r="375">
          <cell r="A375">
            <v>1279761551</v>
          </cell>
          <cell r="B375" t="str">
            <v>7703070F</v>
          </cell>
          <cell r="C375" t="str">
            <v>ANDI DWI MULYANA</v>
          </cell>
          <cell r="D375">
            <v>77037604</v>
          </cell>
          <cell r="E375">
            <v>4120177390</v>
          </cell>
          <cell r="F375">
            <v>54</v>
          </cell>
          <cell r="G375" t="str">
            <v>Perjalanan Dinas Non-Diklat</v>
          </cell>
          <cell r="H375" t="str">
            <v>Kota Makassar - Kota Kendari</v>
          </cell>
          <cell r="I375" t="str">
            <v>24/08/2025 - 26/08/2025</v>
          </cell>
          <cell r="J375">
            <v>3</v>
          </cell>
          <cell r="K375" t="str">
            <v>Flight One Way</v>
          </cell>
          <cell r="L375" t="str">
            <v>26-08-2025 09:48:46</v>
          </cell>
          <cell r="M375" t="str">
            <v>Garuda Indonesia  KDI Haluoleo GA-6055 - Garuda Indonesia Domestic UPG Hasanuddin GA-6055</v>
          </cell>
          <cell r="N375" t="str">
            <v>OF REN SIS KELIST</v>
          </cell>
          <cell r="O375">
            <v>7412112</v>
          </cell>
          <cell r="P375" t="str">
            <v>26/08/2025 16:05:00 - 26/08/2025 17:05:00</v>
          </cell>
          <cell r="Q375">
            <v>748100</v>
          </cell>
        </row>
        <row r="376">
          <cell r="A376">
            <v>1278961803</v>
          </cell>
          <cell r="B376" t="str">
            <v>7703070F</v>
          </cell>
          <cell r="C376" t="str">
            <v>ANDI DWI MULYANA</v>
          </cell>
          <cell r="D376">
            <v>77037604</v>
          </cell>
          <cell r="E376">
            <v>4120177390</v>
          </cell>
          <cell r="F376">
            <v>54</v>
          </cell>
          <cell r="G376" t="str">
            <v>Perjalanan Dinas Non-Diklat</v>
          </cell>
          <cell r="H376" t="str">
            <v>Kota Makassar - Kota Kendari</v>
          </cell>
          <cell r="I376" t="str">
            <v>24/08/2025 - 26/08/2025</v>
          </cell>
          <cell r="J376">
            <v>3</v>
          </cell>
          <cell r="K376" t="str">
            <v>Flight One Way</v>
          </cell>
          <cell r="L376" t="str">
            <v>22-08-2025 18:03:49</v>
          </cell>
          <cell r="M376" t="str">
            <v>Batik Air Domestic UPG Hasanuddin ID-6751 - Batik Air  KDI Haluoleo ID-6751</v>
          </cell>
          <cell r="N376" t="str">
            <v>OF REN SIS KELIST</v>
          </cell>
          <cell r="O376">
            <v>7412112</v>
          </cell>
          <cell r="P376" t="str">
            <v>24/08/2025 08:30:00 - 24/08/2025 09:35:00</v>
          </cell>
          <cell r="Q376">
            <v>905300</v>
          </cell>
        </row>
        <row r="377">
          <cell r="A377">
            <v>1279563210</v>
          </cell>
          <cell r="B377" t="str">
            <v>8710452Z</v>
          </cell>
          <cell r="C377" t="str">
            <v>SRI RESKY MUCHTAR</v>
          </cell>
          <cell r="D377">
            <v>87104500</v>
          </cell>
          <cell r="E377">
            <v>4120177388</v>
          </cell>
          <cell r="F377">
            <v>54</v>
          </cell>
          <cell r="G377" t="str">
            <v>Perjalanan Dinas Non-Diklat</v>
          </cell>
          <cell r="H377" t="str">
            <v>Kota Makassar - Kota Kendari</v>
          </cell>
          <cell r="I377" t="str">
            <v>24/08/2025 - 26/08/2025</v>
          </cell>
          <cell r="J377">
            <v>3</v>
          </cell>
          <cell r="K377" t="str">
            <v>Flight One Way</v>
          </cell>
          <cell r="L377" t="str">
            <v>25-08-2025 13:17:38</v>
          </cell>
          <cell r="M377" t="str">
            <v>Garuda Indonesia  KDI Haluoleo GA-605 - Garuda Indonesia Domestic UPG Hasanuddin GA-605</v>
          </cell>
          <cell r="N377" t="str">
            <v>OF REN PNGUSHAN DAN KIN</v>
          </cell>
          <cell r="O377">
            <v>7412111</v>
          </cell>
          <cell r="P377" t="str">
            <v>26/08/2025 09:10:00 - 26/08/2025 10:10:00</v>
          </cell>
          <cell r="Q377">
            <v>972800</v>
          </cell>
        </row>
        <row r="378">
          <cell r="A378">
            <v>1278958455</v>
          </cell>
          <cell r="B378" t="str">
            <v>8710452Z</v>
          </cell>
          <cell r="C378" t="str">
            <v>SRI RESKY MUCHTAR</v>
          </cell>
          <cell r="D378">
            <v>87104500</v>
          </cell>
          <cell r="E378">
            <v>4120177388</v>
          </cell>
          <cell r="F378">
            <v>54</v>
          </cell>
          <cell r="G378" t="str">
            <v>Perjalanan Dinas Non-Diklat</v>
          </cell>
          <cell r="H378" t="str">
            <v>Kota Makassar - Kota Kendari</v>
          </cell>
          <cell r="I378" t="str">
            <v>24/08/2025 - 26/08/2025</v>
          </cell>
          <cell r="J378">
            <v>3</v>
          </cell>
          <cell r="K378" t="str">
            <v>Flight One Way</v>
          </cell>
          <cell r="L378" t="str">
            <v>22-08-2025 17:49:43</v>
          </cell>
          <cell r="M378" t="str">
            <v>Batik Air Domestic UPG Hasanuddin ID-6751 - Batik Air  KDI Haluoleo ID-6751</v>
          </cell>
          <cell r="N378" t="str">
            <v>OF REN PNGUSHAN DAN KIN</v>
          </cell>
          <cell r="O378">
            <v>7412111</v>
          </cell>
          <cell r="P378" t="str">
            <v>24/08/2025 08:30:00 - 24/08/2025 09:35:00</v>
          </cell>
          <cell r="Q378">
            <v>905300</v>
          </cell>
        </row>
        <row r="379">
          <cell r="A379">
            <v>1279186139</v>
          </cell>
          <cell r="B379" t="str">
            <v>9110014F</v>
          </cell>
          <cell r="C379" t="str">
            <v>RESJAN MANAYA SAMBARA</v>
          </cell>
          <cell r="D379">
            <v>91107603</v>
          </cell>
          <cell r="E379">
            <v>4120177362</v>
          </cell>
          <cell r="F379">
            <v>54</v>
          </cell>
          <cell r="G379" t="str">
            <v>Perjalanan Dinas Non-Diklat</v>
          </cell>
          <cell r="H379" t="str">
            <v>Jakarta Selatan - Jakarta Selatan</v>
          </cell>
          <cell r="I379" t="str">
            <v>24/08/2025 - 27/08/2025</v>
          </cell>
          <cell r="J379">
            <v>4</v>
          </cell>
          <cell r="K379" t="str">
            <v>Hotel</v>
          </cell>
          <cell r="L379" t="str">
            <v>23-08-2025 17:03:59</v>
          </cell>
          <cell r="M379" t="str">
            <v xml:space="preserve">MaxOneHotels Premier Melawai - 3.0 Stars  - </v>
          </cell>
          <cell r="N379" t="str">
            <v>TL K3L DAN KAM</v>
          </cell>
          <cell r="O379">
            <v>74092801</v>
          </cell>
          <cell r="P379" t="str">
            <v>24/08/2025 14:00:00 - 27/08/2025 12:00:00</v>
          </cell>
          <cell r="Q379">
            <v>2340000</v>
          </cell>
        </row>
        <row r="380">
          <cell r="A380">
            <v>1279783288</v>
          </cell>
          <cell r="B380" t="str">
            <v>9110014F</v>
          </cell>
          <cell r="C380" t="str">
            <v>RESJAN MANAYA SAMBARA</v>
          </cell>
          <cell r="D380">
            <v>91107603</v>
          </cell>
          <cell r="E380">
            <v>4120177362</v>
          </cell>
          <cell r="F380">
            <v>54</v>
          </cell>
          <cell r="G380" t="str">
            <v>Perjalanan Dinas Non-Diklat</v>
          </cell>
          <cell r="H380" t="str">
            <v>Jakarta Selatan - Jakarta Selatan</v>
          </cell>
          <cell r="I380" t="str">
            <v>24/08/2025 - 27/08/2025</v>
          </cell>
          <cell r="J380">
            <v>4</v>
          </cell>
          <cell r="K380" t="str">
            <v>Flight One Way</v>
          </cell>
          <cell r="L380" t="str">
            <v>26-08-2025 11:12:47</v>
          </cell>
          <cell r="M380" t="str">
            <v>Batik Air 2D CGK Soekarno Hatta International Airport ID-6266 - Batik Air Domestic UPG Hasanuddin ID-6266</v>
          </cell>
          <cell r="N380" t="str">
            <v>TL K3L DAN KAM</v>
          </cell>
          <cell r="O380">
            <v>74092801</v>
          </cell>
          <cell r="P380" t="str">
            <v>27/08/2025 14:30:00 - 27/08/2025 17:50:00</v>
          </cell>
          <cell r="Q380">
            <v>1852100</v>
          </cell>
        </row>
        <row r="381">
          <cell r="A381">
            <v>1279084822</v>
          </cell>
          <cell r="B381" t="str">
            <v>9110014F</v>
          </cell>
          <cell r="C381" t="str">
            <v>RESJAN MANAYA SAMBARA</v>
          </cell>
          <cell r="D381">
            <v>91107603</v>
          </cell>
          <cell r="E381">
            <v>4120177362</v>
          </cell>
          <cell r="F381">
            <v>54</v>
          </cell>
          <cell r="G381" t="str">
            <v>Perjalanan Dinas Non-Diklat</v>
          </cell>
          <cell r="H381" t="str">
            <v>Jakarta Selatan - Jakarta Selatan</v>
          </cell>
          <cell r="I381" t="str">
            <v>24/08/2025 - 27/08/2025</v>
          </cell>
          <cell r="J381">
            <v>4</v>
          </cell>
          <cell r="K381" t="str">
            <v>Flight One Way</v>
          </cell>
          <cell r="L381" t="str">
            <v>23-08-2025 09:29:50</v>
          </cell>
          <cell r="M381" t="str">
            <v>Garuda Indonesia Domestic UPG Hasanuddin GA-641 - Garuda Indonesia  CGK Soekarno Hatta International Airport GA-641</v>
          </cell>
          <cell r="N381" t="str">
            <v>TL K3L DAN KAM</v>
          </cell>
          <cell r="O381">
            <v>74092801</v>
          </cell>
          <cell r="P381" t="str">
            <v>24/08/2025 12:15:00 - 24/08/2025 13:40:00</v>
          </cell>
          <cell r="Q381">
            <v>1553800</v>
          </cell>
        </row>
        <row r="382">
          <cell r="A382">
            <v>1278973187</v>
          </cell>
          <cell r="B382" t="str">
            <v>96191272ZY</v>
          </cell>
          <cell r="C382" t="str">
            <v>AHMAD FATHAN MAARIF</v>
          </cell>
          <cell r="D382">
            <v>96197614</v>
          </cell>
          <cell r="E382">
            <v>4120177384</v>
          </cell>
          <cell r="F382">
            <v>54</v>
          </cell>
          <cell r="G382" t="str">
            <v>Perjalanan Dinas Non-Diklat</v>
          </cell>
          <cell r="H382" t="str">
            <v>Kota Kendari - Kota Baubau</v>
          </cell>
          <cell r="I382" t="str">
            <v>22/08/2025 - 25/08/2025</v>
          </cell>
          <cell r="J382">
            <v>4</v>
          </cell>
          <cell r="K382" t="str">
            <v>Hotel</v>
          </cell>
          <cell r="L382" t="str">
            <v>22-08-2025 18:51:37</v>
          </cell>
          <cell r="M382" t="str">
            <v>Zenith Premiere Hotel Baubau - 3.0 Stars  - Superior Twin</v>
          </cell>
          <cell r="N382" t="str">
            <v>TL SCADA DAN TEL (KEN)</v>
          </cell>
          <cell r="O382">
            <v>7408341</v>
          </cell>
          <cell r="P382" t="str">
            <v>22/08/2025 14:00:00 - 24/08/2025 12:00:00</v>
          </cell>
          <cell r="Q382">
            <v>1683803</v>
          </cell>
        </row>
        <row r="383">
          <cell r="A383">
            <v>1279114802</v>
          </cell>
          <cell r="B383" t="str">
            <v>7190010F</v>
          </cell>
          <cell r="C383" t="str">
            <v>HUSLAN HUSAIN</v>
          </cell>
          <cell r="D383">
            <v>71907601</v>
          </cell>
          <cell r="E383">
            <v>4120177383</v>
          </cell>
          <cell r="F383">
            <v>54</v>
          </cell>
          <cell r="G383" t="str">
            <v>Perjalanan Dinas Non-Diklat</v>
          </cell>
          <cell r="H383" t="str">
            <v>Kota Makassar - Kota Kendari</v>
          </cell>
          <cell r="I383" t="str">
            <v>24/08/2025 - 26/08/2025</v>
          </cell>
          <cell r="J383">
            <v>3</v>
          </cell>
          <cell r="K383" t="str">
            <v>Flight Round-Trip</v>
          </cell>
          <cell r="L383" t="str">
            <v>23-08-2025 11:42:40</v>
          </cell>
          <cell r="M383" t="str">
            <v>Garuda Indonesia Domestic UPG Hasanuddin GA-604 - Garuda Indonesia  KDI Haluoleo GA-604</v>
          </cell>
          <cell r="N383" t="str">
            <v>SM REN</v>
          </cell>
          <cell r="O383">
            <v>7412110</v>
          </cell>
          <cell r="P383" t="str">
            <v>24/08/2025 07:25:00 - 24/08/2025 08:25:00</v>
          </cell>
          <cell r="Q383">
            <v>1947900</v>
          </cell>
        </row>
        <row r="384">
          <cell r="A384">
            <v>1279470664</v>
          </cell>
          <cell r="B384" t="str">
            <v>90112388Z</v>
          </cell>
          <cell r="C384" t="str">
            <v>HENDRICA WINNY RURUK</v>
          </cell>
          <cell r="D384">
            <v>90117612</v>
          </cell>
          <cell r="E384">
            <v>4120177375</v>
          </cell>
          <cell r="F384">
            <v>54</v>
          </cell>
          <cell r="G384" t="str">
            <v>Perjalanan Dinas Non-Diklat</v>
          </cell>
          <cell r="H384" t="str">
            <v>Kota Makassar - Kota Bogor</v>
          </cell>
          <cell r="I384" t="str">
            <v>26/08/2025 - 29/08/2025</v>
          </cell>
          <cell r="J384">
            <v>4</v>
          </cell>
          <cell r="K384" t="str">
            <v>Flight One Way</v>
          </cell>
          <cell r="L384" t="str">
            <v>25-08-2025 04:34:18</v>
          </cell>
          <cell r="M384" t="str">
            <v>Batik Air Domestic UPG Hasanuddin ID-6143 - Batik Air 2D CGK Soekarno Hatta International Airport ID-6143</v>
          </cell>
          <cell r="N384" t="str">
            <v>OF LOLA KIT</v>
          </cell>
          <cell r="O384">
            <v>7412000</v>
          </cell>
          <cell r="P384" t="str">
            <v>26/08/2025 16:45:00 - 26/08/2025 18:05:00</v>
          </cell>
          <cell r="Q384">
            <v>1343700</v>
          </cell>
        </row>
        <row r="385">
          <cell r="A385">
            <v>1279474522</v>
          </cell>
          <cell r="B385" t="str">
            <v>90112388Z</v>
          </cell>
          <cell r="C385" t="str">
            <v>HENDRICA WINNY RURUK</v>
          </cell>
          <cell r="D385">
            <v>90117612</v>
          </cell>
          <cell r="E385">
            <v>4120177375</v>
          </cell>
          <cell r="F385">
            <v>54</v>
          </cell>
          <cell r="G385" t="str">
            <v>Perjalanan Dinas Non-Diklat</v>
          </cell>
          <cell r="H385" t="str">
            <v>Kota Makassar - Kota Bogor</v>
          </cell>
          <cell r="I385" t="str">
            <v>26/08/2025 - 29/08/2025</v>
          </cell>
          <cell r="J385">
            <v>4</v>
          </cell>
          <cell r="K385" t="str">
            <v>Hotel</v>
          </cell>
          <cell r="L385" t="str">
            <v>25-08-2025 06:03:09</v>
          </cell>
          <cell r="M385" t="str">
            <v xml:space="preserve">ibis Styles Bogor Pajajaran - 3.0 Stars  - </v>
          </cell>
          <cell r="N385" t="str">
            <v>OF LOLA KIT</v>
          </cell>
          <cell r="O385">
            <v>7412000</v>
          </cell>
          <cell r="P385" t="str">
            <v>26/08/2025 14:00:00 - 28/08/2025 12:00:00</v>
          </cell>
          <cell r="Q385">
            <v>1498999</v>
          </cell>
        </row>
        <row r="386">
          <cell r="A386">
            <v>1279471612</v>
          </cell>
          <cell r="B386" t="str">
            <v>90112388Z</v>
          </cell>
          <cell r="C386" t="str">
            <v>HENDRICA WINNY RURUK</v>
          </cell>
          <cell r="D386">
            <v>90117612</v>
          </cell>
          <cell r="E386">
            <v>4120177375</v>
          </cell>
          <cell r="F386">
            <v>54</v>
          </cell>
          <cell r="G386" t="str">
            <v>Perjalanan Dinas Non-Diklat</v>
          </cell>
          <cell r="H386" t="str">
            <v>Kota Makassar - Kota Bogor</v>
          </cell>
          <cell r="I386" t="str">
            <v>26/08/2025 - 29/08/2025</v>
          </cell>
          <cell r="J386">
            <v>4</v>
          </cell>
          <cell r="K386" t="str">
            <v>Flight One Way</v>
          </cell>
          <cell r="L386" t="str">
            <v>25-08-2025 05:04:32</v>
          </cell>
          <cell r="M386" t="str">
            <v>Garuda Indonesia  CGK Soekarno Hatta International Airport GA-618 - Garuda Indonesia Domestic UPG Hasanuddin GA-618</v>
          </cell>
          <cell r="N386" t="str">
            <v>OF LOLA KIT</v>
          </cell>
          <cell r="O386">
            <v>7412000</v>
          </cell>
          <cell r="P386" t="str">
            <v>28/08/2025 20:15:00 - 28/08/2025 23:50:00</v>
          </cell>
          <cell r="Q386">
            <v>1619800</v>
          </cell>
        </row>
        <row r="387">
          <cell r="A387">
            <v>1279746426</v>
          </cell>
          <cell r="B387" t="str">
            <v>7594035F</v>
          </cell>
          <cell r="C387" t="str">
            <v>AGUS SALIM</v>
          </cell>
          <cell r="D387">
            <v>75947601</v>
          </cell>
          <cell r="E387">
            <v>4120177367</v>
          </cell>
          <cell r="F387">
            <v>54</v>
          </cell>
          <cell r="G387" t="str">
            <v>Perjalanan Dinas Non-Diklat</v>
          </cell>
          <cell r="H387" t="str">
            <v>Kota Makassar - Jakarta Selatan</v>
          </cell>
          <cell r="I387" t="str">
            <v>01/09/2025 - 04/09/2025</v>
          </cell>
          <cell r="J387">
            <v>4</v>
          </cell>
          <cell r="K387" t="str">
            <v>Flight Round-Trip</v>
          </cell>
          <cell r="L387" t="str">
            <v>26-08-2025 08:40:40</v>
          </cell>
          <cell r="M387" t="str">
            <v>Garuda Indonesia Domestic UPG Hasanuddin GA-611 - Garuda Indonesia  CGK Soekarno Hatta International Airport GA-611</v>
          </cell>
          <cell r="N387" t="str">
            <v>ASMAN K3 DAN KAM</v>
          </cell>
          <cell r="O387">
            <v>7412000</v>
          </cell>
          <cell r="P387" t="str">
            <v>01/09/2025 11:20:00 - 01/09/2025 12:45:00</v>
          </cell>
          <cell r="Q387">
            <v>3379200</v>
          </cell>
        </row>
        <row r="388">
          <cell r="A388">
            <v>1278695371</v>
          </cell>
          <cell r="B388" t="str">
            <v>7394038F</v>
          </cell>
          <cell r="C388" t="str">
            <v>SARLINA M.KILYKILY</v>
          </cell>
          <cell r="D388">
            <v>73947604</v>
          </cell>
          <cell r="E388">
            <v>4120177374</v>
          </cell>
          <cell r="F388">
            <v>54</v>
          </cell>
          <cell r="G388" t="str">
            <v>Perjalanan Dinas Non-Diklat</v>
          </cell>
          <cell r="H388" t="str">
            <v>Kota Makassar - Kota Makassar</v>
          </cell>
          <cell r="I388" t="str">
            <v>21/08/2025 - 23/08/2025</v>
          </cell>
          <cell r="J388">
            <v>3</v>
          </cell>
          <cell r="K388" t="str">
            <v>Flight One Way</v>
          </cell>
          <cell r="L388" t="str">
            <v>21-08-2025 16:54:19</v>
          </cell>
          <cell r="M388" t="str">
            <v>Lion Air Domestic UPG Hasanuddin JT-992 - Lion Air  KDI Haluoleo JT-992</v>
          </cell>
          <cell r="N388" t="str">
            <v>ASMAN AGA DAN SAR</v>
          </cell>
          <cell r="O388">
            <v>7412243</v>
          </cell>
          <cell r="P388" t="str">
            <v>23/08/2025 12:45:00 - 23/08/2025 13:50:00</v>
          </cell>
          <cell r="Q388">
            <v>858500</v>
          </cell>
        </row>
        <row r="389">
          <cell r="A389">
            <v>1278770124</v>
          </cell>
          <cell r="B389" t="str">
            <v>7394038F</v>
          </cell>
          <cell r="C389" t="str">
            <v>SARLINA M.KILYKILY</v>
          </cell>
          <cell r="D389">
            <v>73947604</v>
          </cell>
          <cell r="E389">
            <v>4120177374</v>
          </cell>
          <cell r="F389">
            <v>54</v>
          </cell>
          <cell r="G389" t="str">
            <v>Perjalanan Dinas Non-Diklat</v>
          </cell>
          <cell r="H389" t="str">
            <v>Kota Makassar - Kota Makassar</v>
          </cell>
          <cell r="I389" t="str">
            <v>21/08/2025 - 23/08/2025</v>
          </cell>
          <cell r="J389">
            <v>3</v>
          </cell>
          <cell r="K389" t="str">
            <v>Flight One Way</v>
          </cell>
          <cell r="L389" t="str">
            <v>21-08-2025 22:10:24</v>
          </cell>
          <cell r="M389" t="str">
            <v>Lion Air Domestic UPG Hasanuddin JT-992 - Lion Air  KDI Haluoleo JT-992</v>
          </cell>
          <cell r="N389" t="str">
            <v>ASMAN AGA DAN SAR</v>
          </cell>
          <cell r="O389">
            <v>7412243</v>
          </cell>
          <cell r="P389" t="str">
            <v>23/08/2025 12:45:00 - 23/08/2025 13:50:00</v>
          </cell>
          <cell r="Q389">
            <v>858500</v>
          </cell>
        </row>
        <row r="390">
          <cell r="A390">
            <v>1278694261</v>
          </cell>
          <cell r="B390" t="str">
            <v>9116431ZY</v>
          </cell>
          <cell r="C390" t="str">
            <v>M. ISSAM CHALIBI</v>
          </cell>
          <cell r="D390">
            <v>91167604</v>
          </cell>
          <cell r="E390">
            <v>4120177346</v>
          </cell>
          <cell r="F390">
            <v>54</v>
          </cell>
          <cell r="G390" t="str">
            <v>Perjalanan Dinas Non-Diklat</v>
          </cell>
          <cell r="H390" t="str">
            <v>Kota Kendari - Kota Makassar</v>
          </cell>
          <cell r="I390" t="str">
            <v>21/08/2025 - 23/08/2025</v>
          </cell>
          <cell r="J390">
            <v>3</v>
          </cell>
          <cell r="K390" t="str">
            <v>Flight One Way</v>
          </cell>
          <cell r="L390" t="str">
            <v>21-08-2025 16:49:32</v>
          </cell>
          <cell r="M390" t="str">
            <v>Lion Air Domestic UPG Hasanuddin JT-992 - Lion Air  KDI Haluoleo JT-992</v>
          </cell>
          <cell r="N390" t="str">
            <v>TL SALES RET</v>
          </cell>
          <cell r="O390">
            <v>7412243</v>
          </cell>
          <cell r="P390" t="str">
            <v>23/08/2025 12:45:00 - 23/08/2025 13:50:00</v>
          </cell>
          <cell r="Q390">
            <v>902800</v>
          </cell>
        </row>
        <row r="391">
          <cell r="A391">
            <v>1278874170</v>
          </cell>
          <cell r="B391" t="str">
            <v>9116431ZY</v>
          </cell>
          <cell r="C391" t="str">
            <v>M. ISSAM CHALIBI</v>
          </cell>
          <cell r="D391">
            <v>91167604</v>
          </cell>
          <cell r="E391">
            <v>4120177346</v>
          </cell>
          <cell r="F391">
            <v>54</v>
          </cell>
          <cell r="G391" t="str">
            <v>Perjalanan Dinas Non-Diklat</v>
          </cell>
          <cell r="H391" t="str">
            <v>Kota Kendari - Kota Makassar</v>
          </cell>
          <cell r="I391" t="str">
            <v>21/08/2025 - 23/08/2025</v>
          </cell>
          <cell r="J391">
            <v>3</v>
          </cell>
          <cell r="K391" t="str">
            <v>Flight One Way</v>
          </cell>
          <cell r="L391" t="str">
            <v>22-08-2025 12:13:41</v>
          </cell>
          <cell r="M391" t="str">
            <v>Lion Air Domestic UPG Hasanuddin JT-992 - Lion Air  KDI Haluoleo JT-992</v>
          </cell>
          <cell r="N391" t="str">
            <v>TL SALES RET</v>
          </cell>
          <cell r="O391">
            <v>7412243</v>
          </cell>
          <cell r="P391" t="str">
            <v>23/08/2025 12:45:00 - 23/08/2025 13:50:00</v>
          </cell>
          <cell r="Q391">
            <v>946200</v>
          </cell>
        </row>
        <row r="392">
          <cell r="A392">
            <v>1278664962</v>
          </cell>
          <cell r="B392" t="str">
            <v>94161766ZY</v>
          </cell>
          <cell r="C392" t="str">
            <v>ARIF INDRA WIBOWO</v>
          </cell>
          <cell r="D392">
            <v>94167614</v>
          </cell>
          <cell r="E392">
            <v>4120177358</v>
          </cell>
          <cell r="F392">
            <v>54</v>
          </cell>
          <cell r="G392" t="str">
            <v>Perjalanan Dinas Non-Diklat</v>
          </cell>
          <cell r="H392" t="str">
            <v>Kota Makassar - Kota Makassar</v>
          </cell>
          <cell r="I392" t="str">
            <v>22/08/2025 - 23/08/2025</v>
          </cell>
          <cell r="J392">
            <v>2</v>
          </cell>
          <cell r="K392" t="str">
            <v>Hotel</v>
          </cell>
          <cell r="L392" t="str">
            <v>21-08-2025 14:49:22</v>
          </cell>
          <cell r="M392" t="str">
            <v xml:space="preserve">Aston Makassar Hotel &amp; Convention Center - 4.0 Stars  - </v>
          </cell>
          <cell r="N392" t="str">
            <v>TL SALES RET</v>
          </cell>
          <cell r="O392">
            <v>7412223</v>
          </cell>
          <cell r="P392" t="str">
            <v>22/08/2025 14:00:00 - 23/08/2025 12:00:00</v>
          </cell>
          <cell r="Q392">
            <v>815530</v>
          </cell>
        </row>
        <row r="393">
          <cell r="A393">
            <v>1278624202</v>
          </cell>
          <cell r="B393" t="str">
            <v>8609343Z</v>
          </cell>
          <cell r="C393" t="str">
            <v>ANDI SORAYA TENRI BAU</v>
          </cell>
          <cell r="D393">
            <v>86098669</v>
          </cell>
          <cell r="E393">
            <v>4120177327</v>
          </cell>
          <cell r="F393">
            <v>54</v>
          </cell>
          <cell r="G393" t="str">
            <v>Perjalanan Dinas Non-Diklat</v>
          </cell>
          <cell r="H393" t="str">
            <v>Kota Parepare - Kota Makassar</v>
          </cell>
          <cell r="I393" t="str">
            <v>22/08/2025 - 23/08/2025</v>
          </cell>
          <cell r="J393">
            <v>2</v>
          </cell>
          <cell r="K393" t="str">
            <v>Hotel</v>
          </cell>
          <cell r="L393" t="str">
            <v>21-08-2025 12:06:00</v>
          </cell>
          <cell r="M393" t="str">
            <v xml:space="preserve">Swiss-Belhotel Makassar - 4.0 Stars  - </v>
          </cell>
          <cell r="N393" t="str">
            <v>ASMAN NPS</v>
          </cell>
          <cell r="O393">
            <v>7412223</v>
          </cell>
          <cell r="P393" t="str">
            <v>22/08/2025 14:00:00 - 23/08/2025 12:00:00</v>
          </cell>
          <cell r="Q393">
            <v>965000</v>
          </cell>
        </row>
        <row r="394">
          <cell r="A394">
            <v>1278694632</v>
          </cell>
          <cell r="B394" t="str">
            <v>9313041FY</v>
          </cell>
          <cell r="C394" t="str">
            <v>JEFRI ARDIANSYAH</v>
          </cell>
          <cell r="D394">
            <v>93137624</v>
          </cell>
          <cell r="E394">
            <v>4120177345</v>
          </cell>
          <cell r="F394">
            <v>54</v>
          </cell>
          <cell r="G394" t="str">
            <v>Perjalanan Dinas Non-Diklat</v>
          </cell>
          <cell r="H394" t="str">
            <v>Kab. Kolaka Utara - Kota Makassar</v>
          </cell>
          <cell r="I394" t="str">
            <v>21/08/2025 - 23/08/2025</v>
          </cell>
          <cell r="J394">
            <v>3</v>
          </cell>
          <cell r="K394" t="str">
            <v>Flight One Way</v>
          </cell>
          <cell r="L394" t="str">
            <v>21-08-2025 16:51:22</v>
          </cell>
          <cell r="M394" t="str">
            <v>Lion Air Domestic UPG Hasanuddin JT-992 - Lion Air  KDI Haluoleo JT-992</v>
          </cell>
          <cell r="N394" t="str">
            <v>TL YAN GAN</v>
          </cell>
          <cell r="O394">
            <v>7409627</v>
          </cell>
          <cell r="P394" t="str">
            <v>23/08/2025 12:45:00 - 23/08/2025 13:50:00</v>
          </cell>
          <cell r="Q394">
            <v>902800</v>
          </cell>
        </row>
        <row r="395">
          <cell r="A395">
            <v>1278489341</v>
          </cell>
          <cell r="B395" t="str">
            <v>96191897ZY</v>
          </cell>
          <cell r="C395" t="str">
            <v>MYANA RINO ANDHANA</v>
          </cell>
          <cell r="D395">
            <v>96197633</v>
          </cell>
          <cell r="E395">
            <v>4120177334</v>
          </cell>
          <cell r="F395">
            <v>54</v>
          </cell>
          <cell r="G395" t="str">
            <v>Perjalanan Dinas Non-Diklat</v>
          </cell>
          <cell r="H395" t="str">
            <v>Kab. Bone - Kota Makassar</v>
          </cell>
          <cell r="I395" t="str">
            <v>21/08/2025 - 22/08/2025</v>
          </cell>
          <cell r="J395">
            <v>2</v>
          </cell>
          <cell r="K395" t="str">
            <v>Hotel</v>
          </cell>
          <cell r="L395" t="str">
            <v>20-08-2025 19:49:07</v>
          </cell>
          <cell r="M395" t="str">
            <v xml:space="preserve">Mercure Makassar Nexa Pettarani - 4.0 Stars  - </v>
          </cell>
          <cell r="N395" t="str">
            <v>OF AGA DAN SAR</v>
          </cell>
          <cell r="O395">
            <v>7412233</v>
          </cell>
          <cell r="P395" t="str">
            <v>21/08/2025 14:00:00 - 22/08/2025 12:00:00</v>
          </cell>
          <cell r="Q395">
            <v>723580</v>
          </cell>
        </row>
        <row r="396">
          <cell r="A396">
            <v>1278499417</v>
          </cell>
          <cell r="B396" t="str">
            <v>95191885ZY</v>
          </cell>
          <cell r="C396" t="str">
            <v>FIRDA HUWAIDA ULFAH</v>
          </cell>
          <cell r="D396">
            <v>95197618</v>
          </cell>
          <cell r="E396">
            <v>4120177330</v>
          </cell>
          <cell r="F396">
            <v>54</v>
          </cell>
          <cell r="G396" t="str">
            <v>Perjalanan Dinas Non-Diklat</v>
          </cell>
          <cell r="H396" t="str">
            <v>Kab. Bone - Kota Makassar</v>
          </cell>
          <cell r="I396" t="str">
            <v>21/08/2025 - 22/08/2025</v>
          </cell>
          <cell r="J396">
            <v>2</v>
          </cell>
          <cell r="K396" t="str">
            <v>Hotel</v>
          </cell>
          <cell r="L396" t="str">
            <v>20-08-2025 20:31:44</v>
          </cell>
          <cell r="M396" t="str">
            <v xml:space="preserve">Mercure Makassar Nexa Pettarani - 4.0 Stars  - </v>
          </cell>
          <cell r="N396" t="str">
            <v>OF KIN KEU DAN MUM</v>
          </cell>
          <cell r="O396">
            <v>7412230</v>
          </cell>
          <cell r="P396" t="str">
            <v>21/08/2025 14:00:00 - 22/08/2025 12:00:00</v>
          </cell>
          <cell r="Q396">
            <v>723580</v>
          </cell>
        </row>
        <row r="397">
          <cell r="A397">
            <v>1278694488</v>
          </cell>
          <cell r="B397" t="str">
            <v>9313002FY</v>
          </cell>
          <cell r="C397" t="str">
            <v xml:space="preserve">MASRUDI </v>
          </cell>
          <cell r="D397">
            <v>93137623</v>
          </cell>
          <cell r="E397">
            <v>4120177332</v>
          </cell>
          <cell r="F397">
            <v>54</v>
          </cell>
          <cell r="G397" t="str">
            <v>Perjalanan Dinas Non-Diklat</v>
          </cell>
          <cell r="H397" t="str">
            <v>Kota Kendari - Kota Makassar</v>
          </cell>
          <cell r="I397" t="str">
            <v>21/08/2025 - 23/08/2025</v>
          </cell>
          <cell r="J397">
            <v>3</v>
          </cell>
          <cell r="K397" t="str">
            <v>Flight One Way</v>
          </cell>
          <cell r="L397" t="str">
            <v>21-08-2025 16:50:22</v>
          </cell>
          <cell r="M397" t="str">
            <v>Lion Air Domestic UPG Hasanuddin JT-992 - Lion Air  KDI Haluoleo JT-992</v>
          </cell>
          <cell r="N397" t="str">
            <v>TL YAN GAN</v>
          </cell>
          <cell r="O397">
            <v>7409624</v>
          </cell>
          <cell r="P397" t="str">
            <v>23/08/2025 12:45:00 - 23/08/2025 13:50:00</v>
          </cell>
          <cell r="Q397">
            <v>858500</v>
          </cell>
        </row>
        <row r="398">
          <cell r="A398">
            <v>1278461806</v>
          </cell>
          <cell r="B398" t="str">
            <v>9313002FY</v>
          </cell>
          <cell r="C398" t="str">
            <v xml:space="preserve">MASRUDI </v>
          </cell>
          <cell r="D398">
            <v>93137623</v>
          </cell>
          <cell r="E398">
            <v>4120177332</v>
          </cell>
          <cell r="F398">
            <v>54</v>
          </cell>
          <cell r="G398" t="str">
            <v>Perjalanan Dinas Non-Diklat</v>
          </cell>
          <cell r="H398" t="str">
            <v>Kota Kendari - Kota Makassar</v>
          </cell>
          <cell r="I398" t="str">
            <v>21/08/2025 - 23/08/2025</v>
          </cell>
          <cell r="J398">
            <v>3</v>
          </cell>
          <cell r="K398" t="str">
            <v>Flight One Way</v>
          </cell>
          <cell r="L398" t="str">
            <v>20-08-2025 17:50:26</v>
          </cell>
          <cell r="M398" t="str">
            <v>Lion Air  KDI Haluoleo JT-997 - Lion Air Domestic UPG Hasanuddin JT-997</v>
          </cell>
          <cell r="N398" t="str">
            <v>TL YAN GAN</v>
          </cell>
          <cell r="O398">
            <v>7409624</v>
          </cell>
          <cell r="P398" t="str">
            <v>21/08/2025 15:35:00 - 21/08/2025 16:30:00</v>
          </cell>
          <cell r="Q398">
            <v>810600</v>
          </cell>
        </row>
        <row r="399">
          <cell r="A399">
            <v>1278525015</v>
          </cell>
          <cell r="B399" t="str">
            <v>8710673Z</v>
          </cell>
          <cell r="C399" t="str">
            <v>ERWIN LERI</v>
          </cell>
          <cell r="D399">
            <v>87102007</v>
          </cell>
          <cell r="E399">
            <v>4120177351</v>
          </cell>
          <cell r="F399">
            <v>54</v>
          </cell>
          <cell r="G399" t="str">
            <v>Perjalanan Dinas Diklat</v>
          </cell>
          <cell r="H399" t="str">
            <v>Kota Makassar - Jakarta Selatan</v>
          </cell>
          <cell r="I399" t="str">
            <v>21/08/2025 - 22/08/2025</v>
          </cell>
          <cell r="J399">
            <v>2</v>
          </cell>
          <cell r="K399" t="str">
            <v>Flight One Way</v>
          </cell>
          <cell r="L399" t="str">
            <v>20-08-2025 22:24:33</v>
          </cell>
          <cell r="M399" t="str">
            <v>Pelita Air  UPG Hasanuddin IP-809 - Pelita Air 3 CGK Soekarno Hatta International Airport IP-809</v>
          </cell>
          <cell r="N399" t="str">
            <v>OF REN SIS KELIST</v>
          </cell>
          <cell r="O399">
            <v>7412112</v>
          </cell>
          <cell r="P399" t="str">
            <v>21/08/2025 15:30:00 - 21/08/2025 16:55:00</v>
          </cell>
          <cell r="Q399">
            <v>1285500</v>
          </cell>
        </row>
        <row r="400">
          <cell r="A400">
            <v>1278716512</v>
          </cell>
          <cell r="B400" t="str">
            <v>8710673Z</v>
          </cell>
          <cell r="C400" t="str">
            <v>ERWIN LERI</v>
          </cell>
          <cell r="D400">
            <v>87102007</v>
          </cell>
          <cell r="E400">
            <v>4120177351</v>
          </cell>
          <cell r="F400">
            <v>54</v>
          </cell>
          <cell r="G400" t="str">
            <v>Perjalanan Dinas Diklat</v>
          </cell>
          <cell r="H400" t="str">
            <v>KotaMakassar-JakartaSelatan</v>
          </cell>
          <cell r="I400" t="str">
            <v>21/08/2025 - 22/08/2025</v>
          </cell>
          <cell r="J400">
            <v>2</v>
          </cell>
          <cell r="K400" t="str">
            <v>Hotel</v>
          </cell>
          <cell r="L400" t="str">
            <v>21-08-2025 18:25:47</v>
          </cell>
          <cell r="M400" t="str">
            <v xml:space="preserve">Hotel Dharmein - 3.0 Stars  - </v>
          </cell>
          <cell r="N400" t="str">
            <v>OF REN SIS KELIST</v>
          </cell>
          <cell r="O400">
            <v>7412112</v>
          </cell>
          <cell r="P400" t="str">
            <v>21/08/2025 14:00:00 - 22/08/2025 12:00:00</v>
          </cell>
          <cell r="Q400">
            <v>637700</v>
          </cell>
        </row>
        <row r="401">
          <cell r="A401">
            <v>1278789956</v>
          </cell>
          <cell r="B401" t="str">
            <v>8710673Z</v>
          </cell>
          <cell r="C401" t="str">
            <v>ERWIN LERI</v>
          </cell>
          <cell r="D401">
            <v>87102007</v>
          </cell>
          <cell r="E401">
            <v>4120177351</v>
          </cell>
          <cell r="F401">
            <v>54</v>
          </cell>
          <cell r="G401" t="str">
            <v>Perjalanan Dinas Diklat</v>
          </cell>
          <cell r="H401" t="str">
            <v>KotaMakassar-JakartaSelatan</v>
          </cell>
          <cell r="I401" t="str">
            <v>21/08/2025 - 22/08/2025</v>
          </cell>
          <cell r="J401">
            <v>2</v>
          </cell>
          <cell r="K401" t="str">
            <v>Flight One Way</v>
          </cell>
          <cell r="L401" t="str">
            <v>22-08-2025 00:32:47</v>
          </cell>
          <cell r="M401" t="str">
            <v>Batik Air 2D CGK Soekarno Hatta International Airport ID-6182 - Batik Air Domestic UPG Hasanuddin ID-6182</v>
          </cell>
          <cell r="N401" t="str">
            <v>OF REN SIS KELIST</v>
          </cell>
          <cell r="O401">
            <v>7412112</v>
          </cell>
          <cell r="P401" t="str">
            <v>22/08/2025 23:00:00 - 23/08/2025 02:20:00</v>
          </cell>
          <cell r="Q401">
            <v>1039600</v>
          </cell>
        </row>
        <row r="402">
          <cell r="A402">
            <v>1278426239</v>
          </cell>
          <cell r="B402" t="str">
            <v>7905002N</v>
          </cell>
          <cell r="C402" t="str">
            <v>RULI RIZALUDDIN</v>
          </cell>
          <cell r="D402">
            <v>79055400</v>
          </cell>
          <cell r="E402">
            <v>4120177348</v>
          </cell>
          <cell r="F402">
            <v>54</v>
          </cell>
          <cell r="G402" t="str">
            <v>Perjalanan Dinas Non-Diklat</v>
          </cell>
          <cell r="H402" t="str">
            <v>Jakarta Pusat - Jakarta Pusat</v>
          </cell>
          <cell r="I402" t="str">
            <v>21/08/2025 - 23/08/2025</v>
          </cell>
          <cell r="J402">
            <v>3</v>
          </cell>
          <cell r="K402" t="str">
            <v>Flight One Way</v>
          </cell>
          <cell r="L402" t="str">
            <v>20-08-2025 15:19:41</v>
          </cell>
          <cell r="M402" t="str">
            <v>Garuda Indonesia Domestic UPG Hasanuddin GA-641 - Garuda Indonesia  CGK Soekarno Hatta International Airport GA-641</v>
          </cell>
          <cell r="N402" t="str">
            <v>MUP UP2K (PROV SULSEL)</v>
          </cell>
          <cell r="O402">
            <v>7412000</v>
          </cell>
          <cell r="P402" t="str">
            <v>21/08/2025 12:15:00 - 21/08/2025 13:40:00</v>
          </cell>
          <cell r="Q402">
            <v>1574100</v>
          </cell>
        </row>
        <row r="403">
          <cell r="A403">
            <v>1278692517</v>
          </cell>
          <cell r="B403" t="str">
            <v>7905002N</v>
          </cell>
          <cell r="C403" t="str">
            <v>RULI RIZALUDDIN</v>
          </cell>
          <cell r="D403">
            <v>79055400</v>
          </cell>
          <cell r="E403">
            <v>4120177348</v>
          </cell>
          <cell r="F403">
            <v>54</v>
          </cell>
          <cell r="G403" t="str">
            <v>Perjalanan Dinas Non-Diklat</v>
          </cell>
          <cell r="H403" t="str">
            <v>KotaMakassar-JakartaPusat</v>
          </cell>
          <cell r="I403" t="str">
            <v>21/08/2025 - 23/08/2025</v>
          </cell>
          <cell r="J403">
            <v>3</v>
          </cell>
          <cell r="K403" t="str">
            <v>Hotel</v>
          </cell>
          <cell r="L403" t="str">
            <v>21-08-2025 16:41:34</v>
          </cell>
          <cell r="M403" t="str">
            <v xml:space="preserve">Golden Boutique Hotel Melawai - 4.0 Stars  - </v>
          </cell>
          <cell r="N403" t="str">
            <v>MUP UP2K (PROV SULSEL)</v>
          </cell>
          <cell r="O403">
            <v>7412000</v>
          </cell>
          <cell r="P403" t="str">
            <v>21/08/2025 14:00:00 - 23/08/2025 12:00:00</v>
          </cell>
          <cell r="Q403">
            <v>2084245</v>
          </cell>
        </row>
        <row r="404">
          <cell r="A404">
            <v>1279000799</v>
          </cell>
          <cell r="B404" t="str">
            <v>7905002N</v>
          </cell>
          <cell r="C404" t="str">
            <v>RULI RIZALUDDIN</v>
          </cell>
          <cell r="D404">
            <v>79055400</v>
          </cell>
          <cell r="E404">
            <v>4120177348</v>
          </cell>
          <cell r="F404">
            <v>54</v>
          </cell>
          <cell r="G404" t="str">
            <v>Perjalanan Dinas Non-Diklat</v>
          </cell>
          <cell r="H404" t="str">
            <v>KotaMakassar-JakartaPusat</v>
          </cell>
          <cell r="I404" t="str">
            <v>21/08/2025 - 23/08/2025</v>
          </cell>
          <cell r="J404">
            <v>3</v>
          </cell>
          <cell r="K404" t="str">
            <v>Flight One Way</v>
          </cell>
          <cell r="L404" t="str">
            <v>22-08-2025 20:45:06</v>
          </cell>
          <cell r="M404" t="str">
            <v>Garuda Indonesia  CGK Soekarno Hatta International Airport GA-616 - Garuda Indonesia Domestic UPG Hasanuddin GA-616</v>
          </cell>
          <cell r="N404" t="str">
            <v>MUP UP2K (PROV SULSEL)</v>
          </cell>
          <cell r="O404">
            <v>7412000</v>
          </cell>
          <cell r="P404" t="str">
            <v>23/08/2025 16:45:00 - 23/08/2025 20:20:00</v>
          </cell>
          <cell r="Q404">
            <v>1883100</v>
          </cell>
        </row>
        <row r="405">
          <cell r="A405">
            <v>1278465239</v>
          </cell>
          <cell r="B405" t="str">
            <v>95201059ZY</v>
          </cell>
          <cell r="C405" t="str">
            <v>SUPRIANTO MARWING</v>
          </cell>
          <cell r="D405">
            <v>95207607</v>
          </cell>
          <cell r="E405">
            <v>4120177339</v>
          </cell>
          <cell r="F405">
            <v>54</v>
          </cell>
          <cell r="G405" t="str">
            <v>Perjalanan Dinas Non-Diklat</v>
          </cell>
          <cell r="H405" t="str">
            <v>Kab. Buton Tengah - Kota Makassar</v>
          </cell>
          <cell r="I405" t="str">
            <v>21/08/2025 - 23/08/2025</v>
          </cell>
          <cell r="J405">
            <v>3</v>
          </cell>
          <cell r="K405" t="str">
            <v>Hotel</v>
          </cell>
          <cell r="L405" t="str">
            <v>20-08-2025 18:05:01</v>
          </cell>
          <cell r="M405" t="str">
            <v xml:space="preserve">Swiss-Belinn Panakkukang - 4.0 Stars  - </v>
          </cell>
          <cell r="N405" t="str">
            <v>TL YAN GAN</v>
          </cell>
          <cell r="O405">
            <v>7409654</v>
          </cell>
          <cell r="P405" t="str">
            <v>21/08/2025 14:00:00 - 22/08/2025 12:00:00</v>
          </cell>
          <cell r="Q405">
            <v>680000</v>
          </cell>
        </row>
        <row r="406">
          <cell r="A406">
            <v>1278466858</v>
          </cell>
          <cell r="B406" t="str">
            <v>95201059ZY</v>
          </cell>
          <cell r="C406" t="str">
            <v>SUPRIANTO MARWING</v>
          </cell>
          <cell r="D406">
            <v>95207607</v>
          </cell>
          <cell r="E406">
            <v>4120177339</v>
          </cell>
          <cell r="F406">
            <v>54</v>
          </cell>
          <cell r="G406" t="str">
            <v>Perjalanan Dinas Non-Diklat</v>
          </cell>
          <cell r="H406" t="str">
            <v>Kab. Buton Tengah - Kota Makassar</v>
          </cell>
          <cell r="I406" t="str">
            <v>21/08/2025 - 23/08/2025</v>
          </cell>
          <cell r="J406">
            <v>3</v>
          </cell>
          <cell r="K406" t="str">
            <v>Hotel</v>
          </cell>
          <cell r="L406" t="str">
            <v>20-08-2025 18:12:14</v>
          </cell>
          <cell r="M406" t="str">
            <v xml:space="preserve">Aryaduta Makassar - 5.0 Stars  - </v>
          </cell>
          <cell r="N406" t="str">
            <v>TL YAN GAN</v>
          </cell>
          <cell r="O406">
            <v>7409654</v>
          </cell>
          <cell r="P406" t="str">
            <v>22/08/2025 14:00:00 - 23/08/2025 12:00:00</v>
          </cell>
          <cell r="Q406">
            <v>760000</v>
          </cell>
        </row>
        <row r="407">
          <cell r="A407">
            <v>1278413767</v>
          </cell>
          <cell r="B407" t="str">
            <v>95201059ZY</v>
          </cell>
          <cell r="C407" t="str">
            <v>SUPRIANTO MARWING</v>
          </cell>
          <cell r="D407">
            <v>95207607</v>
          </cell>
          <cell r="E407">
            <v>4120177339</v>
          </cell>
          <cell r="F407">
            <v>54</v>
          </cell>
          <cell r="G407" t="str">
            <v>Perjalanan Dinas Non-Diklat</v>
          </cell>
          <cell r="H407" t="str">
            <v>Kab. Buton Tengah - Kota Makassar</v>
          </cell>
          <cell r="I407" t="str">
            <v>21/08/2025 - 23/08/2025</v>
          </cell>
          <cell r="J407">
            <v>3</v>
          </cell>
          <cell r="K407" t="str">
            <v>Flight One Way</v>
          </cell>
          <cell r="L407" t="str">
            <v>20-08-2025 14:30:43</v>
          </cell>
          <cell r="M407" t="str">
            <v>Super Air Jet  BUW Betoambari IU-573 - Super Air Jet  UPG Hasanuddin IU-573</v>
          </cell>
          <cell r="N407" t="str">
            <v>TL YAN GAN</v>
          </cell>
          <cell r="O407">
            <v>7409654</v>
          </cell>
          <cell r="P407" t="str">
            <v>21/08/2025 15:35:00 - 21/08/2025 16:20:00</v>
          </cell>
          <cell r="Q407">
            <v>744200</v>
          </cell>
        </row>
        <row r="408">
          <cell r="A408">
            <v>1278724291</v>
          </cell>
          <cell r="B408" t="str">
            <v>8908047F</v>
          </cell>
          <cell r="C408" t="str">
            <v>ZULKIFLI SETIOK</v>
          </cell>
          <cell r="D408">
            <v>89087622</v>
          </cell>
          <cell r="E408">
            <v>4120177344</v>
          </cell>
          <cell r="F408">
            <v>54</v>
          </cell>
          <cell r="G408" t="str">
            <v>Perjalanan Dinas Non-Diklat</v>
          </cell>
          <cell r="H408" t="str">
            <v>KotaBaubau-KotaMakassar</v>
          </cell>
          <cell r="I408" t="str">
            <v>21/08/2025 - 23/08/2025</v>
          </cell>
          <cell r="J408">
            <v>3</v>
          </cell>
          <cell r="K408" t="str">
            <v>Hotel</v>
          </cell>
          <cell r="L408" t="str">
            <v>21-08-2025 18:57:55</v>
          </cell>
          <cell r="M408" t="str">
            <v xml:space="preserve">Swiss-Belinn Panakkukang - 4.0 Stars  - </v>
          </cell>
          <cell r="N408" t="str">
            <v>MUL ULP (PASAR WAJO)</v>
          </cell>
          <cell r="O408">
            <v>7412280</v>
          </cell>
          <cell r="P408" t="str">
            <v>21/08/2025 14:00:00 - 23/08/2025 12:00:00</v>
          </cell>
          <cell r="Q408">
            <v>1400000</v>
          </cell>
        </row>
        <row r="409">
          <cell r="A409">
            <v>1278416312</v>
          </cell>
          <cell r="B409" t="str">
            <v>8908047F</v>
          </cell>
          <cell r="C409" t="str">
            <v>ZULKIFLI SETIOK</v>
          </cell>
          <cell r="D409">
            <v>89087622</v>
          </cell>
          <cell r="E409">
            <v>4120177344</v>
          </cell>
          <cell r="F409">
            <v>54</v>
          </cell>
          <cell r="G409" t="str">
            <v>Perjalanan Dinas Non-Diklat</v>
          </cell>
          <cell r="H409" t="str">
            <v>Kota Baubau - Kota Makassar</v>
          </cell>
          <cell r="I409" t="str">
            <v>21/08/2025 - 23/08/2025</v>
          </cell>
          <cell r="J409">
            <v>3</v>
          </cell>
          <cell r="K409" t="str">
            <v>Flight One Way</v>
          </cell>
          <cell r="L409" t="str">
            <v>20-08-2025 14:41:30</v>
          </cell>
          <cell r="M409" t="str">
            <v>Super Air Jet  BUW Betoambari IU-573 - Super Air Jet  UPG Hasanuddin IU-573</v>
          </cell>
          <cell r="N409" t="str">
            <v>MUL ULP (PASAR WAJO)</v>
          </cell>
          <cell r="O409">
            <v>7409653</v>
          </cell>
          <cell r="P409" t="str">
            <v>21/08/2025 15:35:00 - 21/08/2025 16:20:00</v>
          </cell>
          <cell r="Q409">
            <v>744200</v>
          </cell>
        </row>
        <row r="410">
          <cell r="A410">
            <v>1278430305</v>
          </cell>
          <cell r="B410" t="str">
            <v>8908047F</v>
          </cell>
          <cell r="C410" t="str">
            <v>ZULKIFLI SETIOK</v>
          </cell>
          <cell r="D410">
            <v>89087622</v>
          </cell>
          <cell r="E410">
            <v>4120177344</v>
          </cell>
          <cell r="F410">
            <v>54</v>
          </cell>
          <cell r="G410" t="str">
            <v>Perjalanan Dinas Non-Diklat</v>
          </cell>
          <cell r="H410" t="str">
            <v>Kota Baubau - Kota Makassar</v>
          </cell>
          <cell r="I410" t="str">
            <v>21/08/2025 - 23/08/2025</v>
          </cell>
          <cell r="J410">
            <v>3</v>
          </cell>
          <cell r="K410" t="str">
            <v>Flight One Way</v>
          </cell>
          <cell r="L410" t="str">
            <v>20-08-2025 15:36:07</v>
          </cell>
          <cell r="M410" t="str">
            <v>Super Air Jet  UPG Hasanuddin IU-572 - Super Air Jet  BUW Betoambari IU-572</v>
          </cell>
          <cell r="N410" t="str">
            <v>MUL ULP (PASAR WAJO)</v>
          </cell>
          <cell r="O410">
            <v>7409653</v>
          </cell>
          <cell r="P410" t="str">
            <v>23/08/2025 14:10:00 - 23/08/2025 14:55:00</v>
          </cell>
          <cell r="Q410">
            <v>844100</v>
          </cell>
        </row>
        <row r="411">
          <cell r="A411">
            <v>1278652806</v>
          </cell>
          <cell r="B411" t="str">
            <v>8408499Z</v>
          </cell>
          <cell r="C411" t="str">
            <v>MIRSAN</v>
          </cell>
          <cell r="D411">
            <v>84087802</v>
          </cell>
          <cell r="E411">
            <v>4120177347</v>
          </cell>
          <cell r="F411">
            <v>54</v>
          </cell>
          <cell r="G411" t="str">
            <v>Perjalanan Dinas Non-Diklat</v>
          </cell>
          <cell r="H411" t="str">
            <v>KotaMakassar-JakartaSelatan</v>
          </cell>
          <cell r="I411" t="str">
            <v>21/08/2025 - 22/08/2025</v>
          </cell>
          <cell r="J411">
            <v>2</v>
          </cell>
          <cell r="K411" t="str">
            <v>Flight One Way</v>
          </cell>
          <cell r="L411" t="str">
            <v>21-08-2025 14:00:17</v>
          </cell>
          <cell r="M411" t="str">
            <v>Garuda Indonesia  CGK Soekarno Hatta International Airport GA-604 - Garuda Indonesia Domestic UPG Hasanuddin GA-604</v>
          </cell>
          <cell r="N411" t="str">
            <v>MAN YAN PRIORITAS DAN PAE</v>
          </cell>
          <cell r="O411">
            <v>7411140</v>
          </cell>
          <cell r="P411" t="str">
            <v>22/08/2025 02:50:00 - 22/08/2025 06:25:00</v>
          </cell>
          <cell r="Q411">
            <v>1423300</v>
          </cell>
        </row>
        <row r="412">
          <cell r="A412">
            <v>1278410917</v>
          </cell>
          <cell r="B412" t="str">
            <v>8408499Z</v>
          </cell>
          <cell r="C412" t="str">
            <v xml:space="preserve">MIRSAN </v>
          </cell>
          <cell r="D412">
            <v>84087802</v>
          </cell>
          <cell r="E412">
            <v>4120177347</v>
          </cell>
          <cell r="F412">
            <v>54</v>
          </cell>
          <cell r="G412" t="str">
            <v>Perjalanan Dinas Non-Diklat</v>
          </cell>
          <cell r="H412" t="str">
            <v>Kota Makassar - Jakarta Selatan</v>
          </cell>
          <cell r="I412" t="str">
            <v>21/08/2025 - 22/08/2025</v>
          </cell>
          <cell r="J412">
            <v>2</v>
          </cell>
          <cell r="K412" t="str">
            <v>Flight One Way</v>
          </cell>
          <cell r="L412" t="str">
            <v>20-08-2025 14:19:37</v>
          </cell>
          <cell r="M412" t="str">
            <v>Garuda Indonesia Domestic UPG Hasanuddin GA-619 - Garuda Indonesia  CGK Soekarno Hatta International Airport GA-619</v>
          </cell>
          <cell r="N412" t="str">
            <v>MAN YAN PRIORITAS DAN PAE</v>
          </cell>
          <cell r="O412">
            <v>7411140</v>
          </cell>
          <cell r="P412" t="str">
            <v>21/08/2025 05:25:00 - 21/08/2025 06:55:00</v>
          </cell>
          <cell r="Q412">
            <v>1938200</v>
          </cell>
        </row>
        <row r="413">
          <cell r="A413">
            <v>1278373724</v>
          </cell>
          <cell r="B413" t="str">
            <v>8308021F</v>
          </cell>
          <cell r="C413" t="str">
            <v xml:space="preserve">ARIFUDDIN </v>
          </cell>
          <cell r="D413">
            <v>83087613</v>
          </cell>
          <cell r="E413">
            <v>4120177326</v>
          </cell>
          <cell r="F413">
            <v>54</v>
          </cell>
          <cell r="G413" t="str">
            <v>Perjalanan Dinas Non-Diklat</v>
          </cell>
          <cell r="H413" t="str">
            <v>Kota Baubau - Kota Makassar</v>
          </cell>
          <cell r="I413" t="str">
            <v>21/08/2025 - 23/08/2025</v>
          </cell>
          <cell r="J413">
            <v>3</v>
          </cell>
          <cell r="K413" t="str">
            <v>Flight Round-Trip</v>
          </cell>
          <cell r="L413" t="str">
            <v>20-08-2025 11:51:11</v>
          </cell>
          <cell r="M413" t="str">
            <v>Super Air Jet  BUW Betoambari IU-573 - Super Air Jet  UPG Hasanuddin IU-573</v>
          </cell>
          <cell r="N413" t="str">
            <v>ASMAN AGA DAN SAR</v>
          </cell>
          <cell r="O413">
            <v>7412285</v>
          </cell>
          <cell r="P413" t="str">
            <v>21/08/2025 15:35:00 - 21/08/2025 16:20:00</v>
          </cell>
          <cell r="Q413">
            <v>1588300</v>
          </cell>
        </row>
        <row r="414">
          <cell r="A414">
            <v>1278443255</v>
          </cell>
          <cell r="B414" t="str">
            <v>8308021F</v>
          </cell>
          <cell r="C414" t="str">
            <v xml:space="preserve">ARIFUDDIN </v>
          </cell>
          <cell r="D414">
            <v>83087613</v>
          </cell>
          <cell r="E414">
            <v>4120177326</v>
          </cell>
          <cell r="F414">
            <v>54</v>
          </cell>
          <cell r="G414" t="str">
            <v>Perjalanan Dinas Non-Diklat</v>
          </cell>
          <cell r="H414" t="str">
            <v>Kota Baubau - Kota Makassar</v>
          </cell>
          <cell r="I414" t="str">
            <v>21/08/2025 - 23/08/2025</v>
          </cell>
          <cell r="J414">
            <v>3</v>
          </cell>
          <cell r="K414" t="str">
            <v>Hotel</v>
          </cell>
          <cell r="L414" t="str">
            <v>20-08-2025 16:29:39</v>
          </cell>
          <cell r="M414" t="str">
            <v xml:space="preserve">Swiss-Belinn Panakkukang - 4.0 Stars  - </v>
          </cell>
          <cell r="N414" t="str">
            <v>ASMAN AGA DAN SAR</v>
          </cell>
          <cell r="O414">
            <v>7412285</v>
          </cell>
          <cell r="P414" t="str">
            <v>21/08/2025 14:00:00 - 23/08/2025 12:00:00</v>
          </cell>
          <cell r="Q414">
            <v>1380000</v>
          </cell>
        </row>
        <row r="415">
          <cell r="A415">
            <v>1278471698</v>
          </cell>
          <cell r="B415" t="str">
            <v>94161704ZY</v>
          </cell>
          <cell r="C415" t="str">
            <v>ARIO SUSENO</v>
          </cell>
          <cell r="D415">
            <v>94167610</v>
          </cell>
          <cell r="E415">
            <v>4120177333</v>
          </cell>
          <cell r="F415">
            <v>54</v>
          </cell>
          <cell r="G415" t="str">
            <v>Perjalanan Dinas Non-Diklat</v>
          </cell>
          <cell r="H415" t="str">
            <v>Kota Baubau - Kota Makassar</v>
          </cell>
          <cell r="I415" t="str">
            <v>21/08/2025 - 23/08/2025</v>
          </cell>
          <cell r="J415">
            <v>3</v>
          </cell>
          <cell r="K415" t="str">
            <v>Flight One Way</v>
          </cell>
          <cell r="L415" t="str">
            <v>20-08-2025 18:33:41</v>
          </cell>
          <cell r="M415" t="str">
            <v>Super Air Jet  UPG Hasanuddin IU-572 - Super Air Jet  BUW Betoambari IU-572</v>
          </cell>
          <cell r="N415" t="str">
            <v>TL SALES RET</v>
          </cell>
          <cell r="O415">
            <v>7412285</v>
          </cell>
          <cell r="P415" t="str">
            <v>23/08/2025 14:10:00 - 23/08/2025 14:55:00</v>
          </cell>
          <cell r="Q415">
            <v>844100</v>
          </cell>
        </row>
        <row r="416">
          <cell r="A416">
            <v>1278471187</v>
          </cell>
          <cell r="B416" t="str">
            <v>94161704ZY</v>
          </cell>
          <cell r="C416" t="str">
            <v>ARIO SUSENO</v>
          </cell>
          <cell r="D416">
            <v>94167610</v>
          </cell>
          <cell r="E416">
            <v>4120177333</v>
          </cell>
          <cell r="F416">
            <v>54</v>
          </cell>
          <cell r="G416" t="str">
            <v>Perjalanan Dinas Non-Diklat</v>
          </cell>
          <cell r="H416" t="str">
            <v>Kota Baubau - Kota Makassar</v>
          </cell>
          <cell r="I416" t="str">
            <v>21/08/2025 - 23/08/2025</v>
          </cell>
          <cell r="J416">
            <v>3</v>
          </cell>
          <cell r="K416" t="str">
            <v>Hotel</v>
          </cell>
          <cell r="L416" t="str">
            <v>20-08-2025 18:31:26</v>
          </cell>
          <cell r="M416" t="str">
            <v xml:space="preserve">Swiss-Belinn Panakkukang - 4.0 Stars  - </v>
          </cell>
          <cell r="N416" t="str">
            <v>TL SALES RET</v>
          </cell>
          <cell r="O416">
            <v>7412285</v>
          </cell>
          <cell r="P416" t="str">
            <v>21/08/2025 14:00:00 - 23/08/2025 12:00:00</v>
          </cell>
          <cell r="Q416">
            <v>1380000</v>
          </cell>
        </row>
        <row r="417">
          <cell r="A417">
            <v>1278778690</v>
          </cell>
          <cell r="B417" t="str">
            <v>7293022F</v>
          </cell>
          <cell r="C417" t="str">
            <v>EKO WAHYU PRASONGKO</v>
          </cell>
          <cell r="D417">
            <v>72937606</v>
          </cell>
          <cell r="E417">
            <v>4120177315</v>
          </cell>
          <cell r="F417">
            <v>54</v>
          </cell>
          <cell r="G417" t="str">
            <v>Perjalanan Dinas Non-Diklat</v>
          </cell>
          <cell r="H417" t="str">
            <v>KotaMakassar-KotaKendari</v>
          </cell>
          <cell r="I417" t="str">
            <v>25/08/2025 - 28/08/2025</v>
          </cell>
          <cell r="J417">
            <v>4</v>
          </cell>
          <cell r="K417" t="str">
            <v>Flight One Way</v>
          </cell>
          <cell r="L417" t="str">
            <v>21-08-2025 22:56:16</v>
          </cell>
          <cell r="M417" t="str">
            <v>Wings Air  KXB Sangia Nibandera IW-1207 - Wings Air Domestic UPG Hasanuddin IW-1207</v>
          </cell>
          <cell r="N417" t="str">
            <v>SPC KIN KEU, KOM, DAN MUM</v>
          </cell>
          <cell r="O417">
            <v>7412150</v>
          </cell>
          <cell r="P417" t="str">
            <v>28/08/2025 08:30:00 - 28/08/2025 09:25:00</v>
          </cell>
          <cell r="Q417">
            <v>1315800</v>
          </cell>
        </row>
        <row r="418">
          <cell r="A418">
            <v>1278312794</v>
          </cell>
          <cell r="B418" t="str">
            <v>7293022F</v>
          </cell>
          <cell r="C418" t="str">
            <v>EKO WAHYU PRASONGKO</v>
          </cell>
          <cell r="D418">
            <v>72937606</v>
          </cell>
          <cell r="E418">
            <v>4120177315</v>
          </cell>
          <cell r="F418">
            <v>54</v>
          </cell>
          <cell r="G418" t="str">
            <v>Perjalanan Dinas Non-Diklat</v>
          </cell>
          <cell r="H418" t="str">
            <v>Kota Makassar - Kota Kendari</v>
          </cell>
          <cell r="I418" t="str">
            <v>25/08/2025 - 28/08/2025</v>
          </cell>
          <cell r="J418">
            <v>4</v>
          </cell>
          <cell r="K418" t="str">
            <v>Hotel</v>
          </cell>
          <cell r="L418" t="str">
            <v>20-08-2025 06:46:40</v>
          </cell>
          <cell r="M418" t="str">
            <v xml:space="preserve">CLARO Kendari - 4.0 Stars  - </v>
          </cell>
          <cell r="N418" t="str">
            <v>SPC KIN KEU, KOM, DAN MUM</v>
          </cell>
          <cell r="O418">
            <v>7412150</v>
          </cell>
          <cell r="P418" t="str">
            <v>25/08/2025 14:00:00 - 26/08/2025 12:00:00</v>
          </cell>
          <cell r="Q418">
            <v>1050000</v>
          </cell>
        </row>
        <row r="419">
          <cell r="A419">
            <v>1278312571</v>
          </cell>
          <cell r="B419" t="str">
            <v>7293022F</v>
          </cell>
          <cell r="C419" t="str">
            <v>EKO WAHYU PRASONGKO</v>
          </cell>
          <cell r="D419">
            <v>72937606</v>
          </cell>
          <cell r="E419">
            <v>4120177315</v>
          </cell>
          <cell r="F419">
            <v>54</v>
          </cell>
          <cell r="G419" t="str">
            <v>Perjalanan Dinas Non-Diklat</v>
          </cell>
          <cell r="H419" t="str">
            <v>Kota Makassar - Kota Kendari</v>
          </cell>
          <cell r="I419" t="str">
            <v>25/08/2025 - 28/08/2025</v>
          </cell>
          <cell r="J419">
            <v>4</v>
          </cell>
          <cell r="K419" t="str">
            <v>Hotel</v>
          </cell>
          <cell r="L419" t="str">
            <v>20-08-2025 06:44:26</v>
          </cell>
          <cell r="M419" t="str">
            <v xml:space="preserve">Sutan Raja Hotel &amp; Convention Centre Kolaka - 4.0 Stars  - </v>
          </cell>
          <cell r="N419" t="str">
            <v>SPC KIN KEU, KOM, DAN MUM</v>
          </cell>
          <cell r="O419">
            <v>7412150</v>
          </cell>
          <cell r="P419" t="str">
            <v>26/08/2025 14:00:00 - 28/08/2025 12:00:00</v>
          </cell>
          <cell r="Q419">
            <v>1980000</v>
          </cell>
        </row>
        <row r="420">
          <cell r="A420">
            <v>1278312453</v>
          </cell>
          <cell r="B420" t="str">
            <v>7293022F</v>
          </cell>
          <cell r="C420" t="str">
            <v>EKO WAHYU PRASONGKO</v>
          </cell>
          <cell r="D420">
            <v>72937606</v>
          </cell>
          <cell r="E420">
            <v>4120177315</v>
          </cell>
          <cell r="F420">
            <v>54</v>
          </cell>
          <cell r="G420" t="str">
            <v>Perjalanan Dinas Non-Diklat</v>
          </cell>
          <cell r="H420" t="str">
            <v>Kota Makassar - Kota Kendari</v>
          </cell>
          <cell r="I420" t="str">
            <v>25/08/2025 - 28/08/2025</v>
          </cell>
          <cell r="J420">
            <v>4</v>
          </cell>
          <cell r="K420" t="str">
            <v>Flight One Way</v>
          </cell>
          <cell r="L420" t="str">
            <v>20-08-2025 06:43:13</v>
          </cell>
          <cell r="M420" t="str">
            <v>Garuda Indonesia Domestic UPG Hasanuddin GA-604 - Garuda Indonesia  KDI Haluoleo GA-604</v>
          </cell>
          <cell r="N420" t="str">
            <v>SPC KIN KEU, KOM, DAN MUM</v>
          </cell>
          <cell r="O420">
            <v>7412150</v>
          </cell>
          <cell r="P420" t="str">
            <v>25/08/2025 07:25:00 - 25/08/2025 08:25:00</v>
          </cell>
          <cell r="Q420">
            <v>865800</v>
          </cell>
        </row>
        <row r="421">
          <cell r="A421">
            <v>1279136967</v>
          </cell>
          <cell r="B421" t="str">
            <v>8710691Z</v>
          </cell>
          <cell r="C421" t="str">
            <v>AHMAD AMIRUL SYARIF</v>
          </cell>
          <cell r="D421">
            <v>87108002</v>
          </cell>
          <cell r="E421">
            <v>4120177320</v>
          </cell>
          <cell r="F421">
            <v>54</v>
          </cell>
          <cell r="G421" t="str">
            <v>Perjalanan Dinas Non-Diklat</v>
          </cell>
          <cell r="H421" t="str">
            <v>KotaMakassar-Kab.KolakaUtara</v>
          </cell>
          <cell r="I421" t="str">
            <v>25/08/2025 - 28/08/2025</v>
          </cell>
          <cell r="J421">
            <v>4</v>
          </cell>
          <cell r="K421" t="str">
            <v>Flight One Way</v>
          </cell>
          <cell r="L421" t="str">
            <v>23-08-2025 13:16:32</v>
          </cell>
          <cell r="M421" t="str">
            <v>Lion Air  KDI Haluoleo JT-993 - Lion Air Domestic UPG Hasanuddin JT-993</v>
          </cell>
          <cell r="N421" t="str">
            <v>MAN KOM DAN TJSL</v>
          </cell>
          <cell r="O421">
            <v>7412163</v>
          </cell>
          <cell r="P421" t="str">
            <v>26/08/2025 14:30:00 - 26/08/2025 15:25:00</v>
          </cell>
          <cell r="Q421">
            <v>810600</v>
          </cell>
        </row>
        <row r="422">
          <cell r="A422">
            <v>1278411633</v>
          </cell>
          <cell r="B422" t="str">
            <v>8710691Z</v>
          </cell>
          <cell r="C422" t="str">
            <v>AHMAD AMIRUL SYARIF</v>
          </cell>
          <cell r="D422">
            <v>87108002</v>
          </cell>
          <cell r="E422">
            <v>4120177320</v>
          </cell>
          <cell r="F422">
            <v>54</v>
          </cell>
          <cell r="G422" t="str">
            <v>Perjalanan Dinas Non-Diklat</v>
          </cell>
          <cell r="H422" t="str">
            <v>Kota Makassar - Kab. Kolaka Utara</v>
          </cell>
          <cell r="I422" t="str">
            <v>25/08/2025 - 28/08/2025</v>
          </cell>
          <cell r="J422">
            <v>4</v>
          </cell>
          <cell r="K422" t="str">
            <v>Hotel</v>
          </cell>
          <cell r="L422" t="str">
            <v>20-08-2025 14:22:23</v>
          </cell>
          <cell r="M422" t="str">
            <v xml:space="preserve">Sutan Raja Hotel &amp; Convention Centre Kolaka - 4.0 Stars  - </v>
          </cell>
          <cell r="N422" t="str">
            <v>MAN KOM DAN TJSL</v>
          </cell>
          <cell r="O422">
            <v>7412163</v>
          </cell>
          <cell r="P422" t="str">
            <v>26/08/2025 14:00:00 - 28/08/2025 12:00:00</v>
          </cell>
          <cell r="Q422">
            <v>1989000</v>
          </cell>
        </row>
        <row r="423">
          <cell r="A423">
            <v>1278380077</v>
          </cell>
          <cell r="B423" t="str">
            <v>8710691Z</v>
          </cell>
          <cell r="C423" t="str">
            <v>AHMAD AMIRUL SYARIF</v>
          </cell>
          <cell r="D423">
            <v>87108002</v>
          </cell>
          <cell r="E423">
            <v>4120177320</v>
          </cell>
          <cell r="F423">
            <v>54</v>
          </cell>
          <cell r="G423" t="str">
            <v>Perjalanan Dinas Non-Diklat</v>
          </cell>
          <cell r="H423" t="str">
            <v>Kota Makassar - Kab. Kolaka Utara</v>
          </cell>
          <cell r="I423" t="str">
            <v>25/08/2025 - 28/08/2025</v>
          </cell>
          <cell r="J423">
            <v>4</v>
          </cell>
          <cell r="K423" t="str">
            <v>Flight One Way</v>
          </cell>
          <cell r="L423" t="str">
            <v>20-08-2025 12:15:41</v>
          </cell>
          <cell r="M423" t="str">
            <v>Garuda Indonesia Domestic UPG Hasanuddin GA-604 - Garuda Indonesia  KDI Haluoleo GA-604</v>
          </cell>
          <cell r="N423" t="str">
            <v>MAN KOM DAN TJSL</v>
          </cell>
          <cell r="O423">
            <v>7412163</v>
          </cell>
          <cell r="P423" t="str">
            <v>25/08/2025 07:25:00 - 25/08/2025 08:25:00</v>
          </cell>
          <cell r="Q423">
            <v>710600</v>
          </cell>
        </row>
        <row r="424">
          <cell r="A424">
            <v>1278778989</v>
          </cell>
          <cell r="B424" t="str">
            <v>8908087F</v>
          </cell>
          <cell r="C424" t="str">
            <v>ARJINOFALTIN</v>
          </cell>
          <cell r="D424">
            <v>89087605</v>
          </cell>
          <cell r="E424">
            <v>4120177322</v>
          </cell>
          <cell r="F424">
            <v>54</v>
          </cell>
          <cell r="G424" t="str">
            <v>Perjalanan Dinas Non-Diklat</v>
          </cell>
          <cell r="H424" t="str">
            <v>KotaMakassar-Kab.KolakaUtara</v>
          </cell>
          <cell r="I424" t="str">
            <v>25/08/2025 - 28/08/2025</v>
          </cell>
          <cell r="J424">
            <v>4</v>
          </cell>
          <cell r="K424" t="str">
            <v>Flight One Way</v>
          </cell>
          <cell r="L424" t="str">
            <v>21-08-2025 22:58:08</v>
          </cell>
          <cell r="M424" t="str">
            <v>Wings Air  KXB Sangia Nibandera IW-1207 - Wings Air Domestic UPG Hasanuddin IW-1207</v>
          </cell>
          <cell r="N424" t="str">
            <v>ASMAN MUM</v>
          </cell>
          <cell r="O424">
            <v>7412164</v>
          </cell>
          <cell r="P424" t="str">
            <v>28/08/2025 08:30:00 - 28/08/2025 09:25:00</v>
          </cell>
          <cell r="Q424">
            <v>1315800</v>
          </cell>
        </row>
        <row r="425">
          <cell r="A425">
            <v>1278311850</v>
          </cell>
          <cell r="B425" t="str">
            <v>8908087F</v>
          </cell>
          <cell r="C425" t="str">
            <v xml:space="preserve">ARJINOFALTIN </v>
          </cell>
          <cell r="D425">
            <v>89087605</v>
          </cell>
          <cell r="E425">
            <v>4120177322</v>
          </cell>
          <cell r="F425">
            <v>54</v>
          </cell>
          <cell r="G425" t="str">
            <v>Perjalanan Dinas Non-Diklat</v>
          </cell>
          <cell r="H425" t="str">
            <v>Kota Makassar - Kab. Kolaka Utara</v>
          </cell>
          <cell r="I425" t="str">
            <v>25/08/2025 - 28/08/2025</v>
          </cell>
          <cell r="J425">
            <v>4</v>
          </cell>
          <cell r="K425" t="str">
            <v>Flight One Way</v>
          </cell>
          <cell r="L425" t="str">
            <v>20-08-2025 06:37:27</v>
          </cell>
          <cell r="M425" t="str">
            <v>Garuda Indonesia Domestic UPG Hasanuddin GA-604 - Garuda Indonesia  KDI Haluoleo GA-604</v>
          </cell>
          <cell r="N425" t="str">
            <v>ASMAN MUM</v>
          </cell>
          <cell r="O425">
            <v>7412164</v>
          </cell>
          <cell r="P425" t="str">
            <v>25/08/2025 07:25:00 - 25/08/2025 08:25:00</v>
          </cell>
          <cell r="Q425">
            <v>799500</v>
          </cell>
        </row>
        <row r="426">
          <cell r="A426">
            <v>1278311757</v>
          </cell>
          <cell r="B426" t="str">
            <v>8908087F</v>
          </cell>
          <cell r="C426" t="str">
            <v xml:space="preserve">ARJINOFALTIN </v>
          </cell>
          <cell r="D426">
            <v>89087605</v>
          </cell>
          <cell r="E426">
            <v>4120177322</v>
          </cell>
          <cell r="F426">
            <v>54</v>
          </cell>
          <cell r="G426" t="str">
            <v>Perjalanan Dinas Non-Diklat</v>
          </cell>
          <cell r="H426" t="str">
            <v>Kota Makassar - Kab. Kolaka Utara</v>
          </cell>
          <cell r="I426" t="str">
            <v>25/08/2025 - 28/08/2025</v>
          </cell>
          <cell r="J426">
            <v>4</v>
          </cell>
          <cell r="K426" t="str">
            <v>Hotel</v>
          </cell>
          <cell r="L426" t="str">
            <v>20-08-2025 06:35:59</v>
          </cell>
          <cell r="M426" t="str">
            <v xml:space="preserve">Sutan Raja Hotel &amp; Convention Centre Kolaka - 4.0 Stars  - </v>
          </cell>
          <cell r="N426" t="str">
            <v>ASMAN MUM</v>
          </cell>
          <cell r="O426">
            <v>7412164</v>
          </cell>
          <cell r="P426" t="str">
            <v>26/08/2025 14:00:00 - 28/08/2025 12:00:00</v>
          </cell>
          <cell r="Q426">
            <v>1674000</v>
          </cell>
        </row>
        <row r="427">
          <cell r="A427">
            <v>1278819384</v>
          </cell>
          <cell r="B427" t="str">
            <v>9419381ZY</v>
          </cell>
          <cell r="C427" t="str">
            <v>DIAN VERONICA</v>
          </cell>
          <cell r="D427">
            <v>94196205</v>
          </cell>
          <cell r="E427">
            <v>4120177312</v>
          </cell>
          <cell r="F427">
            <v>54</v>
          </cell>
          <cell r="G427" t="str">
            <v>Perjalanan Dinas Non-Diklat</v>
          </cell>
          <cell r="H427" t="str">
            <v>KotaKendari-Kab.Kolaka</v>
          </cell>
          <cell r="I427" t="str">
            <v>26/08/2025 - 28/08/2025</v>
          </cell>
          <cell r="J427">
            <v>3</v>
          </cell>
          <cell r="K427" t="str">
            <v>Hotel</v>
          </cell>
          <cell r="L427" t="str">
            <v>22-08-2025 08:22:21</v>
          </cell>
          <cell r="M427" t="str">
            <v xml:space="preserve">Sutan Raja Hotel &amp; Convention Centre Kolaka - 4.0 Stars  - </v>
          </cell>
          <cell r="N427" t="str">
            <v>TL ADM DAN MUM</v>
          </cell>
          <cell r="O427">
            <v>7412240</v>
          </cell>
          <cell r="P427" t="str">
            <v>26/08/2025 14:00:00 - 28/08/2025 12:00:00</v>
          </cell>
          <cell r="Q427">
            <v>1628000</v>
          </cell>
        </row>
        <row r="428">
          <cell r="A428">
            <v>1278834521</v>
          </cell>
          <cell r="B428" t="str">
            <v>9008037F</v>
          </cell>
          <cell r="C428" t="str">
            <v>HADI YUSRAN ZAENAL ABIDIN</v>
          </cell>
          <cell r="D428">
            <v>90087600</v>
          </cell>
          <cell r="E428">
            <v>4120177314</v>
          </cell>
          <cell r="F428">
            <v>54</v>
          </cell>
          <cell r="G428" t="str">
            <v>Perjalanan Dinas Non-Diklat</v>
          </cell>
          <cell r="H428" t="str">
            <v>KotaKendari-Kab.Kolaka</v>
          </cell>
          <cell r="I428" t="str">
            <v>26/08/2025 - 28/08/2025</v>
          </cell>
          <cell r="J428">
            <v>3</v>
          </cell>
          <cell r="K428" t="str">
            <v>Hotel</v>
          </cell>
          <cell r="L428" t="str">
            <v>22-08-2025 09:35:34</v>
          </cell>
          <cell r="M428" t="str">
            <v xml:space="preserve">Sutan Raja Hotel &amp; Convention Centre Kolaka - 4.0 Stars  - </v>
          </cell>
          <cell r="N428" t="str">
            <v>ASMAN KEU DAN MUM</v>
          </cell>
          <cell r="O428">
            <v>7412240</v>
          </cell>
          <cell r="P428" t="str">
            <v>26/08/2025 14:00:00 - 28/08/2025 12:00:00</v>
          </cell>
          <cell r="Q428">
            <v>1944800</v>
          </cell>
        </row>
        <row r="429">
          <cell r="A429">
            <v>1278323162</v>
          </cell>
          <cell r="B429" t="str">
            <v>0124589ZY</v>
          </cell>
          <cell r="C429" t="str">
            <v>NABILA NUR FAIRUZ</v>
          </cell>
          <cell r="D429">
            <v>1241589</v>
          </cell>
          <cell r="E429">
            <v>4120177304</v>
          </cell>
          <cell r="F429">
            <v>54</v>
          </cell>
          <cell r="G429" t="str">
            <v>Perjalanan Dinas Non-Diklat</v>
          </cell>
          <cell r="H429" t="str">
            <v>Kota Kendari - Kota Bogor</v>
          </cell>
          <cell r="I429" t="str">
            <v>26/08/2025 - 28/08/2025</v>
          </cell>
          <cell r="J429">
            <v>3</v>
          </cell>
          <cell r="K429" t="str">
            <v>Flight One Way</v>
          </cell>
          <cell r="L429" t="str">
            <v>20-08-2025 08:10:07</v>
          </cell>
          <cell r="M429" t="str">
            <v>Garuda Indonesia  KDI Haluoleo GA-605 - Garuda Indonesia  CGK Soekarno Hatta International Airport GA-605</v>
          </cell>
          <cell r="N429" t="str">
            <v>JOF YAN GAN</v>
          </cell>
          <cell r="O429">
            <v>7409624</v>
          </cell>
          <cell r="P429" t="str">
            <v>26/08/2025 09:10:00 - 26/08/2025 12:25:00</v>
          </cell>
          <cell r="Q429">
            <v>1986900</v>
          </cell>
        </row>
        <row r="430">
          <cell r="A430">
            <v>1279712833</v>
          </cell>
          <cell r="B430" t="str">
            <v>0124589ZY</v>
          </cell>
          <cell r="C430" t="str">
            <v>NABILA NUR FAIRUZ</v>
          </cell>
          <cell r="D430">
            <v>1241589</v>
          </cell>
          <cell r="E430">
            <v>4120177304</v>
          </cell>
          <cell r="F430">
            <v>54</v>
          </cell>
          <cell r="G430" t="str">
            <v>Perjalanan Dinas Non-Diklat</v>
          </cell>
          <cell r="H430" t="str">
            <v>KotaKendari-KotaBogor</v>
          </cell>
          <cell r="I430" t="str">
            <v>26/08/2025 - 28/08/2025</v>
          </cell>
          <cell r="J430">
            <v>3</v>
          </cell>
          <cell r="K430" t="str">
            <v>Hotel</v>
          </cell>
          <cell r="L430" t="str">
            <v>26-08-2025 00:22:21</v>
          </cell>
          <cell r="M430" t="str">
            <v xml:space="preserve">D'Anaya Hotel Bogor - 3.0 Stars  - </v>
          </cell>
          <cell r="N430" t="str">
            <v>JOF YAN GAN</v>
          </cell>
          <cell r="O430">
            <v>7409624</v>
          </cell>
          <cell r="P430" t="str">
            <v>26/08/2025 14:00:00 - 28/08/2025 12:00:00</v>
          </cell>
          <cell r="Q430">
            <v>1425000</v>
          </cell>
        </row>
        <row r="431">
          <cell r="A431">
            <v>1278236178</v>
          </cell>
          <cell r="B431" t="str">
            <v>8711534Z</v>
          </cell>
          <cell r="C431" t="str">
            <v>ANDHIKA PRANANDA</v>
          </cell>
          <cell r="D431">
            <v>87117615</v>
          </cell>
          <cell r="E431">
            <v>4120177310</v>
          </cell>
          <cell r="F431">
            <v>54</v>
          </cell>
          <cell r="G431" t="str">
            <v>Perjalanan Dinas Non-Diklat</v>
          </cell>
          <cell r="H431" t="str">
            <v>Kota Makassar - Kota Semarang</v>
          </cell>
          <cell r="I431" t="str">
            <v>20/08/2025 - 23/08/2025</v>
          </cell>
          <cell r="J431">
            <v>4</v>
          </cell>
          <cell r="K431" t="str">
            <v>Hotel</v>
          </cell>
          <cell r="L431" t="str">
            <v>19-08-2025 19:11:57</v>
          </cell>
          <cell r="M431" t="str">
            <v xml:space="preserve">Hotel Ciputra Semarang managed by Swiss-Belhotel International - 5.0 Stars  - </v>
          </cell>
          <cell r="N431" t="str">
            <v>ASMAN NPS</v>
          </cell>
          <cell r="O431">
            <v>74092708</v>
          </cell>
          <cell r="P431" t="str">
            <v>20/08/2025 14:00:00 - 23/08/2025 12:00:00</v>
          </cell>
          <cell r="Q431">
            <v>2795000</v>
          </cell>
        </row>
        <row r="432">
          <cell r="A432">
            <v>1278806552</v>
          </cell>
          <cell r="B432" t="str">
            <v>8711534Z</v>
          </cell>
          <cell r="C432" t="str">
            <v>ANDHIKA PRANANDA</v>
          </cell>
          <cell r="D432">
            <v>87117615</v>
          </cell>
          <cell r="E432">
            <v>4120177310</v>
          </cell>
          <cell r="F432">
            <v>54</v>
          </cell>
          <cell r="G432" t="str">
            <v>Perjalanan Dinas Non-Diklat</v>
          </cell>
          <cell r="H432" t="str">
            <v>KotaMakassar-KotaSemarang</v>
          </cell>
          <cell r="I432" t="str">
            <v>20/08/2025 - 23/08/2025</v>
          </cell>
          <cell r="J432">
            <v>4</v>
          </cell>
          <cell r="K432" t="str">
            <v>Flight One Way</v>
          </cell>
          <cell r="L432" t="str">
            <v>22-08-2025 06:47:28</v>
          </cell>
          <cell r="M432" t="str">
            <v>Garuda Indonesia Domestic SRG Achmad Yani GA-239 - Garuda Indonesia Domestic UPG Hasanuddin GA-239</v>
          </cell>
          <cell r="N432" t="str">
            <v>ASMAN NPS</v>
          </cell>
          <cell r="O432">
            <v>74092708</v>
          </cell>
          <cell r="P432" t="str">
            <v>23/08/2025 17:55:00 - 23/08/2025 23:50:00</v>
          </cell>
          <cell r="Q432">
            <v>3068000</v>
          </cell>
        </row>
        <row r="433">
          <cell r="A433">
            <v>1278195548</v>
          </cell>
          <cell r="B433" t="str">
            <v>8711534Z</v>
          </cell>
          <cell r="C433" t="str">
            <v>ANDHIKA PRANANDA</v>
          </cell>
          <cell r="D433">
            <v>87117615</v>
          </cell>
          <cell r="E433">
            <v>4120177310</v>
          </cell>
          <cell r="F433">
            <v>54</v>
          </cell>
          <cell r="G433" t="str">
            <v>Perjalanan Dinas Non-Diklat</v>
          </cell>
          <cell r="H433" t="str">
            <v>Kota Makassar - Kota Semarang</v>
          </cell>
          <cell r="I433" t="str">
            <v>20/08/2025 - 23/08/2025</v>
          </cell>
          <cell r="J433">
            <v>4</v>
          </cell>
          <cell r="K433" t="str">
            <v>Flight One Way</v>
          </cell>
          <cell r="L433" t="str">
            <v>19-08-2025 16:14:45</v>
          </cell>
          <cell r="M433" t="str">
            <v>Lion Air Domestic UPG Hasanuddin JT-909 - Lion Air Domestic SRG Achmad Yani JT-909</v>
          </cell>
          <cell r="N433" t="str">
            <v>ASMAN NPS</v>
          </cell>
          <cell r="O433">
            <v>74092708</v>
          </cell>
          <cell r="P433" t="str">
            <v>20/08/2025 15:00:00 - 20/08/2025 15:45:00</v>
          </cell>
          <cell r="Q433">
            <v>1456100</v>
          </cell>
        </row>
        <row r="434">
          <cell r="A434">
            <v>1278171476</v>
          </cell>
          <cell r="B434" t="str">
            <v>8609527Z</v>
          </cell>
          <cell r="C434" t="str">
            <v>MUHAMMAD SUSGANDINATA</v>
          </cell>
          <cell r="D434">
            <v>86097601</v>
          </cell>
          <cell r="E434">
            <v>4120177295</v>
          </cell>
          <cell r="F434">
            <v>54</v>
          </cell>
          <cell r="G434" t="str">
            <v>Perjalanan Dinas Non-Diklat</v>
          </cell>
          <cell r="H434" t="str">
            <v>Kota Makassar - Kota Semarang</v>
          </cell>
          <cell r="I434" t="str">
            <v>20/08/2025 - 23/08/2025</v>
          </cell>
          <cell r="J434">
            <v>4</v>
          </cell>
          <cell r="K434" t="str">
            <v>Flight One Way</v>
          </cell>
          <cell r="L434" t="str">
            <v>19-08-2025 14:37:45</v>
          </cell>
          <cell r="M434" t="str">
            <v>Lion Air Domestic UPG Hasanuddin JT-909 - Lion Air Domestic SRG Achmad Yani JT-909</v>
          </cell>
          <cell r="N434" t="str">
            <v>MAN YAN GAN</v>
          </cell>
          <cell r="O434">
            <v>7411140</v>
          </cell>
          <cell r="P434" t="str">
            <v>20/08/2025 15:00:00 - 20/08/2025 15:45:00</v>
          </cell>
          <cell r="Q434">
            <v>1456100</v>
          </cell>
        </row>
        <row r="435">
          <cell r="A435">
            <v>1278921331</v>
          </cell>
          <cell r="B435" t="str">
            <v>8609527Z</v>
          </cell>
          <cell r="C435" t="str">
            <v>MUHAMMAD SUSGANDINATA</v>
          </cell>
          <cell r="D435">
            <v>86097601</v>
          </cell>
          <cell r="E435">
            <v>4120177295</v>
          </cell>
          <cell r="F435">
            <v>54</v>
          </cell>
          <cell r="G435" t="str">
            <v>Perjalanan Dinas Non-Diklat</v>
          </cell>
          <cell r="H435" t="str">
            <v>KotaMakassar-KotaSemarang</v>
          </cell>
          <cell r="I435" t="str">
            <v>20/08/2025 - 23/08/2025</v>
          </cell>
          <cell r="J435">
            <v>4</v>
          </cell>
          <cell r="K435" t="str">
            <v>Hotel</v>
          </cell>
          <cell r="L435" t="str">
            <v>22-08-2025 15:16:53</v>
          </cell>
          <cell r="M435" t="str">
            <v xml:space="preserve">Quest Prime Pemuda - Semarang - 4.0 Stars  - </v>
          </cell>
          <cell r="N435" t="str">
            <v>MAN YAN GAN</v>
          </cell>
          <cell r="O435">
            <v>7411140</v>
          </cell>
          <cell r="P435" t="str">
            <v>22/08/2025 14:00:00 - 23/08/2025 12:00:00</v>
          </cell>
          <cell r="Q435">
            <v>794750</v>
          </cell>
        </row>
        <row r="436">
          <cell r="A436">
            <v>1278864703</v>
          </cell>
          <cell r="B436" t="str">
            <v>8609527Z</v>
          </cell>
          <cell r="C436" t="str">
            <v>MUHAMMAD SUSGANDINATA</v>
          </cell>
          <cell r="D436">
            <v>86097601</v>
          </cell>
          <cell r="E436">
            <v>4120177295</v>
          </cell>
          <cell r="F436">
            <v>54</v>
          </cell>
          <cell r="G436" t="str">
            <v>Perjalanan Dinas Non-Diklat</v>
          </cell>
          <cell r="H436" t="str">
            <v>KotaMakassar-KotaSemarang</v>
          </cell>
          <cell r="I436" t="str">
            <v>20/08/2025 - 23/08/2025</v>
          </cell>
          <cell r="J436">
            <v>4</v>
          </cell>
          <cell r="K436" t="str">
            <v>Flight One Way</v>
          </cell>
          <cell r="L436" t="str">
            <v>22-08-2025 11:34:40</v>
          </cell>
          <cell r="M436" t="str">
            <v>Lion Air Domestic SRG Achmad Yani JT-624 - Lion Air Domestic UPG Hasanuddin JT-624</v>
          </cell>
          <cell r="N436" t="str">
            <v>MAN YAN GAN</v>
          </cell>
          <cell r="O436">
            <v>7411140</v>
          </cell>
          <cell r="P436" t="str">
            <v>23/08/2025 07:40:00 - 23/08/2025 12:25:00</v>
          </cell>
          <cell r="Q436">
            <v>1885800</v>
          </cell>
        </row>
        <row r="437">
          <cell r="A437">
            <v>1278602422</v>
          </cell>
          <cell r="B437" t="str">
            <v>8609527Z</v>
          </cell>
          <cell r="C437" t="str">
            <v>MUHAMMAD SUSGANDINATA</v>
          </cell>
          <cell r="D437">
            <v>86097601</v>
          </cell>
          <cell r="E437">
            <v>4120177295</v>
          </cell>
          <cell r="F437">
            <v>54</v>
          </cell>
          <cell r="G437" t="str">
            <v>Perjalanan Dinas Non-Diklat</v>
          </cell>
          <cell r="H437" t="str">
            <v>KotaMakassar-KotaSemarang</v>
          </cell>
          <cell r="I437" t="str">
            <v>20/08/2025 - 23/08/2025</v>
          </cell>
          <cell r="J437">
            <v>4</v>
          </cell>
          <cell r="K437" t="str">
            <v>Hotel</v>
          </cell>
          <cell r="L437" t="str">
            <v>21-08-2025 10:40:56</v>
          </cell>
          <cell r="M437" t="str">
            <v xml:space="preserve">HARRIS Hotel Sentraland Semarang - 4.0 Stars  - </v>
          </cell>
          <cell r="N437" t="str">
            <v>MAN YAN GAN</v>
          </cell>
          <cell r="O437">
            <v>7411140</v>
          </cell>
          <cell r="P437" t="str">
            <v>21/08/2025 14:00:00 - 22/08/2025 12:00:00</v>
          </cell>
          <cell r="Q437">
            <v>778000</v>
          </cell>
        </row>
        <row r="438">
          <cell r="A438">
            <v>1278448335</v>
          </cell>
          <cell r="B438" t="str">
            <v>8609527Z</v>
          </cell>
          <cell r="C438" t="str">
            <v>MUHAMMAD SUSGANDINATA</v>
          </cell>
          <cell r="D438">
            <v>86097601</v>
          </cell>
          <cell r="E438">
            <v>4120177295</v>
          </cell>
          <cell r="F438">
            <v>54</v>
          </cell>
          <cell r="G438" t="str">
            <v>Perjalanan Dinas Non-Diklat</v>
          </cell>
          <cell r="H438" t="str">
            <v>Kota Makassar - Kota Semarang</v>
          </cell>
          <cell r="I438" t="str">
            <v>20/08/2025 - 23/08/2025</v>
          </cell>
          <cell r="J438">
            <v>4</v>
          </cell>
          <cell r="K438" t="str">
            <v>Hotel</v>
          </cell>
          <cell r="L438" t="str">
            <v>20-08-2025 16:51:17</v>
          </cell>
          <cell r="M438" t="str">
            <v xml:space="preserve">HARRIS Hotel Sentraland Semarang - 4.0 Stars  - </v>
          </cell>
          <cell r="N438" t="str">
            <v>MAN YAN GAN</v>
          </cell>
          <cell r="O438">
            <v>7411140</v>
          </cell>
          <cell r="P438" t="str">
            <v>20/08/2025 14:00:00 - 21/08/2025 12:00:00</v>
          </cell>
          <cell r="Q438">
            <v>778000</v>
          </cell>
        </row>
        <row r="439">
          <cell r="A439">
            <v>1279019278</v>
          </cell>
          <cell r="B439" t="str">
            <v>8712617ZY</v>
          </cell>
          <cell r="C439" t="str">
            <v>M. LUKMAN HAKIM</v>
          </cell>
          <cell r="D439">
            <v>87127603</v>
          </cell>
          <cell r="E439">
            <v>4120177306</v>
          </cell>
          <cell r="F439">
            <v>54</v>
          </cell>
          <cell r="G439" t="str">
            <v>Perjalanan Dinas Non-Diklat</v>
          </cell>
          <cell r="H439" t="str">
            <v>KotaMakassar-KotaSemarang</v>
          </cell>
          <cell r="I439" t="str">
            <v>20/08/2025 - 23/08/2025</v>
          </cell>
          <cell r="J439">
            <v>4</v>
          </cell>
          <cell r="K439" t="str">
            <v>Flight One Way</v>
          </cell>
          <cell r="L439" t="str">
            <v>22-08-2025 22:05:16</v>
          </cell>
          <cell r="M439" t="str">
            <v>Batik Air Domestic SRG Achmad Yani ID-6351 - Batik Air Domestic UPG Hasanuddin ID-6351</v>
          </cell>
          <cell r="N439" t="str">
            <v>ASMAN DIG SERVICE DAN CUST EX</v>
          </cell>
          <cell r="O439">
            <v>7411140</v>
          </cell>
          <cell r="P439" t="str">
            <v>23/08/2025 11:40:00 - 23/08/2025 20:10:00</v>
          </cell>
          <cell r="Q439">
            <v>2214100</v>
          </cell>
        </row>
        <row r="440">
          <cell r="A440">
            <v>1278882709</v>
          </cell>
          <cell r="B440" t="str">
            <v>8712617ZY</v>
          </cell>
          <cell r="C440" t="str">
            <v>M. LUKMAN HAKIM</v>
          </cell>
          <cell r="D440">
            <v>87127603</v>
          </cell>
          <cell r="E440">
            <v>4120177306</v>
          </cell>
          <cell r="F440">
            <v>54</v>
          </cell>
          <cell r="G440" t="str">
            <v>Perjalanan Dinas Non-Diklat</v>
          </cell>
          <cell r="H440" t="str">
            <v>KotaMakassar-KotaSemarang</v>
          </cell>
          <cell r="I440" t="str">
            <v>20/08/2025 - 23/08/2025</v>
          </cell>
          <cell r="J440">
            <v>4</v>
          </cell>
          <cell r="K440" t="str">
            <v>Hotel</v>
          </cell>
          <cell r="L440" t="str">
            <v>22-08-2025 12:48:34</v>
          </cell>
          <cell r="M440" t="str">
            <v xml:space="preserve">Quest Prime Pemuda - Semarang - 4.0 Stars  - </v>
          </cell>
          <cell r="N440" t="str">
            <v>ASMAN DIG SERVICE DAN CUST EX</v>
          </cell>
          <cell r="O440">
            <v>7411140</v>
          </cell>
          <cell r="P440" t="str">
            <v>22/08/2025 14:00:00 - 23/08/2025 12:00:00</v>
          </cell>
          <cell r="Q440">
            <v>794750</v>
          </cell>
        </row>
        <row r="441">
          <cell r="A441">
            <v>1278445003</v>
          </cell>
          <cell r="B441" t="str">
            <v>8712617ZY</v>
          </cell>
          <cell r="C441" t="str">
            <v>M. LUKMAN HAKIM</v>
          </cell>
          <cell r="D441">
            <v>87127603</v>
          </cell>
          <cell r="E441">
            <v>4120177306</v>
          </cell>
          <cell r="F441">
            <v>54</v>
          </cell>
          <cell r="G441" t="str">
            <v>Perjalanan Dinas Non-Diklat</v>
          </cell>
          <cell r="H441" t="str">
            <v>Kota Makassar - Kota Semarang</v>
          </cell>
          <cell r="I441" t="str">
            <v>20/08/2025 - 23/08/2025</v>
          </cell>
          <cell r="J441">
            <v>4</v>
          </cell>
          <cell r="K441" t="str">
            <v>Hotel</v>
          </cell>
          <cell r="L441" t="str">
            <v>20-08-2025 16:37:14</v>
          </cell>
          <cell r="M441" t="str">
            <v xml:space="preserve">HARRIS Hotel Sentraland Semarang - 4.0 Stars  - </v>
          </cell>
          <cell r="N441" t="str">
            <v>ASMAN DIG SERVICE DAN CUST EX</v>
          </cell>
          <cell r="O441">
            <v>7411140</v>
          </cell>
          <cell r="P441" t="str">
            <v>20/08/2025 14:00:00 - 22/08/2025 12:00:00</v>
          </cell>
          <cell r="Q441">
            <v>1556000</v>
          </cell>
        </row>
        <row r="442">
          <cell r="A442">
            <v>1278206270</v>
          </cell>
          <cell r="B442" t="str">
            <v>8712617ZY</v>
          </cell>
          <cell r="C442" t="str">
            <v>M. LUKMAN HAKIM</v>
          </cell>
          <cell r="D442">
            <v>87127603</v>
          </cell>
          <cell r="E442">
            <v>4120177306</v>
          </cell>
          <cell r="F442">
            <v>54</v>
          </cell>
          <cell r="G442" t="str">
            <v>Perjalanan Dinas Non-Diklat</v>
          </cell>
          <cell r="H442" t="str">
            <v>Kota Makassar - Kota Semarang</v>
          </cell>
          <cell r="I442" t="str">
            <v>20/08/2025 - 23/08/2025</v>
          </cell>
          <cell r="J442">
            <v>4</v>
          </cell>
          <cell r="K442" t="str">
            <v>Flight One Way</v>
          </cell>
          <cell r="L442" t="str">
            <v>19-08-2025 16:59:47</v>
          </cell>
          <cell r="M442" t="str">
            <v>Lion Air Domestic UPG Hasanuddin JT-909 - Lion Air Domestic SRG Achmad Yani JT-909</v>
          </cell>
          <cell r="N442" t="str">
            <v>ASMAN DIG SERVICE DAN CUST EX</v>
          </cell>
          <cell r="O442">
            <v>7411140</v>
          </cell>
          <cell r="P442" t="str">
            <v>20/08/2025 15:00:00 - 20/08/2025 15:45:00</v>
          </cell>
          <cell r="Q442">
            <v>1456100</v>
          </cell>
        </row>
        <row r="443">
          <cell r="A443">
            <v>1278465794</v>
          </cell>
          <cell r="B443" t="str">
            <v>8812188ZY</v>
          </cell>
          <cell r="C443" t="str">
            <v>JULYANZAH PERDANA PUTRA</v>
          </cell>
          <cell r="D443">
            <v>88128002</v>
          </cell>
          <cell r="E443">
            <v>4120177305</v>
          </cell>
          <cell r="F443">
            <v>54</v>
          </cell>
          <cell r="G443" t="str">
            <v>Perjalanan Dinas Non-Diklat</v>
          </cell>
          <cell r="H443" t="str">
            <v>Kota Makassar - Kota Bogor</v>
          </cell>
          <cell r="I443" t="str">
            <v>18/08/2025 - 22/08/2025</v>
          </cell>
          <cell r="J443">
            <v>5</v>
          </cell>
          <cell r="K443" t="str">
            <v>Hotel</v>
          </cell>
          <cell r="L443" t="str">
            <v>20-08-2025 18:07:30</v>
          </cell>
          <cell r="M443" t="str">
            <v xml:space="preserve">Nemuru Grand Bhuvana Ciawi - 4.0 Stars  - </v>
          </cell>
          <cell r="N443" t="str">
            <v>SOF REN SIS KELIST</v>
          </cell>
          <cell r="O443">
            <v>7412112</v>
          </cell>
          <cell r="P443" t="str">
            <v>21/08/2025 14:00:00 - 22/08/2025 12:00:00</v>
          </cell>
          <cell r="Q443">
            <v>976500</v>
          </cell>
        </row>
        <row r="444">
          <cell r="A444">
            <v>1278173222</v>
          </cell>
          <cell r="B444" t="str">
            <v>8812188ZY</v>
          </cell>
          <cell r="C444" t="str">
            <v>JULYANZAH PERDANA PUTRA</v>
          </cell>
          <cell r="D444">
            <v>88128002</v>
          </cell>
          <cell r="E444">
            <v>4120177305</v>
          </cell>
          <cell r="F444">
            <v>54</v>
          </cell>
          <cell r="G444" t="str">
            <v>Perjalanan Dinas Non-Diklat</v>
          </cell>
          <cell r="H444" t="str">
            <v>Kota Makassar - Kota Bogor</v>
          </cell>
          <cell r="I444" t="str">
            <v>18/08/2025 - 22/08/2025</v>
          </cell>
          <cell r="J444">
            <v>5</v>
          </cell>
          <cell r="K444" t="str">
            <v>Hotel</v>
          </cell>
          <cell r="L444" t="str">
            <v>19-08-2025 14:44:19</v>
          </cell>
          <cell r="M444" t="str">
            <v xml:space="preserve">Nemuru Grand Bhuvana Ciawi - 4.0 Stars  - </v>
          </cell>
          <cell r="N444" t="str">
            <v>SOF REN SIS KELIST</v>
          </cell>
          <cell r="O444">
            <v>7412112</v>
          </cell>
          <cell r="P444" t="str">
            <v>20/08/2025 14:00:00 - 21/08/2025 12:00:00</v>
          </cell>
          <cell r="Q444">
            <v>959040</v>
          </cell>
        </row>
        <row r="445">
          <cell r="A445">
            <v>1278216062</v>
          </cell>
          <cell r="B445" t="str">
            <v>7095015F</v>
          </cell>
          <cell r="C445" t="str">
            <v xml:space="preserve">EDYANSYAH </v>
          </cell>
          <cell r="D445">
            <v>70957602</v>
          </cell>
          <cell r="E445">
            <v>4120177293</v>
          </cell>
          <cell r="F445">
            <v>54</v>
          </cell>
          <cell r="G445" t="str">
            <v>Perjalanan Dinas Non-Diklat</v>
          </cell>
          <cell r="H445" t="str">
            <v>Kota Makassar - Kab. Kolaka Utara</v>
          </cell>
          <cell r="I445" t="str">
            <v>25/08/2025 - 28/08/2025</v>
          </cell>
          <cell r="J445">
            <v>4</v>
          </cell>
          <cell r="K445" t="str">
            <v>Hotel</v>
          </cell>
          <cell r="L445" t="str">
            <v>19-08-2025 17:42:37</v>
          </cell>
          <cell r="M445" t="str">
            <v xml:space="preserve">CLARO Kendari - 4.0 Stars  - </v>
          </cell>
          <cell r="N445" t="str">
            <v>GM</v>
          </cell>
          <cell r="O445">
            <v>7412000</v>
          </cell>
          <cell r="P445" t="str">
            <v>25/08/2025 14:00:00 - 26/08/2025 12:00:00</v>
          </cell>
          <cell r="Q445">
            <v>1150000</v>
          </cell>
        </row>
        <row r="446">
          <cell r="A446">
            <v>1278778000</v>
          </cell>
          <cell r="B446" t="str">
            <v>7095015F</v>
          </cell>
          <cell r="C446" t="str">
            <v>EDYANSYAH</v>
          </cell>
          <cell r="D446">
            <v>70957602</v>
          </cell>
          <cell r="E446">
            <v>4120177293</v>
          </cell>
          <cell r="F446">
            <v>54</v>
          </cell>
          <cell r="G446" t="str">
            <v>Perjalanan Dinas Non-Diklat</v>
          </cell>
          <cell r="H446" t="str">
            <v>KotaMakassar-Kab.KolakaUtara</v>
          </cell>
          <cell r="I446" t="str">
            <v>25/08/2025 - 28/08/2025</v>
          </cell>
          <cell r="J446">
            <v>4</v>
          </cell>
          <cell r="K446" t="str">
            <v>Flight One Way</v>
          </cell>
          <cell r="L446" t="str">
            <v>21-08-2025 22:52:26</v>
          </cell>
          <cell r="M446" t="str">
            <v>Wings Air  KXB Sangia Nibandera IW-1207 - Wings Air Domestic UPG Hasanuddin IW-1207</v>
          </cell>
          <cell r="N446" t="str">
            <v>GM</v>
          </cell>
          <cell r="O446">
            <v>7412000</v>
          </cell>
          <cell r="P446" t="str">
            <v>28/08/2025 08:30:00 - 28/08/2025 09:25:00</v>
          </cell>
          <cell r="Q446">
            <v>1315800</v>
          </cell>
        </row>
        <row r="447">
          <cell r="A447">
            <v>1278312041</v>
          </cell>
          <cell r="B447" t="str">
            <v>7095015F</v>
          </cell>
          <cell r="C447" t="str">
            <v xml:space="preserve">EDYANSYAH </v>
          </cell>
          <cell r="D447">
            <v>70957602</v>
          </cell>
          <cell r="E447">
            <v>4120177293</v>
          </cell>
          <cell r="F447">
            <v>54</v>
          </cell>
          <cell r="G447" t="str">
            <v>Perjalanan Dinas Non-Diklat</v>
          </cell>
          <cell r="H447" t="str">
            <v>Kota Makassar - Kab. Kolaka Utara</v>
          </cell>
          <cell r="I447" t="str">
            <v>25/08/2025 - 28/08/2025</v>
          </cell>
          <cell r="J447">
            <v>4</v>
          </cell>
          <cell r="K447" t="str">
            <v>Flight One Way</v>
          </cell>
          <cell r="L447" t="str">
            <v>20-08-2025 06:39:08</v>
          </cell>
          <cell r="M447" t="str">
            <v>Garuda Indonesia Domestic UPG Hasanuddin GA-604 - Garuda Indonesia  KDI Haluoleo GA-604</v>
          </cell>
          <cell r="N447" t="str">
            <v>GM</v>
          </cell>
          <cell r="O447">
            <v>7412000</v>
          </cell>
          <cell r="P447" t="str">
            <v>25/08/2025 07:25:00 - 25/08/2025 08:25:00</v>
          </cell>
          <cell r="Q447">
            <v>865800</v>
          </cell>
        </row>
        <row r="448">
          <cell r="A448">
            <v>1278216667</v>
          </cell>
          <cell r="B448" t="str">
            <v>7095015F</v>
          </cell>
          <cell r="C448" t="str">
            <v xml:space="preserve">EDYANSYAH </v>
          </cell>
          <cell r="D448">
            <v>70957602</v>
          </cell>
          <cell r="E448">
            <v>4120177293</v>
          </cell>
          <cell r="F448">
            <v>54</v>
          </cell>
          <cell r="G448" t="str">
            <v>Perjalanan Dinas Non-Diklat</v>
          </cell>
          <cell r="H448" t="str">
            <v>Kota Makassar - Kab. Kolaka Utara</v>
          </cell>
          <cell r="I448" t="str">
            <v>25/08/2025 - 28/08/2025</v>
          </cell>
          <cell r="J448">
            <v>4</v>
          </cell>
          <cell r="K448" t="str">
            <v>Hotel</v>
          </cell>
          <cell r="L448" t="str">
            <v>19-08-2025 17:45:15</v>
          </cell>
          <cell r="M448" t="str">
            <v xml:space="preserve">Sutan Raja Hotel &amp; Convention Centre Kolaka - 4.0 Stars  - </v>
          </cell>
          <cell r="N448" t="str">
            <v>GM</v>
          </cell>
          <cell r="O448">
            <v>7412000</v>
          </cell>
          <cell r="P448" t="str">
            <v>26/08/2025 14:00:00 - 28/08/2025 12:00:00</v>
          </cell>
          <cell r="Q448">
            <v>1989000</v>
          </cell>
        </row>
        <row r="449">
          <cell r="A449">
            <v>1278225921</v>
          </cell>
          <cell r="B449" t="str">
            <v>7802014F</v>
          </cell>
          <cell r="C449" t="str">
            <v>MUHAMMAD ISMAIL</v>
          </cell>
          <cell r="D449">
            <v>78027603</v>
          </cell>
          <cell r="E449">
            <v>4120177292</v>
          </cell>
          <cell r="F449">
            <v>54</v>
          </cell>
          <cell r="G449" t="str">
            <v>Perjalanan Dinas Non-Diklat</v>
          </cell>
          <cell r="H449" t="str">
            <v>Kota Makassar - Kota Bandung</v>
          </cell>
          <cell r="I449" t="str">
            <v>20/08/2025 - 23/08/2025</v>
          </cell>
          <cell r="J449">
            <v>4</v>
          </cell>
          <cell r="K449" t="str">
            <v>Flight One Way</v>
          </cell>
          <cell r="L449" t="str">
            <v>19-08-2025 18:27:22</v>
          </cell>
          <cell r="M449" t="str">
            <v>Garuda Indonesia Domestic UPG Hasanuddin GA-617 - Garuda Indonesia  CGK Soekarno Hatta International Airport GA-617</v>
          </cell>
          <cell r="N449" t="str">
            <v>MAN IPP DAN EXCESS POWER</v>
          </cell>
          <cell r="O449">
            <v>7412110</v>
          </cell>
          <cell r="P449" t="str">
            <v>20/08/2025 07:15:00 - 20/08/2025 08:45:00</v>
          </cell>
          <cell r="Q449">
            <v>2348900</v>
          </cell>
        </row>
        <row r="450">
          <cell r="A450">
            <v>1278991756</v>
          </cell>
          <cell r="B450" t="str">
            <v>7802014F</v>
          </cell>
          <cell r="C450" t="str">
            <v>MUHAMMAD ISMAIL</v>
          </cell>
          <cell r="D450">
            <v>78027603</v>
          </cell>
          <cell r="E450">
            <v>4120177292</v>
          </cell>
          <cell r="F450">
            <v>54</v>
          </cell>
          <cell r="G450" t="str">
            <v>Perjalanan Dinas Non-Diklat</v>
          </cell>
          <cell r="H450" t="str">
            <v>KotaMakassar-KotaBandung</v>
          </cell>
          <cell r="I450" t="str">
            <v>20/08/2025 - 23/08/2025</v>
          </cell>
          <cell r="J450">
            <v>4</v>
          </cell>
          <cell r="K450" t="str">
            <v>Hotel</v>
          </cell>
          <cell r="L450" t="str">
            <v>22-08-2025 20:08:28</v>
          </cell>
          <cell r="M450" t="str">
            <v xml:space="preserve">ibis budget Jakarta Airport - 2.0 Stars  - </v>
          </cell>
          <cell r="N450" t="str">
            <v>MAN IPP DAN EXCESS POWER</v>
          </cell>
          <cell r="O450">
            <v>7412110</v>
          </cell>
          <cell r="P450" t="str">
            <v>22/08/2025 14:00:00 - 23/08/2025 12:00:00</v>
          </cell>
          <cell r="Q450">
            <v>681450</v>
          </cell>
        </row>
        <row r="451">
          <cell r="A451">
            <v>1278987317</v>
          </cell>
          <cell r="B451" t="str">
            <v>7802014F</v>
          </cell>
          <cell r="C451" t="str">
            <v>MUHAMMAD ISMAIL</v>
          </cell>
          <cell r="D451">
            <v>78027603</v>
          </cell>
          <cell r="E451">
            <v>4120177292</v>
          </cell>
          <cell r="F451">
            <v>54</v>
          </cell>
          <cell r="G451" t="str">
            <v>Perjalanan Dinas Non-Diklat</v>
          </cell>
          <cell r="H451" t="str">
            <v>KotaMakassar-KotaBandung</v>
          </cell>
          <cell r="I451" t="str">
            <v>20/08/2025 - 23/08/2025</v>
          </cell>
          <cell r="J451">
            <v>4</v>
          </cell>
          <cell r="K451" t="str">
            <v>Flight One Way</v>
          </cell>
          <cell r="L451" t="str">
            <v>22-08-2025 19:49:55</v>
          </cell>
          <cell r="M451" t="str">
            <v>Garuda Indonesia  CGK Soekarno Hatta International Airport GA-610 - Garuda Indonesia Domestic UPG Hasanuddin GA-610</v>
          </cell>
          <cell r="N451" t="str">
            <v>MAN IPP DAN EXCESS POWER</v>
          </cell>
          <cell r="O451">
            <v>7412110</v>
          </cell>
          <cell r="P451" t="str">
            <v>23/08/2025 06:55:00 - 23/08/2025 10:30:00</v>
          </cell>
          <cell r="Q451">
            <v>1794600</v>
          </cell>
        </row>
        <row r="452">
          <cell r="A452">
            <v>1278986157</v>
          </cell>
          <cell r="B452" t="str">
            <v>7802014F</v>
          </cell>
          <cell r="C452" t="str">
            <v>MUHAMMAD ISMAIL</v>
          </cell>
          <cell r="D452">
            <v>78027603</v>
          </cell>
          <cell r="E452">
            <v>4120177292</v>
          </cell>
          <cell r="F452">
            <v>54</v>
          </cell>
          <cell r="G452" t="str">
            <v>Perjalanan Dinas Non-Diklat</v>
          </cell>
          <cell r="H452" t="str">
            <v>KotaMakassar-KotaBandung</v>
          </cell>
          <cell r="I452" t="str">
            <v>20/08/2025 - 23/08/2025</v>
          </cell>
          <cell r="J452">
            <v>4</v>
          </cell>
          <cell r="K452" t="str">
            <v>Hotel</v>
          </cell>
          <cell r="L452" t="str">
            <v>22-08-2025 19:45:16</v>
          </cell>
          <cell r="M452" t="str">
            <v>ibis budget Jakarta Airport - 2.0 Stars  - Standard 1 Double And 1 Bunk Bed</v>
          </cell>
          <cell r="N452" t="str">
            <v>MAN IPP DAN EXCESS POWER</v>
          </cell>
          <cell r="O452">
            <v>7412110</v>
          </cell>
          <cell r="P452" t="str">
            <v>22/08/2025 14:00:00 - 23/08/2025 12:00:00</v>
          </cell>
          <cell r="Q452">
            <v>681450</v>
          </cell>
        </row>
        <row r="453">
          <cell r="A453">
            <v>1278497839</v>
          </cell>
          <cell r="B453" t="str">
            <v>7802014F</v>
          </cell>
          <cell r="C453" t="str">
            <v>MUHAMMAD ISMAIL</v>
          </cell>
          <cell r="D453">
            <v>78027603</v>
          </cell>
          <cell r="E453">
            <v>4120177292</v>
          </cell>
          <cell r="F453">
            <v>54</v>
          </cell>
          <cell r="G453" t="str">
            <v>Perjalanan Dinas Non-Diklat</v>
          </cell>
          <cell r="H453" t="str">
            <v>Kota Makassar - Kota Bandung</v>
          </cell>
          <cell r="I453" t="str">
            <v>20/08/2025 - 23/08/2025</v>
          </cell>
          <cell r="J453">
            <v>4</v>
          </cell>
          <cell r="K453" t="str">
            <v>Hotel</v>
          </cell>
          <cell r="L453" t="str">
            <v>20-08-2025 20:24:51</v>
          </cell>
          <cell r="M453" t="str">
            <v xml:space="preserve">Kimaya Braga Bandung by Harris - 4.0 Stars  - </v>
          </cell>
          <cell r="N453" t="str">
            <v>MAN IPP DAN EXCESS POWER</v>
          </cell>
          <cell r="O453">
            <v>7412110</v>
          </cell>
          <cell r="P453" t="str">
            <v>20/08/2025 14:00:00 - 22/08/2025 12:00:00</v>
          </cell>
          <cell r="Q453">
            <v>1700000</v>
          </cell>
        </row>
        <row r="454">
          <cell r="A454">
            <v>1278083781</v>
          </cell>
          <cell r="B454" t="str">
            <v>7806084Z</v>
          </cell>
          <cell r="C454" t="str">
            <v>RACHMAT NUR</v>
          </cell>
          <cell r="D454">
            <v>78068001</v>
          </cell>
          <cell r="E454">
            <v>4120177283</v>
          </cell>
          <cell r="F454">
            <v>54</v>
          </cell>
          <cell r="G454" t="str">
            <v>Perjalanan Dinas Non-Diklat</v>
          </cell>
          <cell r="H454" t="str">
            <v>Kota Makassar - Jakarta Selatan</v>
          </cell>
          <cell r="I454" t="str">
            <v>19/08/2025 - 20/08/2025</v>
          </cell>
          <cell r="J454">
            <v>2</v>
          </cell>
          <cell r="K454" t="str">
            <v>Hotel</v>
          </cell>
          <cell r="L454" t="str">
            <v>19-08-2025 08:30:27</v>
          </cell>
          <cell r="M454" t="str">
            <v xml:space="preserve">favehotel Melawai - 2.0 Stars  - </v>
          </cell>
          <cell r="N454" t="str">
            <v>MAN KIT</v>
          </cell>
          <cell r="O454">
            <v>7412000</v>
          </cell>
          <cell r="P454" t="str">
            <v>19/08/2025 14:00:00 - 20/08/2025 12:00:00</v>
          </cell>
          <cell r="Q454">
            <v>628304</v>
          </cell>
        </row>
        <row r="455">
          <cell r="A455">
            <v>1278387242</v>
          </cell>
          <cell r="B455" t="str">
            <v>7806084Z</v>
          </cell>
          <cell r="C455" t="str">
            <v>RACHMAT NUR</v>
          </cell>
          <cell r="D455">
            <v>78068001</v>
          </cell>
          <cell r="E455">
            <v>4120177283</v>
          </cell>
          <cell r="F455">
            <v>54</v>
          </cell>
          <cell r="G455" t="str">
            <v>Perjalanan Dinas Non-Diklat</v>
          </cell>
          <cell r="H455" t="str">
            <v>Kota Makassar - Jakarta Selatan</v>
          </cell>
          <cell r="I455" t="str">
            <v>19/08/2025 - 20/08/2025</v>
          </cell>
          <cell r="J455">
            <v>2</v>
          </cell>
          <cell r="K455" t="str">
            <v>Flight One Way</v>
          </cell>
          <cell r="L455" t="str">
            <v>20-08-2025 12:45:42</v>
          </cell>
          <cell r="M455" t="str">
            <v>Garuda Indonesia  CGK Soekarno Hatta International Airport GA-616 - Garuda Indonesia Domestic UPG Hasanuddin GA-616</v>
          </cell>
          <cell r="N455" t="str">
            <v>MAN KIT</v>
          </cell>
          <cell r="O455">
            <v>7412000</v>
          </cell>
          <cell r="P455" t="str">
            <v>20/08/2025 16:45:00 - 20/08/2025 20:20:00</v>
          </cell>
          <cell r="Q455">
            <v>2397800</v>
          </cell>
        </row>
        <row r="456">
          <cell r="A456">
            <v>1277998657</v>
          </cell>
          <cell r="B456" t="str">
            <v>7806084Z</v>
          </cell>
          <cell r="C456" t="str">
            <v>RACHMAT NUR</v>
          </cell>
          <cell r="D456">
            <v>78068001</v>
          </cell>
          <cell r="E456">
            <v>4120177283</v>
          </cell>
          <cell r="F456">
            <v>54</v>
          </cell>
          <cell r="G456" t="str">
            <v>Perjalanan Dinas Non-Diklat</v>
          </cell>
          <cell r="H456" t="str">
            <v>Kota Makassar - Jakarta Selatan</v>
          </cell>
          <cell r="I456" t="str">
            <v>19/08/2025 - 20/08/2025</v>
          </cell>
          <cell r="J456">
            <v>2</v>
          </cell>
          <cell r="K456" t="str">
            <v>Flight One Way</v>
          </cell>
          <cell r="L456" t="str">
            <v>18-08-2025 19:10:00</v>
          </cell>
          <cell r="M456" t="str">
            <v>Garuda Indonesia Domestic UPG Hasanuddin GA-609 - Garuda Indonesia  CGK Soekarno Hatta International Airport GA-609</v>
          </cell>
          <cell r="N456" t="str">
            <v>MAN KIT</v>
          </cell>
          <cell r="O456">
            <v>7412000</v>
          </cell>
          <cell r="P456" t="str">
            <v>19/08/2025 18:05:00 - 19/08/2025 19:30:00</v>
          </cell>
          <cell r="Q456">
            <v>1751500</v>
          </cell>
        </row>
        <row r="457">
          <cell r="A457">
            <v>1278275513</v>
          </cell>
          <cell r="B457" t="str">
            <v>8007053Z</v>
          </cell>
          <cell r="C457" t="str">
            <v>DALMASIUS NUGROHO ADI PUTRANTO</v>
          </cell>
          <cell r="D457">
            <v>80077601</v>
          </cell>
          <cell r="E457">
            <v>4120177281</v>
          </cell>
          <cell r="F457">
            <v>54</v>
          </cell>
          <cell r="G457" t="str">
            <v>Perjalanan Dinas Non-Diklat</v>
          </cell>
          <cell r="H457" t="str">
            <v>Kota Makassar - Kota Bogor</v>
          </cell>
          <cell r="I457" t="str">
            <v>18/08/2025 - 22/08/2025</v>
          </cell>
          <cell r="J457">
            <v>5</v>
          </cell>
          <cell r="K457" t="str">
            <v>Hotel</v>
          </cell>
          <cell r="L457" t="str">
            <v>19-08-2025 22:00:16</v>
          </cell>
          <cell r="M457" t="str">
            <v xml:space="preserve">Nemuru Grand Bhuvana Ciawi - 4.0 Stars  - </v>
          </cell>
          <cell r="N457" t="str">
            <v>MAN REN SIS KELIST</v>
          </cell>
          <cell r="O457">
            <v>7412112</v>
          </cell>
          <cell r="P457" t="str">
            <v>20/08/2025 14:00:00 - 21/08/2025 12:00:00</v>
          </cell>
          <cell r="Q457">
            <v>646250</v>
          </cell>
        </row>
        <row r="458">
          <cell r="A458">
            <v>1278913851</v>
          </cell>
          <cell r="B458" t="str">
            <v>8007053Z</v>
          </cell>
          <cell r="C458" t="str">
            <v>DALMASIUS NUGROHO ADI PUTRANTO</v>
          </cell>
          <cell r="D458">
            <v>80077601</v>
          </cell>
          <cell r="E458">
            <v>4120177281</v>
          </cell>
          <cell r="F458">
            <v>54</v>
          </cell>
          <cell r="G458" t="str">
            <v>Perjalanan Dinas Non-Diklat</v>
          </cell>
          <cell r="H458" t="str">
            <v>KotaMakassar-KotaBogor</v>
          </cell>
          <cell r="I458" t="str">
            <v>18/08/2025 - 22/08/2025</v>
          </cell>
          <cell r="J458">
            <v>5</v>
          </cell>
          <cell r="K458" t="str">
            <v>Flight One Way</v>
          </cell>
          <cell r="L458" t="str">
            <v>22-08-2025 14:48:22</v>
          </cell>
          <cell r="M458" t="str">
            <v>Garuda Indonesia  CGK Soekarno Hatta International Airport GA-618 - Garuda Indonesia Domestic UPG Hasanuddin GA-618</v>
          </cell>
          <cell r="N458" t="str">
            <v>MAN REN SIS KELIST</v>
          </cell>
          <cell r="O458">
            <v>7412112</v>
          </cell>
          <cell r="P458" t="str">
            <v>22/08/2025 20:15:00 - 22/08/2025 23:50:00</v>
          </cell>
          <cell r="Q458">
            <v>1619800</v>
          </cell>
        </row>
        <row r="459">
          <cell r="A459">
            <v>1278687971</v>
          </cell>
          <cell r="B459" t="str">
            <v>8007053Z</v>
          </cell>
          <cell r="C459" t="str">
            <v>DALMASIUS NUGROHO ADI PUTRANTO</v>
          </cell>
          <cell r="D459">
            <v>80077601</v>
          </cell>
          <cell r="E459">
            <v>4120177281</v>
          </cell>
          <cell r="F459">
            <v>54</v>
          </cell>
          <cell r="G459" t="str">
            <v>Perjalanan Dinas Non-Diklat</v>
          </cell>
          <cell r="H459" t="str">
            <v>KotaMakassar-KotaBogor</v>
          </cell>
          <cell r="I459" t="str">
            <v>18/08/2025 - 22/08/2025</v>
          </cell>
          <cell r="J459">
            <v>5</v>
          </cell>
          <cell r="K459" t="str">
            <v>Hotel</v>
          </cell>
          <cell r="L459" t="str">
            <v>21-08-2025 16:23:00</v>
          </cell>
          <cell r="M459" t="str">
            <v xml:space="preserve">Grand Dafam Braga Bandung - 4.0 Stars  - </v>
          </cell>
          <cell r="N459" t="str">
            <v>MAN REN SIS KELIST</v>
          </cell>
          <cell r="O459">
            <v>7412112</v>
          </cell>
          <cell r="P459" t="str">
            <v>21/08/2025 14:00:00 - 22/08/2025 12:00:00</v>
          </cell>
          <cell r="Q459">
            <v>1377500</v>
          </cell>
        </row>
        <row r="460">
          <cell r="A460">
            <v>1277867687</v>
          </cell>
          <cell r="B460" t="str">
            <v>8007053Z</v>
          </cell>
          <cell r="C460" t="str">
            <v>DALMASIUS NUGROHO ADI PUTRANTO</v>
          </cell>
          <cell r="D460">
            <v>80077601</v>
          </cell>
          <cell r="E460">
            <v>4120177281</v>
          </cell>
          <cell r="F460">
            <v>54</v>
          </cell>
          <cell r="G460" t="str">
            <v>Perjalanan Dinas Non-Diklat</v>
          </cell>
          <cell r="H460" t="str">
            <v>Kota Makassar - Kota Bogor</v>
          </cell>
          <cell r="I460" t="str">
            <v>18/08/2025 - 22/08/2025</v>
          </cell>
          <cell r="J460">
            <v>5</v>
          </cell>
          <cell r="K460" t="str">
            <v>Hotel</v>
          </cell>
          <cell r="L460" t="str">
            <v>18-08-2025 09:44:41</v>
          </cell>
          <cell r="M460" t="str">
            <v xml:space="preserve">Nemuru Grand Bhuvana Ciawi - 4.0 Stars  - </v>
          </cell>
          <cell r="N460" t="str">
            <v>MAN REN SIS KELIST</v>
          </cell>
          <cell r="O460">
            <v>7412112</v>
          </cell>
          <cell r="P460" t="str">
            <v>18/08/2025 14:00:00 - 20/08/2025 12:00:00</v>
          </cell>
          <cell r="Q460">
            <v>1292500</v>
          </cell>
        </row>
        <row r="461">
          <cell r="A461">
            <v>1277934829</v>
          </cell>
          <cell r="B461" t="str">
            <v>9213081FY</v>
          </cell>
          <cell r="C461" t="str">
            <v>KRESKY YULIANTO</v>
          </cell>
          <cell r="D461">
            <v>96137676</v>
          </cell>
          <cell r="E461">
            <v>4120177251</v>
          </cell>
          <cell r="F461">
            <v>54</v>
          </cell>
          <cell r="G461" t="str">
            <v>Perjalanan Dinas Non-Diklat</v>
          </cell>
          <cell r="H461" t="str">
            <v>Kota Makassar - Kab. Mamuju</v>
          </cell>
          <cell r="I461" t="str">
            <v>18/08/2025 - 22/08/2025</v>
          </cell>
          <cell r="J461">
            <v>5</v>
          </cell>
          <cell r="K461" t="str">
            <v>Hotel</v>
          </cell>
          <cell r="L461" t="str">
            <v>18-08-2025 14:13:11</v>
          </cell>
          <cell r="M461" t="str">
            <v xml:space="preserve">Aflah Hotel - 0.0 Stars  - </v>
          </cell>
          <cell r="N461" t="str">
            <v>TC HAR ELEKTRO</v>
          </cell>
          <cell r="O461">
            <v>7412340</v>
          </cell>
          <cell r="P461" t="str">
            <v>18/08/2025 14:00:00 - 20/08/2025 12:00:00</v>
          </cell>
          <cell r="Q461">
            <v>1500000</v>
          </cell>
        </row>
        <row r="462">
          <cell r="A462">
            <v>1278391575</v>
          </cell>
          <cell r="B462" t="str">
            <v>8710691Z</v>
          </cell>
          <cell r="C462" t="str">
            <v>AHMAD AMIRUL SYARIF</v>
          </cell>
          <cell r="D462">
            <v>87108002</v>
          </cell>
          <cell r="E462">
            <v>4120177272</v>
          </cell>
          <cell r="F462">
            <v>54</v>
          </cell>
          <cell r="G462" t="str">
            <v>Perjalanan Dinas Non-Diklat</v>
          </cell>
          <cell r="H462" t="str">
            <v>Kota Makassar - Jakarta Pusat</v>
          </cell>
          <cell r="I462" t="str">
            <v>19/08/2025 - 21/08/2025</v>
          </cell>
          <cell r="J462">
            <v>3</v>
          </cell>
          <cell r="K462" t="str">
            <v>Flight One Way</v>
          </cell>
          <cell r="L462" t="str">
            <v>20-08-2025 13:03:20</v>
          </cell>
          <cell r="M462" t="str">
            <v>Citilink  CGK Soekarno Hatta International Airport QG-426 - Citilink Domestic UPG Hasanuddin QG-426</v>
          </cell>
          <cell r="N462" t="str">
            <v>MAN KOM DAN TJSL</v>
          </cell>
          <cell r="O462">
            <v>7412163</v>
          </cell>
          <cell r="P462" t="str">
            <v>20/08/2025 16:55:00 - 20/08/2025 20:20:00</v>
          </cell>
          <cell r="Q462">
            <v>1545300</v>
          </cell>
        </row>
        <row r="463">
          <cell r="A463">
            <v>1278088200</v>
          </cell>
          <cell r="B463" t="str">
            <v>8710691Z</v>
          </cell>
          <cell r="C463" t="str">
            <v>AHMAD AMIRUL SYARIF</v>
          </cell>
          <cell r="D463">
            <v>87108002</v>
          </cell>
          <cell r="E463">
            <v>4120177272</v>
          </cell>
          <cell r="F463">
            <v>54</v>
          </cell>
          <cell r="G463" t="str">
            <v>Perjalanan Dinas Non-Diklat</v>
          </cell>
          <cell r="H463" t="str">
            <v>Kota Makassar - Jakarta Pusat</v>
          </cell>
          <cell r="I463" t="str">
            <v>19/08/2025 - 21/08/2025</v>
          </cell>
          <cell r="J463">
            <v>3</v>
          </cell>
          <cell r="K463" t="str">
            <v>Hotel</v>
          </cell>
          <cell r="L463" t="str">
            <v>19-08-2025 08:54:59</v>
          </cell>
          <cell r="M463" t="str">
            <v xml:space="preserve">ARTOTEL Gelora Senayan Jakarta - 4.0 Stars  - </v>
          </cell>
          <cell r="N463" t="str">
            <v>MAN KOM DAN TJSL</v>
          </cell>
          <cell r="O463">
            <v>7412163</v>
          </cell>
          <cell r="P463" t="str">
            <v>19/08/2025 14:00:00 - 20/08/2025 12:00:00</v>
          </cell>
          <cell r="Q463">
            <v>1295641</v>
          </cell>
        </row>
        <row r="464">
          <cell r="A464">
            <v>1277518512</v>
          </cell>
          <cell r="B464" t="str">
            <v>8710691Z</v>
          </cell>
          <cell r="C464" t="str">
            <v>AHMAD AMIRUL SYARIF</v>
          </cell>
          <cell r="D464">
            <v>87108002</v>
          </cell>
          <cell r="E464">
            <v>4120177272</v>
          </cell>
          <cell r="F464">
            <v>54</v>
          </cell>
          <cell r="G464" t="str">
            <v>Perjalanan Dinas Non-Diklat</v>
          </cell>
          <cell r="H464" t="str">
            <v>Kota Makassar - Jakarta Pusat</v>
          </cell>
          <cell r="I464" t="str">
            <v>19/08/2025 - 21/08/2025</v>
          </cell>
          <cell r="J464">
            <v>3</v>
          </cell>
          <cell r="K464" t="str">
            <v>Flight One Way</v>
          </cell>
          <cell r="L464" t="str">
            <v>16-08-2025 17:02:39</v>
          </cell>
          <cell r="M464" t="str">
            <v>Garuda Indonesia Domestic UPG Hasanuddin GA-609 - Garuda Indonesia  CGK Soekarno Hatta International Airport GA-609</v>
          </cell>
          <cell r="N464" t="str">
            <v>MAN KOM DAN TJSL</v>
          </cell>
          <cell r="O464">
            <v>7412163</v>
          </cell>
          <cell r="P464" t="str">
            <v>19/08/2025 18:05:00 - 19/08/2025 19:30:00</v>
          </cell>
          <cell r="Q464">
            <v>1578600</v>
          </cell>
        </row>
        <row r="465">
          <cell r="A465">
            <v>1277862931</v>
          </cell>
          <cell r="B465" t="str">
            <v>7904006F</v>
          </cell>
          <cell r="C465" t="str">
            <v>YULI ASHANIAIS RAMADANI</v>
          </cell>
          <cell r="D465">
            <v>79047601</v>
          </cell>
          <cell r="E465">
            <v>4120177270</v>
          </cell>
          <cell r="F465">
            <v>54</v>
          </cell>
          <cell r="G465" t="str">
            <v>Perjalanan Dinas Non-Diklat</v>
          </cell>
          <cell r="H465" t="str">
            <v>Kota Makassar - Jakarta Pusat</v>
          </cell>
          <cell r="I465" t="str">
            <v>18/08/2025 - 20/08/2025</v>
          </cell>
          <cell r="J465">
            <v>3</v>
          </cell>
          <cell r="K465" t="str">
            <v>Hotel</v>
          </cell>
          <cell r="L465" t="str">
            <v>18-08-2025 09:24:27</v>
          </cell>
          <cell r="M465" t="str">
            <v xml:space="preserve">Ashley Wahid Hasyim Jakarta - 4.0 Stars  - </v>
          </cell>
          <cell r="N465" t="str">
            <v>SM AGA DAN MANJ GAN</v>
          </cell>
          <cell r="O465">
            <v>7411140</v>
          </cell>
          <cell r="P465" t="str">
            <v>18/08/2025 14:00:00 - 20/08/2025 12:00:00</v>
          </cell>
          <cell r="Q465">
            <v>3105320</v>
          </cell>
        </row>
        <row r="466">
          <cell r="A466">
            <v>1277561412</v>
          </cell>
          <cell r="B466" t="str">
            <v>7904006F</v>
          </cell>
          <cell r="C466" t="str">
            <v>YULI ASHANIAIS RAMADANI</v>
          </cell>
          <cell r="D466">
            <v>79047601</v>
          </cell>
          <cell r="E466">
            <v>4120177270</v>
          </cell>
          <cell r="F466">
            <v>54</v>
          </cell>
          <cell r="G466" t="str">
            <v>Perjalanan Dinas Non-Diklat</v>
          </cell>
          <cell r="H466" t="str">
            <v>Kota Makassar - Jakarta Pusat</v>
          </cell>
          <cell r="I466" t="str">
            <v>18/08/2025 - 20/08/2025</v>
          </cell>
          <cell r="J466">
            <v>3</v>
          </cell>
          <cell r="K466" t="str">
            <v>Flight One Way</v>
          </cell>
          <cell r="L466" t="str">
            <v>16-08-2025 20:24:49</v>
          </cell>
          <cell r="M466" t="str">
            <v>Garuda Indonesia Domestic UPG Hasanuddin GA-605 - Garuda Indonesia  CGK Soekarno Hatta International Airport GA-605</v>
          </cell>
          <cell r="N466" t="str">
            <v>SM AGA DAN MANJ GAN</v>
          </cell>
          <cell r="O466">
            <v>7411140</v>
          </cell>
          <cell r="P466" t="str">
            <v>18/08/2025 10:55:00 - 18/08/2025 12:25:00</v>
          </cell>
          <cell r="Q466">
            <v>2353400</v>
          </cell>
        </row>
        <row r="467">
          <cell r="A467">
            <v>1277512031</v>
          </cell>
          <cell r="B467" t="str">
            <v>8714012ZY</v>
          </cell>
          <cell r="C467" t="str">
            <v>AGUS PUTRA ABBAS</v>
          </cell>
          <cell r="D467">
            <v>87147800</v>
          </cell>
          <cell r="E467">
            <v>4120177259</v>
          </cell>
          <cell r="F467">
            <v>54</v>
          </cell>
          <cell r="G467" t="str">
            <v>Perjalanan Dinas Non-Diklat</v>
          </cell>
          <cell r="H467" t="str">
            <v>Kota Makassar - Kab. Luwu Timur</v>
          </cell>
          <cell r="I467" t="str">
            <v>19/08/2025 - 23/08/2025</v>
          </cell>
          <cell r="J467">
            <v>5</v>
          </cell>
          <cell r="K467" t="str">
            <v>Flight Round-Trip</v>
          </cell>
          <cell r="L467" t="str">
            <v>16-08-2025 16:31:49</v>
          </cell>
          <cell r="M467" t="str">
            <v>Wings Air Domestic UPG Hasanuddin IW-1350 - Wings Air  LLO Lagaligo Airport IW-1350</v>
          </cell>
          <cell r="N467" t="str">
            <v>SOF IPP DAN EXCESS POWER</v>
          </cell>
          <cell r="O467">
            <v>7412110</v>
          </cell>
          <cell r="P467" t="str">
            <v>19/08/2025 08:10:00 - 19/08/2025 09:05:00</v>
          </cell>
          <cell r="Q467">
            <v>2810700</v>
          </cell>
        </row>
        <row r="468">
          <cell r="A468">
            <v>1278123026</v>
          </cell>
          <cell r="B468" t="str">
            <v>8714012ZY</v>
          </cell>
          <cell r="C468" t="str">
            <v>AGUS PUTRA ABBAS</v>
          </cell>
          <cell r="D468">
            <v>87147800</v>
          </cell>
          <cell r="E468">
            <v>4120177259</v>
          </cell>
          <cell r="F468">
            <v>54</v>
          </cell>
          <cell r="G468" t="str">
            <v>Perjalanan Dinas Non-Diklat</v>
          </cell>
          <cell r="H468" t="str">
            <v>Kota Makassar - Kab. Luwu Timur</v>
          </cell>
          <cell r="I468" t="str">
            <v>19/08/2025 - 23/08/2025</v>
          </cell>
          <cell r="J468">
            <v>5</v>
          </cell>
          <cell r="K468" t="str">
            <v>Hotel</v>
          </cell>
          <cell r="L468" t="str">
            <v>19-08-2025 11:24:02</v>
          </cell>
          <cell r="M468" t="str">
            <v xml:space="preserve">Lusiana Hotel &amp; Restauran Soroako Sorowako - 3.0 Stars  - </v>
          </cell>
          <cell r="N468" t="str">
            <v>SOF IPP DAN EXCESS POWER</v>
          </cell>
          <cell r="O468">
            <v>7412110</v>
          </cell>
          <cell r="P468" t="str">
            <v>19/08/2025 14:00:00 - 21/08/2025 12:00:00</v>
          </cell>
          <cell r="Q468">
            <v>1202971</v>
          </cell>
        </row>
        <row r="469">
          <cell r="A469">
            <v>1278333861</v>
          </cell>
          <cell r="B469" t="str">
            <v>8509300Z</v>
          </cell>
          <cell r="C469" t="str">
            <v>AGUS HARI WIBOWO</v>
          </cell>
          <cell r="D469">
            <v>85097602</v>
          </cell>
          <cell r="E469">
            <v>4120177263</v>
          </cell>
          <cell r="F469">
            <v>54</v>
          </cell>
          <cell r="G469" t="str">
            <v>Perjalanan Dinas Non-Diklat</v>
          </cell>
          <cell r="H469" t="str">
            <v>Kota Makassar - Kota Palopo</v>
          </cell>
          <cell r="I469" t="str">
            <v>19/08/2025 - 23/08/2025</v>
          </cell>
          <cell r="J469">
            <v>5</v>
          </cell>
          <cell r="K469" t="str">
            <v>Flight One Way</v>
          </cell>
          <cell r="L469" t="str">
            <v>20-08-2025 09:08:45</v>
          </cell>
          <cell r="M469" t="str">
            <v>Wings Air  LLO Lagaligo Airport IW-1351 - Wings Air Domestic UPG Hasanuddin IW-1351</v>
          </cell>
          <cell r="N469" t="str">
            <v>SOF REN SIS KELIST</v>
          </cell>
          <cell r="O469">
            <v>7412112</v>
          </cell>
          <cell r="P469" t="str">
            <v>23/08/2025 09:40:00 - 23/08/2025 10:35:00</v>
          </cell>
          <cell r="Q469">
            <v>1355400</v>
          </cell>
        </row>
        <row r="470">
          <cell r="A470">
            <v>1278122369</v>
          </cell>
          <cell r="B470" t="str">
            <v>8509300Z</v>
          </cell>
          <cell r="C470" t="str">
            <v>AGUS HARI WIBOWO</v>
          </cell>
          <cell r="D470">
            <v>85097602</v>
          </cell>
          <cell r="E470">
            <v>4120177263</v>
          </cell>
          <cell r="F470">
            <v>54</v>
          </cell>
          <cell r="G470" t="str">
            <v>Perjalanan Dinas Non-Diklat</v>
          </cell>
          <cell r="H470" t="str">
            <v>Kota Makassar - Kota Palopo</v>
          </cell>
          <cell r="I470" t="str">
            <v>19/08/2025 - 23/08/2025</v>
          </cell>
          <cell r="J470">
            <v>5</v>
          </cell>
          <cell r="K470" t="str">
            <v>Hotel</v>
          </cell>
          <cell r="L470" t="str">
            <v>19-08-2025 11:21:32</v>
          </cell>
          <cell r="M470" t="str">
            <v xml:space="preserve">Lusiana Hotel &amp; Restauran Soroako Sorowako - 3.0 Stars  - </v>
          </cell>
          <cell r="N470" t="str">
            <v>SOF REN SIS KELIST</v>
          </cell>
          <cell r="O470">
            <v>7412112</v>
          </cell>
          <cell r="P470" t="str">
            <v>19/08/2025 14:00:00 - 21/08/2025 12:00:00</v>
          </cell>
          <cell r="Q470">
            <v>1279531</v>
          </cell>
        </row>
        <row r="471">
          <cell r="A471">
            <v>1277695312</v>
          </cell>
          <cell r="B471" t="str">
            <v>8509300Z</v>
          </cell>
          <cell r="C471" t="str">
            <v>AGUS HARI WIBOWO</v>
          </cell>
          <cell r="D471">
            <v>85097602</v>
          </cell>
          <cell r="E471">
            <v>4120177263</v>
          </cell>
          <cell r="F471">
            <v>54</v>
          </cell>
          <cell r="G471" t="str">
            <v>Perjalanan Dinas Non-Diklat</v>
          </cell>
          <cell r="H471" t="str">
            <v>Kota Makassar - Kota Palopo</v>
          </cell>
          <cell r="I471" t="str">
            <v>19/08/2025 - 23/08/2025</v>
          </cell>
          <cell r="J471">
            <v>5</v>
          </cell>
          <cell r="K471" t="str">
            <v>Flight One Way</v>
          </cell>
          <cell r="L471" t="str">
            <v>17-08-2025 13:18:57</v>
          </cell>
          <cell r="M471" t="str">
            <v>Wings Air Domestic UPG Hasanuddin IW-1350 - Wings Air  LLO Lagaligo Airport IW-1350</v>
          </cell>
          <cell r="N471" t="str">
            <v>SOF REN SIS KELIST</v>
          </cell>
          <cell r="O471">
            <v>7412112</v>
          </cell>
          <cell r="P471" t="str">
            <v>19/08/2025 08:10:00 - 19/08/2025 09:05:00</v>
          </cell>
          <cell r="Q471">
            <v>1455300</v>
          </cell>
        </row>
        <row r="472">
          <cell r="A472">
            <v>1277477834</v>
          </cell>
          <cell r="B472" t="str">
            <v>7703070F</v>
          </cell>
          <cell r="C472" t="str">
            <v>ANDI DWI MULYANA</v>
          </cell>
          <cell r="D472">
            <v>77037604</v>
          </cell>
          <cell r="E472">
            <v>4120177267</v>
          </cell>
          <cell r="F472">
            <v>54</v>
          </cell>
          <cell r="G472" t="str">
            <v>Perjalanan Dinas Non-Diklat</v>
          </cell>
          <cell r="H472" t="str">
            <v>Kota Makassar - Jakarta Pusat</v>
          </cell>
          <cell r="I472" t="str">
            <v>18/08/2025 - 20/08/2025</v>
          </cell>
          <cell r="J472">
            <v>3</v>
          </cell>
          <cell r="K472" t="str">
            <v>Flight One Way</v>
          </cell>
          <cell r="L472" t="str">
            <v>16-08-2025 13:57:23</v>
          </cell>
          <cell r="M472" t="str">
            <v>Garuda Indonesia Domestic UPG Hasanuddin GA-605 - Garuda Indonesia  CGK Soekarno Hatta International Airport GA-605</v>
          </cell>
          <cell r="N472" t="str">
            <v>OF REN SIS KELIST</v>
          </cell>
          <cell r="O472">
            <v>7412112</v>
          </cell>
          <cell r="P472" t="str">
            <v>18/08/2025 10:55:00 - 18/08/2025 12:25:00</v>
          </cell>
          <cell r="Q472">
            <v>2353400</v>
          </cell>
        </row>
        <row r="473">
          <cell r="A473">
            <v>1277523263</v>
          </cell>
          <cell r="B473" t="str">
            <v>7603014F</v>
          </cell>
          <cell r="C473" t="str">
            <v xml:space="preserve">DAMBARUDIN </v>
          </cell>
          <cell r="D473">
            <v>76037600</v>
          </cell>
          <cell r="E473">
            <v>4120177246</v>
          </cell>
          <cell r="F473">
            <v>54</v>
          </cell>
          <cell r="G473" t="str">
            <v>Perjalanan Dinas Diklat</v>
          </cell>
          <cell r="H473" t="str">
            <v>Kota Baubau - Kota Bogor</v>
          </cell>
          <cell r="I473" t="str">
            <v>18/08/2025 - 23/08/2025</v>
          </cell>
          <cell r="J473">
            <v>6</v>
          </cell>
          <cell r="K473" t="str">
            <v>Flight One Way</v>
          </cell>
          <cell r="L473" t="str">
            <v>16-08-2025 17:26:14</v>
          </cell>
          <cell r="M473" t="str">
            <v>Super Air Jet  BUW Betoambari IU-573 - Super Air Jet 2E CGK Soekarno Hatta International Airport IU-573</v>
          </cell>
          <cell r="N473" t="str">
            <v>ASMAN REN</v>
          </cell>
          <cell r="O473">
            <v>7412280</v>
          </cell>
          <cell r="P473" t="str">
            <v>18/08/2025 15:35:00 - 18/08/2025 18:20:00</v>
          </cell>
          <cell r="Q473">
            <v>1785400</v>
          </cell>
        </row>
        <row r="474">
          <cell r="A474">
            <v>1278757866</v>
          </cell>
          <cell r="B474" t="str">
            <v>7603014F</v>
          </cell>
          <cell r="C474" t="str">
            <v>DAMBARUDIN</v>
          </cell>
          <cell r="D474">
            <v>76037600</v>
          </cell>
          <cell r="E474">
            <v>4120177246</v>
          </cell>
          <cell r="F474">
            <v>54</v>
          </cell>
          <cell r="G474" t="str">
            <v>Perjalanan Dinas Diklat</v>
          </cell>
          <cell r="H474" t="str">
            <v>KotaBaubau-KotaBogor</v>
          </cell>
          <cell r="I474" t="str">
            <v>18/08/2025 - 23/08/2025</v>
          </cell>
          <cell r="J474">
            <v>6</v>
          </cell>
          <cell r="K474" t="str">
            <v>Flight One Way</v>
          </cell>
          <cell r="L474" t="str">
            <v>21-08-2025 21:14:51</v>
          </cell>
          <cell r="M474" t="str">
            <v>Lion Air 1A CGK Soekarno Hatta International Airport JT-892 - Lion Air  BUW Betoambari JT-892</v>
          </cell>
          <cell r="N474" t="str">
            <v>ASMAN REN</v>
          </cell>
          <cell r="O474">
            <v>7412280</v>
          </cell>
          <cell r="P474" t="str">
            <v>23/08/2025 07:45:00 - 23/08/2025 14:55:00</v>
          </cell>
          <cell r="Q474">
            <v>1605700</v>
          </cell>
        </row>
        <row r="475">
          <cell r="A475">
            <v>1278935888</v>
          </cell>
          <cell r="B475" t="str">
            <v>7603014F</v>
          </cell>
          <cell r="C475" t="str">
            <v>DAMBARUDIN</v>
          </cell>
          <cell r="D475">
            <v>76037600</v>
          </cell>
          <cell r="E475">
            <v>4120177246</v>
          </cell>
          <cell r="F475">
            <v>54</v>
          </cell>
          <cell r="G475" t="str">
            <v>Perjalanan Dinas Diklat</v>
          </cell>
          <cell r="H475" t="str">
            <v>KotaBaubau-KotaBogor</v>
          </cell>
          <cell r="I475" t="str">
            <v>18/08/2025 - 23/08/2025</v>
          </cell>
          <cell r="J475">
            <v>6</v>
          </cell>
          <cell r="K475" t="str">
            <v>Hotel</v>
          </cell>
          <cell r="L475" t="str">
            <v>22-08-2025 16:15:52</v>
          </cell>
          <cell r="M475" t="str">
            <v xml:space="preserve">Ashley Tugu Tani Menteng - 4.0 Stars  - </v>
          </cell>
          <cell r="N475" t="str">
            <v>ASMAN REN</v>
          </cell>
          <cell r="O475">
            <v>7412280</v>
          </cell>
          <cell r="P475" t="str">
            <v>22/08/2025 14:00:00 - 23/08/2025 12:00:00</v>
          </cell>
          <cell r="Q475">
            <v>964619</v>
          </cell>
        </row>
        <row r="476">
          <cell r="A476">
            <v>1278425394</v>
          </cell>
          <cell r="B476" t="str">
            <v>96191272ZY</v>
          </cell>
          <cell r="C476" t="str">
            <v>AHMAD FATHAN MAARIF</v>
          </cell>
          <cell r="D476">
            <v>96197614</v>
          </cell>
          <cell r="E476">
            <v>4120177235</v>
          </cell>
          <cell r="F476">
            <v>54</v>
          </cell>
          <cell r="G476" t="str">
            <v>Perjalanan Dinas Non-Diklat</v>
          </cell>
          <cell r="H476" t="str">
            <v>Kota Kendari - Kota Makassar</v>
          </cell>
          <cell r="I476" t="str">
            <v>19/08/2025 - 21/08/2025</v>
          </cell>
          <cell r="J476">
            <v>3</v>
          </cell>
          <cell r="K476" t="str">
            <v>Flight One Way</v>
          </cell>
          <cell r="L476" t="str">
            <v>20-08-2025 15:16:52</v>
          </cell>
          <cell r="M476" t="str">
            <v>Lion Air Domestic UPG Hasanuddin JT-996 - Lion Air  KDI Haluoleo JT-996</v>
          </cell>
          <cell r="N476" t="str">
            <v>TL SCADA DAN TEL (KEN)</v>
          </cell>
          <cell r="O476">
            <v>7408341</v>
          </cell>
          <cell r="P476" t="str">
            <v>21/08/2025 17:15:00 - 21/08/2025 18:20:00</v>
          </cell>
          <cell r="Q476">
            <v>788600</v>
          </cell>
        </row>
        <row r="477">
          <cell r="A477">
            <v>1278008256</v>
          </cell>
          <cell r="B477" t="str">
            <v>96191272ZY</v>
          </cell>
          <cell r="C477" t="str">
            <v>AHMAD FATHAN MAARIF</v>
          </cell>
          <cell r="D477">
            <v>96197614</v>
          </cell>
          <cell r="E477">
            <v>4120177235</v>
          </cell>
          <cell r="F477">
            <v>54</v>
          </cell>
          <cell r="G477" t="str">
            <v>Perjalanan Dinas Non-Diklat</v>
          </cell>
          <cell r="H477" t="str">
            <v>Kota Kendari - Kota Makassar</v>
          </cell>
          <cell r="I477" t="str">
            <v>19/08/2025 - 21/08/2025</v>
          </cell>
          <cell r="J477">
            <v>3</v>
          </cell>
          <cell r="K477" t="str">
            <v>Hotel</v>
          </cell>
          <cell r="L477" t="str">
            <v>18-08-2025 19:54:34</v>
          </cell>
          <cell r="M477" t="str">
            <v xml:space="preserve">Melia Makassar - 4.0 Stars  - </v>
          </cell>
          <cell r="N477" t="str">
            <v>TL SCADA DAN TEL (KEN)</v>
          </cell>
          <cell r="O477">
            <v>7408341</v>
          </cell>
          <cell r="P477" t="str">
            <v>19/08/2025 14:00:00 - 20/08/2025 12:00:00</v>
          </cell>
          <cell r="Q477">
            <v>828750</v>
          </cell>
        </row>
        <row r="478">
          <cell r="A478">
            <v>1278209259</v>
          </cell>
          <cell r="B478" t="str">
            <v>96191272ZY</v>
          </cell>
          <cell r="C478" t="str">
            <v>AHMAD FATHAN MAARIF</v>
          </cell>
          <cell r="D478">
            <v>96197614</v>
          </cell>
          <cell r="E478">
            <v>4120177235</v>
          </cell>
          <cell r="F478">
            <v>54</v>
          </cell>
          <cell r="G478" t="str">
            <v>Perjalanan Dinas Non-Diklat</v>
          </cell>
          <cell r="H478" t="str">
            <v>Kota Kendari - Kota Makassar</v>
          </cell>
          <cell r="I478" t="str">
            <v>19/08/2025 - 21/08/2025</v>
          </cell>
          <cell r="J478">
            <v>3</v>
          </cell>
          <cell r="K478" t="str">
            <v>Hotel</v>
          </cell>
          <cell r="L478" t="str">
            <v>19-08-2025 17:12:51</v>
          </cell>
          <cell r="M478" t="str">
            <v xml:space="preserve">Arthama Hotel Makassar - 4.0 Stars  - </v>
          </cell>
          <cell r="N478" t="str">
            <v>TL SCADA DAN TEL (KEN)</v>
          </cell>
          <cell r="O478">
            <v>7408341</v>
          </cell>
          <cell r="P478" t="str">
            <v>20/08/2025 14:00:00 - 21/08/2025 12:00:00</v>
          </cell>
          <cell r="Q478">
            <v>758625</v>
          </cell>
        </row>
        <row r="479">
          <cell r="A479">
            <v>1277709682</v>
          </cell>
          <cell r="B479" t="str">
            <v>9719685ZY</v>
          </cell>
          <cell r="C479" t="str">
            <v>MUHAMMAD HIDAYAT ALWI</v>
          </cell>
          <cell r="D479">
            <v>97196203</v>
          </cell>
          <cell r="E479">
            <v>4120177225</v>
          </cell>
          <cell r="F479">
            <v>54</v>
          </cell>
          <cell r="G479" t="str">
            <v>Perjalanan Dinas Non-Diklat</v>
          </cell>
          <cell r="H479" t="str">
            <v>Kota Kendari - Kota Makassar</v>
          </cell>
          <cell r="I479" t="str">
            <v>19/08/2025 - 21/08/2025</v>
          </cell>
          <cell r="J479">
            <v>3</v>
          </cell>
          <cell r="K479" t="str">
            <v>Flight One Way</v>
          </cell>
          <cell r="L479" t="str">
            <v>17-08-2025 14:19:31</v>
          </cell>
          <cell r="M479" t="str">
            <v>Lion Air Domestic UPG Hasanuddin JT-994 - Lion Air  KDI Haluoleo JT-994</v>
          </cell>
          <cell r="N479" t="str">
            <v>TL RTU DAN PERIPHERAL (KEN)</v>
          </cell>
          <cell r="O479">
            <v>7408341</v>
          </cell>
          <cell r="P479" t="str">
            <v>21/08/2025 13:50:00 - 21/08/2025 14:55:00</v>
          </cell>
          <cell r="Q479">
            <v>823000</v>
          </cell>
        </row>
        <row r="480">
          <cell r="A480">
            <v>1277752131</v>
          </cell>
          <cell r="B480" t="str">
            <v>9719685ZY</v>
          </cell>
          <cell r="C480" t="str">
            <v>MUHAMMAD HIDAYAT ALWI</v>
          </cell>
          <cell r="D480">
            <v>97196203</v>
          </cell>
          <cell r="E480">
            <v>4120177225</v>
          </cell>
          <cell r="F480">
            <v>54</v>
          </cell>
          <cell r="G480" t="str">
            <v>Perjalanan Dinas Non-Diklat</v>
          </cell>
          <cell r="H480" t="str">
            <v>Kota Kendari - Kota Makassar</v>
          </cell>
          <cell r="I480" t="str">
            <v>19/08/2025 - 21/08/2025</v>
          </cell>
          <cell r="J480">
            <v>3</v>
          </cell>
          <cell r="K480" t="str">
            <v>Hotel</v>
          </cell>
          <cell r="L480" t="str">
            <v>17-08-2025 17:46:01</v>
          </cell>
          <cell r="M480" t="str">
            <v xml:space="preserve">Vasaka Hotel Makassar Managed By Dafam - 3.5 Stars  - </v>
          </cell>
          <cell r="N480" t="str">
            <v>TL RTU DAN PERIPHERAL (KEN)</v>
          </cell>
          <cell r="O480">
            <v>7408341</v>
          </cell>
          <cell r="P480" t="str">
            <v>19/08/2025 14:00:00 - 21/08/2025 12:00:00</v>
          </cell>
          <cell r="Q480">
            <v>1577035</v>
          </cell>
        </row>
        <row r="481">
          <cell r="A481">
            <v>1278216043</v>
          </cell>
          <cell r="B481" t="str">
            <v>7190010F</v>
          </cell>
          <cell r="C481" t="str">
            <v>HUSLAN HUSAIN</v>
          </cell>
          <cell r="D481">
            <v>71907601</v>
          </cell>
          <cell r="E481">
            <v>4120177255</v>
          </cell>
          <cell r="F481">
            <v>54</v>
          </cell>
          <cell r="G481" t="str">
            <v>Perjalanan Dinas Non-Diklat</v>
          </cell>
          <cell r="H481" t="str">
            <v>Kota Makassar - Jakarta Pusat - Kota Bandung</v>
          </cell>
          <cell r="I481" t="str">
            <v>18/08/2025 - 23/08/2025</v>
          </cell>
          <cell r="J481">
            <v>6</v>
          </cell>
          <cell r="K481" t="str">
            <v>Hotel</v>
          </cell>
          <cell r="L481" t="str">
            <v>19-08-2025 17:42:33</v>
          </cell>
          <cell r="M481" t="str">
            <v xml:space="preserve">Hotel Santika Bogor - 3.0 Stars  - </v>
          </cell>
          <cell r="N481" t="str">
            <v>SM REN</v>
          </cell>
          <cell r="O481">
            <v>7412110</v>
          </cell>
          <cell r="P481" t="str">
            <v>19/08/2025 14:00:00 - 20/08/2025 12:00:00</v>
          </cell>
          <cell r="Q481">
            <v>1500000</v>
          </cell>
        </row>
        <row r="482">
          <cell r="A482">
            <v>1277944882</v>
          </cell>
          <cell r="B482" t="str">
            <v>7190010F</v>
          </cell>
          <cell r="C482" t="str">
            <v>HUSLAN HUSAIN</v>
          </cell>
          <cell r="D482">
            <v>71907601</v>
          </cell>
          <cell r="E482">
            <v>4120177255</v>
          </cell>
          <cell r="F482">
            <v>54</v>
          </cell>
          <cell r="G482" t="str">
            <v>Perjalanan Dinas Non-Diklat</v>
          </cell>
          <cell r="H482" t="str">
            <v>Kota Makassar - Jakarta Pusat - Kota Bandung</v>
          </cell>
          <cell r="I482" t="str">
            <v>18/08/2025 - 23/08/2025</v>
          </cell>
          <cell r="J482">
            <v>6</v>
          </cell>
          <cell r="K482" t="str">
            <v>Hotel</v>
          </cell>
          <cell r="L482" t="str">
            <v>18-08-2025 14:54:57</v>
          </cell>
          <cell r="M482" t="str">
            <v xml:space="preserve">Hotel Santika Bogor - 3.0 Stars  - </v>
          </cell>
          <cell r="N482" t="str">
            <v>SM REN</v>
          </cell>
          <cell r="O482">
            <v>7412110</v>
          </cell>
          <cell r="P482" t="str">
            <v>18/08/2025 14:00:00 - 19/08/2025 12:00:00</v>
          </cell>
          <cell r="Q482">
            <v>1640000</v>
          </cell>
        </row>
        <row r="483">
          <cell r="A483">
            <v>1278506372</v>
          </cell>
          <cell r="B483" t="str">
            <v>7190010F</v>
          </cell>
          <cell r="C483" t="str">
            <v>HUSLAN HUSAIN</v>
          </cell>
          <cell r="D483">
            <v>71907601</v>
          </cell>
          <cell r="E483">
            <v>4120177255</v>
          </cell>
          <cell r="F483">
            <v>54</v>
          </cell>
          <cell r="G483" t="str">
            <v>Perjalanan Dinas Non-Diklat</v>
          </cell>
          <cell r="H483" t="str">
            <v>Kota Makassar - Jakarta Pusat - Kota Bandung</v>
          </cell>
          <cell r="I483" t="str">
            <v>18/08/2025 - 23/08/2025</v>
          </cell>
          <cell r="J483">
            <v>6</v>
          </cell>
          <cell r="K483" t="str">
            <v>Hotel</v>
          </cell>
          <cell r="L483" t="str">
            <v>20-08-2025 21:00:54</v>
          </cell>
          <cell r="M483" t="str">
            <v xml:space="preserve">Mercure Bandung Nexa Supratman - 4.0 Stars  - </v>
          </cell>
          <cell r="N483" t="str">
            <v>SM REN</v>
          </cell>
          <cell r="O483">
            <v>7412110</v>
          </cell>
          <cell r="P483" t="str">
            <v>20/08/2025 14:00:00 - 21/08/2025 12:00:00</v>
          </cell>
          <cell r="Q483">
            <v>987731</v>
          </cell>
        </row>
        <row r="484">
          <cell r="A484">
            <v>1277717963</v>
          </cell>
          <cell r="B484" t="str">
            <v>7190010F</v>
          </cell>
          <cell r="C484" t="str">
            <v>HUSLAN HUSAIN</v>
          </cell>
          <cell r="D484">
            <v>71907601</v>
          </cell>
          <cell r="E484">
            <v>4120177255</v>
          </cell>
          <cell r="F484">
            <v>54</v>
          </cell>
          <cell r="G484" t="str">
            <v>Perjalanan Dinas Non-Diklat</v>
          </cell>
          <cell r="H484" t="str">
            <v>Kota Makassar - Jakarta Pusat - Kota Bandung</v>
          </cell>
          <cell r="I484" t="str">
            <v>18/08/2025 - 23/08/2025</v>
          </cell>
          <cell r="J484">
            <v>6</v>
          </cell>
          <cell r="K484" t="str">
            <v>Flight One Way</v>
          </cell>
          <cell r="L484" t="str">
            <v>17-08-2025 14:57:28</v>
          </cell>
          <cell r="M484" t="str">
            <v>Garuda Indonesia Domestic UPG Hasanuddin GA-605 - Garuda Indonesia  CGK Soekarno Hatta International Airport GA-605</v>
          </cell>
          <cell r="N484" t="str">
            <v>SM REN</v>
          </cell>
          <cell r="O484">
            <v>7412110</v>
          </cell>
          <cell r="P484" t="str">
            <v>18/08/2025 10:55:00 - 18/08/2025 12:25:00</v>
          </cell>
          <cell r="Q484">
            <v>2353400</v>
          </cell>
        </row>
        <row r="485">
          <cell r="A485">
            <v>1278851356</v>
          </cell>
          <cell r="B485" t="str">
            <v>7190010F</v>
          </cell>
          <cell r="C485" t="str">
            <v>HUSLAN HUSAIN</v>
          </cell>
          <cell r="D485">
            <v>71907601</v>
          </cell>
          <cell r="E485">
            <v>4120177255</v>
          </cell>
          <cell r="F485">
            <v>54</v>
          </cell>
          <cell r="G485" t="str">
            <v>Perjalanan Dinas Non-Diklat</v>
          </cell>
          <cell r="H485" t="str">
            <v>KotaMakassar-JakartaPusat-KotaBandung</v>
          </cell>
          <cell r="I485" t="str">
            <v>18/08/2025 - 23/08/2025</v>
          </cell>
          <cell r="J485">
            <v>6</v>
          </cell>
          <cell r="K485" t="str">
            <v>Flight One Way</v>
          </cell>
          <cell r="L485" t="str">
            <v>22-08-2025 10:43:28</v>
          </cell>
          <cell r="M485" t="str">
            <v>Garuda Indonesia  CGK Soekarno Hatta International Airport GA-604 - Garuda Indonesia Domestic UPG Hasanuddin GA-604</v>
          </cell>
          <cell r="N485" t="str">
            <v>SM REN</v>
          </cell>
          <cell r="O485">
            <v>7412110</v>
          </cell>
          <cell r="P485" t="str">
            <v>23/08/2025 02:50:00 - 23/08/2025 06:25:00</v>
          </cell>
          <cell r="Q485">
            <v>1778200</v>
          </cell>
        </row>
        <row r="486">
          <cell r="A486">
            <v>1278915579</v>
          </cell>
          <cell r="B486" t="str">
            <v>7190010F</v>
          </cell>
          <cell r="C486" t="str">
            <v>HUSLAN HUSAIN</v>
          </cell>
          <cell r="D486">
            <v>71907601</v>
          </cell>
          <cell r="E486">
            <v>4120177255</v>
          </cell>
          <cell r="F486">
            <v>54</v>
          </cell>
          <cell r="G486" t="str">
            <v>Perjalanan Dinas Non-Diklat</v>
          </cell>
          <cell r="H486" t="str">
            <v>KotaMakassar-JakartaPusat-KotaBandung</v>
          </cell>
          <cell r="I486" t="str">
            <v>18/08/2025 - 23/08/2025</v>
          </cell>
          <cell r="J486">
            <v>6</v>
          </cell>
          <cell r="K486" t="str">
            <v>Hotel</v>
          </cell>
          <cell r="L486" t="str">
            <v>22-08-2025 14:55:10</v>
          </cell>
          <cell r="M486" t="str">
            <v xml:space="preserve">Hotel GranDhika Iskandarsyah - 4.0 Stars  - </v>
          </cell>
          <cell r="N486" t="str">
            <v>SM REN</v>
          </cell>
          <cell r="O486">
            <v>7412110</v>
          </cell>
          <cell r="P486" t="str">
            <v>22/08/2025 14:00:00 - 23/08/2025 12:00:00</v>
          </cell>
          <cell r="Q486">
            <v>1058000</v>
          </cell>
        </row>
        <row r="487">
          <cell r="A487">
            <v>1278699647</v>
          </cell>
          <cell r="B487" t="str">
            <v>7190010F</v>
          </cell>
          <cell r="C487" t="str">
            <v>HUSLAN HUSAIN</v>
          </cell>
          <cell r="D487">
            <v>71907601</v>
          </cell>
          <cell r="E487">
            <v>4120177255</v>
          </cell>
          <cell r="F487">
            <v>54</v>
          </cell>
          <cell r="G487" t="str">
            <v>Perjalanan Dinas Non-Diklat</v>
          </cell>
          <cell r="H487" t="str">
            <v>KotaMakassar-JakartaPusat-KotaBandung</v>
          </cell>
          <cell r="I487" t="str">
            <v>18/08/2025 - 23/08/2025</v>
          </cell>
          <cell r="J487">
            <v>6</v>
          </cell>
          <cell r="K487" t="str">
            <v>Hotel</v>
          </cell>
          <cell r="L487" t="str">
            <v>21-08-2025 17:12:33</v>
          </cell>
          <cell r="M487" t="str">
            <v xml:space="preserve">Veranda Hotel Pakubuwono - 4.0 Stars  - </v>
          </cell>
          <cell r="N487" t="str">
            <v>SM REN</v>
          </cell>
          <cell r="O487">
            <v>7412110</v>
          </cell>
          <cell r="P487" t="str">
            <v>21/08/2025 14:00:00 - 22/08/2025 12:00:00</v>
          </cell>
          <cell r="Q487">
            <v>1600000</v>
          </cell>
        </row>
        <row r="488">
          <cell r="A488">
            <v>1277477141</v>
          </cell>
          <cell r="B488" t="str">
            <v>8710309Z</v>
          </cell>
          <cell r="C488" t="str">
            <v>INRIANI WARDANI</v>
          </cell>
          <cell r="D488">
            <v>87107606</v>
          </cell>
          <cell r="E488">
            <v>4120177254</v>
          </cell>
          <cell r="F488">
            <v>54</v>
          </cell>
          <cell r="G488" t="str">
            <v>Perjalanan Dinas Non-Diklat</v>
          </cell>
          <cell r="H488" t="str">
            <v>Kota Makassar - Jakarta Pusat</v>
          </cell>
          <cell r="I488" t="str">
            <v>18/08/2025 - 20/08/2025</v>
          </cell>
          <cell r="J488">
            <v>3</v>
          </cell>
          <cell r="K488" t="str">
            <v>Flight One Way</v>
          </cell>
          <cell r="L488" t="str">
            <v>16-08-2025 13:54:31</v>
          </cell>
          <cell r="M488" t="str">
            <v>Garuda Indonesia Domestic UPG Hasanuddin GA-605 - Garuda Indonesia  CGK Soekarno Hatta International Airport GA-605</v>
          </cell>
          <cell r="N488" t="str">
            <v>OF REN SIS KELIST</v>
          </cell>
          <cell r="O488">
            <v>7412112</v>
          </cell>
          <cell r="P488" t="str">
            <v>18/08/2025 10:55:00 - 18/08/2025 12:25:00</v>
          </cell>
          <cell r="Q488">
            <v>2353400</v>
          </cell>
        </row>
        <row r="489">
          <cell r="A489">
            <v>1278160856</v>
          </cell>
          <cell r="B489" t="str">
            <v>8710309Z</v>
          </cell>
          <cell r="C489" t="str">
            <v>INRIANI WARDANI</v>
          </cell>
          <cell r="D489">
            <v>87107606</v>
          </cell>
          <cell r="E489">
            <v>4120177254</v>
          </cell>
          <cell r="F489">
            <v>54</v>
          </cell>
          <cell r="G489" t="str">
            <v>Perjalanan Dinas Non-Diklat</v>
          </cell>
          <cell r="H489" t="str">
            <v>Kota Makassar - Jakarta Pusat</v>
          </cell>
          <cell r="I489" t="str">
            <v>18/08/2025 - 20/08/2025</v>
          </cell>
          <cell r="J489">
            <v>3</v>
          </cell>
          <cell r="K489" t="str">
            <v>Flight One Way</v>
          </cell>
          <cell r="L489" t="str">
            <v>19-08-2025 13:55:08</v>
          </cell>
          <cell r="M489" t="str">
            <v>Garuda Indonesia  CGK Soekarno Hatta International Airport GA-618 - Garuda Indonesia Domestic UPG Hasanuddin GA-618</v>
          </cell>
          <cell r="N489" t="str">
            <v>OF REN SIS KELIST</v>
          </cell>
          <cell r="O489">
            <v>7412112</v>
          </cell>
          <cell r="P489" t="str">
            <v>20/08/2025 20:15:00 - 20/08/2025 23:50:00</v>
          </cell>
          <cell r="Q489">
            <v>1808900</v>
          </cell>
        </row>
        <row r="490">
          <cell r="A490">
            <v>1277517205</v>
          </cell>
          <cell r="B490" t="str">
            <v>7095015F</v>
          </cell>
          <cell r="C490" t="str">
            <v xml:space="preserve">EDYANSYAH </v>
          </cell>
          <cell r="D490">
            <v>70957602</v>
          </cell>
          <cell r="E490">
            <v>4120177253</v>
          </cell>
          <cell r="F490">
            <v>54</v>
          </cell>
          <cell r="G490" t="str">
            <v>Perjalanan Dinas Non-Diklat</v>
          </cell>
          <cell r="H490" t="str">
            <v>Kota Makassar - Jakarta Pusat - Kota Bandung</v>
          </cell>
          <cell r="I490" t="str">
            <v>19/08/2025 - 22/08/2025</v>
          </cell>
          <cell r="J490">
            <v>4</v>
          </cell>
          <cell r="K490" t="str">
            <v>Flight One Way</v>
          </cell>
          <cell r="L490" t="str">
            <v>16-08-2025 16:56:33</v>
          </cell>
          <cell r="M490" t="str">
            <v>Garuda Indonesia Domestic UPG Hasanuddin GA-609 - Garuda Indonesia  CGK Soekarno Hatta International Airport GA-609</v>
          </cell>
          <cell r="N490" t="str">
            <v>GM</v>
          </cell>
          <cell r="O490">
            <v>7412000</v>
          </cell>
          <cell r="P490" t="str">
            <v>19/08/2025 18:05:00 - 19/08/2025 19:30:00</v>
          </cell>
          <cell r="Q490">
            <v>1578600</v>
          </cell>
        </row>
        <row r="491">
          <cell r="A491">
            <v>1278121540</v>
          </cell>
          <cell r="B491" t="str">
            <v>8106329Z</v>
          </cell>
          <cell r="C491" t="str">
            <v>ANDI BASO MAKKARAKA</v>
          </cell>
          <cell r="D491">
            <v>81067403</v>
          </cell>
          <cell r="E491">
            <v>4120177247</v>
          </cell>
          <cell r="F491">
            <v>54</v>
          </cell>
          <cell r="G491" t="str">
            <v>Perjalanan Dinas Non-Diklat</v>
          </cell>
          <cell r="H491" t="str">
            <v>Kab. Luwu Timur - Kab. Luwu Timur</v>
          </cell>
          <cell r="I491" t="str">
            <v>19/08/2025 - 23/08/2025</v>
          </cell>
          <cell r="J491">
            <v>5</v>
          </cell>
          <cell r="K491" t="str">
            <v>Hotel</v>
          </cell>
          <cell r="L491" t="str">
            <v>19-08-2025 11:18:28</v>
          </cell>
          <cell r="M491" t="str">
            <v xml:space="preserve">Lusiana Hotel &amp; Restauran Soroako Sorowako - 3.0 Stars  - </v>
          </cell>
          <cell r="N491" t="str">
            <v>SPC KIN REN</v>
          </cell>
          <cell r="O491">
            <v>7412110</v>
          </cell>
          <cell r="P491" t="str">
            <v>19/08/2025 14:00:00 - 21/08/2025 12:00:00</v>
          </cell>
          <cell r="Q491">
            <v>1082462</v>
          </cell>
        </row>
        <row r="492">
          <cell r="A492">
            <v>1278328953</v>
          </cell>
          <cell r="B492" t="str">
            <v>8106329Z</v>
          </cell>
          <cell r="C492" t="str">
            <v>ANDI BASO MAKKARAKA</v>
          </cell>
          <cell r="D492">
            <v>81067403</v>
          </cell>
          <cell r="E492">
            <v>4120177247</v>
          </cell>
          <cell r="F492">
            <v>54</v>
          </cell>
          <cell r="G492" t="str">
            <v>Perjalanan Dinas Non-Diklat</v>
          </cell>
          <cell r="H492" t="str">
            <v>Kab. Luwu Timur - Kab. Luwu Timur</v>
          </cell>
          <cell r="I492" t="str">
            <v>19/08/2025 - 23/08/2025</v>
          </cell>
          <cell r="J492">
            <v>5</v>
          </cell>
          <cell r="K492" t="str">
            <v>Flight One Way</v>
          </cell>
          <cell r="L492" t="str">
            <v>20-08-2025 08:43:18</v>
          </cell>
          <cell r="M492" t="str">
            <v>Wings Air  LLO Lagaligo Airport IW-1351 - Wings Air Domestic UPG Hasanuddin IW-1351</v>
          </cell>
          <cell r="N492" t="str">
            <v>SPC KIN REN</v>
          </cell>
          <cell r="O492">
            <v>7412110</v>
          </cell>
          <cell r="P492" t="str">
            <v>23/08/2025 09:40:00 - 23/08/2025 10:35:00</v>
          </cell>
          <cell r="Q492">
            <v>1355400</v>
          </cell>
        </row>
        <row r="493">
          <cell r="A493">
            <v>1278264521</v>
          </cell>
          <cell r="B493" t="str">
            <v>9218155ZY</v>
          </cell>
          <cell r="C493" t="str">
            <v>MUHAMMAD HUSNI TAMRIN</v>
          </cell>
          <cell r="D493">
            <v>92187600</v>
          </cell>
          <cell r="E493">
            <v>4120177248</v>
          </cell>
          <cell r="F493">
            <v>54</v>
          </cell>
          <cell r="G493" t="str">
            <v>Perjalanan Dinas Non-Diklat</v>
          </cell>
          <cell r="H493" t="str">
            <v>Kota Kendari - Kota Makassar</v>
          </cell>
          <cell r="I493" t="str">
            <v>18/08/2025 - 20/08/2025</v>
          </cell>
          <cell r="J493">
            <v>3</v>
          </cell>
          <cell r="K493" t="str">
            <v>Flight One Way</v>
          </cell>
          <cell r="L493" t="str">
            <v>19-08-2025 21:11:30</v>
          </cell>
          <cell r="M493" t="str">
            <v>Lion Air Domestic UPG Hasanuddin JT-996 - Lion Air  KDI Haluoleo JT-996</v>
          </cell>
          <cell r="N493" t="str">
            <v>TL OP (KENDARI)</v>
          </cell>
          <cell r="O493">
            <v>7409342</v>
          </cell>
          <cell r="P493" t="str">
            <v>20/08/2025 17:15:00 - 20/08/2025 18:20:00</v>
          </cell>
          <cell r="Q493">
            <v>893000</v>
          </cell>
        </row>
        <row r="494">
          <cell r="A494">
            <v>1277779793</v>
          </cell>
          <cell r="B494" t="str">
            <v>9619391ZY</v>
          </cell>
          <cell r="C494" t="str">
            <v>KRISNA DIAN SAPUTRA</v>
          </cell>
          <cell r="D494">
            <v>96196204</v>
          </cell>
          <cell r="E494">
            <v>4120177229</v>
          </cell>
          <cell r="F494">
            <v>54</v>
          </cell>
          <cell r="G494" t="str">
            <v>Perjalanan Dinas Non-Diklat</v>
          </cell>
          <cell r="H494" t="str">
            <v>Kota Baubau - Kota Makassar</v>
          </cell>
          <cell r="I494" t="str">
            <v>18/08/2025 - 20/08/2025</v>
          </cell>
          <cell r="J494">
            <v>3</v>
          </cell>
          <cell r="K494" t="str">
            <v>Flight One Way</v>
          </cell>
          <cell r="L494" t="str">
            <v>17-08-2025 20:01:46</v>
          </cell>
          <cell r="M494" t="str">
            <v>Super Air Jet  UPG Hasanuddin IU-572 - Super Air Jet  BUW Betoambari IU-572</v>
          </cell>
          <cell r="N494" t="str">
            <v>TL HAR ELEKTRO (BAUBAU)</v>
          </cell>
          <cell r="O494">
            <v>7412340</v>
          </cell>
          <cell r="P494" t="str">
            <v>20/08/2025 14:10:00 - 20/08/2025 14:55:00</v>
          </cell>
          <cell r="Q494">
            <v>844100</v>
          </cell>
        </row>
        <row r="495">
          <cell r="A495">
            <v>1278037660</v>
          </cell>
          <cell r="B495" t="str">
            <v>95191469ZY</v>
          </cell>
          <cell r="C495" t="str">
            <v>ANDI WARIS</v>
          </cell>
          <cell r="D495">
            <v>95197613</v>
          </cell>
          <cell r="E495">
            <v>4120177210</v>
          </cell>
          <cell r="F495">
            <v>54</v>
          </cell>
          <cell r="G495" t="str">
            <v>Perjalanan Dinas Non-Diklat</v>
          </cell>
          <cell r="H495" t="str">
            <v>Kota Kendari - Kota Makassar</v>
          </cell>
          <cell r="I495" t="str">
            <v>18/08/2025 - 20/08/2025</v>
          </cell>
          <cell r="J495">
            <v>3</v>
          </cell>
          <cell r="K495" t="str">
            <v>Flight One Way</v>
          </cell>
          <cell r="L495" t="str">
            <v>18-08-2025 22:14:15</v>
          </cell>
          <cell r="M495" t="str">
            <v>Batik Air Domestic UPG Hasanuddin ID-6751 - Batik Air  KDI Haluoleo ID-6751</v>
          </cell>
          <cell r="N495" t="str">
            <v>TL HAR ELEKTRO (KENDARI)</v>
          </cell>
          <cell r="O495">
            <v>7412340</v>
          </cell>
          <cell r="P495" t="str">
            <v>20/08/2025 08:30:00 - 20/08/2025 09:35:00</v>
          </cell>
          <cell r="Q495">
            <v>782100</v>
          </cell>
        </row>
        <row r="496">
          <cell r="A496">
            <v>1279825408</v>
          </cell>
          <cell r="B496" t="str">
            <v>9818133FBY</v>
          </cell>
          <cell r="C496" t="str">
            <v>BOBY ALFIYANTO</v>
          </cell>
          <cell r="D496">
            <v>98187623</v>
          </cell>
          <cell r="E496">
            <v>4120176451</v>
          </cell>
          <cell r="F496">
            <v>54</v>
          </cell>
          <cell r="G496" t="str">
            <v>Perjalanan Dinas Diklat</v>
          </cell>
          <cell r="H496" t="str">
            <v>Kab.Bone-KotaSemarang</v>
          </cell>
          <cell r="I496" t="str">
            <v>06/07/2025 - 28/08/2025</v>
          </cell>
          <cell r="J496">
            <v>54</v>
          </cell>
          <cell r="K496" t="str">
            <v>Flight One Way</v>
          </cell>
          <cell r="L496" t="str">
            <v>26-08-2025 13:52:44</v>
          </cell>
          <cell r="M496" t="str">
            <v>Lion Air Domestic SRG Achmad Yani JT-270 - Lion Air Domestic UPG Hasanuddin JT-270</v>
          </cell>
          <cell r="N496" t="str">
            <v>JTC PDKB</v>
          </cell>
          <cell r="O496">
            <v>7409231</v>
          </cell>
          <cell r="P496" t="str">
            <v>28/08/2025 07:00:00 - 28/08/2025 16:00:00</v>
          </cell>
          <cell r="Q496">
            <v>1690000</v>
          </cell>
        </row>
      </sheetData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ge 2"/>
      <sheetName val="page 3"/>
      <sheetName val="page 4"/>
      <sheetName val="page 5"/>
      <sheetName val="page 6"/>
      <sheetName val="page 7"/>
      <sheetName val="page 8"/>
      <sheetName val="page 9"/>
      <sheetName val="page 10"/>
      <sheetName val="page 11"/>
      <sheetName val="page 12"/>
      <sheetName val="page 13"/>
      <sheetName val="page 14"/>
      <sheetName val="page 15"/>
      <sheetName val="Lampiran CC "/>
      <sheetName val="report"/>
      <sheetName val="Rekapitula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2">
          <cell r="A2">
            <v>1277998657</v>
          </cell>
          <cell r="B2" t="str">
            <v>7806084Z</v>
          </cell>
          <cell r="C2" t="str">
            <v>RACHMAT NUR</v>
          </cell>
          <cell r="D2">
            <v>78068001</v>
          </cell>
          <cell r="E2">
            <v>4120177283</v>
          </cell>
          <cell r="F2" t="str">
            <v>54</v>
          </cell>
          <cell r="G2" t="str">
            <v>Perjalanan Dinas Non-Diklat</v>
          </cell>
          <cell r="H2" t="str">
            <v>Kota Makassar - Jakarta Selatan</v>
          </cell>
          <cell r="I2" t="str">
            <v>19/08/2025 - 20/08/2025</v>
          </cell>
          <cell r="J2" t="str">
            <v>2</v>
          </cell>
          <cell r="K2" t="str">
            <v>Flight One Way</v>
          </cell>
          <cell r="L2" t="str">
            <v>18-08-2025 19:10:00</v>
          </cell>
          <cell r="M2" t="str">
            <v>Garuda Indonesia Domestic UPG Hasanuddin GA-609 - Garuda Indonesia  CGK Soekarno Hatta International Airport GA-609</v>
          </cell>
          <cell r="N2" t="str">
            <v>MAN KIT</v>
          </cell>
          <cell r="O2" t="str">
            <v>7412000</v>
          </cell>
          <cell r="P2" t="str">
            <v>19/08/2025 18:05:00 - 19/08/2025 19:30:00</v>
          </cell>
          <cell r="Q2">
            <v>1751500</v>
          </cell>
          <cell r="R2" t="str">
            <v>SUCCESS</v>
          </cell>
        </row>
        <row r="3">
          <cell r="A3">
            <v>1277867687</v>
          </cell>
          <cell r="B3" t="str">
            <v>8007053Z</v>
          </cell>
          <cell r="C3" t="str">
            <v>DALMASIUS NUGROHO ADI PUTRANTO</v>
          </cell>
          <cell r="D3">
            <v>80077601</v>
          </cell>
          <cell r="E3">
            <v>4120177281</v>
          </cell>
          <cell r="F3" t="str">
            <v>54</v>
          </cell>
          <cell r="G3" t="str">
            <v>Perjalanan Dinas Non-Diklat</v>
          </cell>
          <cell r="H3" t="str">
            <v>Kota Makassar - Kota Bogor</v>
          </cell>
          <cell r="I3" t="str">
            <v>18/08/2025 - 22/08/2025</v>
          </cell>
          <cell r="J3" t="str">
            <v>5</v>
          </cell>
          <cell r="K3" t="str">
            <v>Hotel</v>
          </cell>
          <cell r="L3" t="str">
            <v>18-08-2025 09:44:41</v>
          </cell>
          <cell r="M3" t="str">
            <v xml:space="preserve">Nemuru Grand Bhuvana Ciawi - 4.0 Stars  - </v>
          </cell>
          <cell r="N3" t="str">
            <v>MAN REN SIS KELIST</v>
          </cell>
          <cell r="O3" t="str">
            <v>7412112</v>
          </cell>
          <cell r="P3" t="str">
            <v>18/08/2025 14:00:00 - 20/08/2025 12:00:00</v>
          </cell>
          <cell r="Q3">
            <v>1292500</v>
          </cell>
          <cell r="R3" t="str">
            <v>SUCCESS</v>
          </cell>
        </row>
        <row r="4">
          <cell r="A4">
            <v>1277934829</v>
          </cell>
          <cell r="B4" t="str">
            <v>9213081FY</v>
          </cell>
          <cell r="C4" t="str">
            <v>KRESKY YULIANTO</v>
          </cell>
          <cell r="D4">
            <v>96137676</v>
          </cell>
          <cell r="E4">
            <v>4120177251</v>
          </cell>
          <cell r="F4" t="str">
            <v>54</v>
          </cell>
          <cell r="G4" t="str">
            <v>Perjalanan Dinas Non-Diklat</v>
          </cell>
          <cell r="H4" t="str">
            <v>Kota Makassar - Kab. Mamuju</v>
          </cell>
          <cell r="I4" t="str">
            <v>18/08/2025 - 22/08/2025</v>
          </cell>
          <cell r="J4" t="str">
            <v>5</v>
          </cell>
          <cell r="K4" t="str">
            <v>Hotel</v>
          </cell>
          <cell r="L4" t="str">
            <v>18-08-2025 14:13:11</v>
          </cell>
          <cell r="M4" t="str">
            <v xml:space="preserve">Aflah Hotel - 0.0 Stars  - </v>
          </cell>
          <cell r="N4" t="str">
            <v>TC HAR ELEKTRO</v>
          </cell>
          <cell r="O4" t="str">
            <v>7412340</v>
          </cell>
          <cell r="P4" t="str">
            <v>18/08/2025 14:00:00 - 20/08/2025 12:00:00</v>
          </cell>
          <cell r="Q4">
            <v>1500000</v>
          </cell>
          <cell r="R4" t="str">
            <v>SUCCESS</v>
          </cell>
        </row>
        <row r="5">
          <cell r="A5">
            <v>1277518512</v>
          </cell>
          <cell r="B5" t="str">
            <v>8710691Z</v>
          </cell>
          <cell r="C5" t="str">
            <v>AHMAD AMIRUL SYARIF</v>
          </cell>
          <cell r="D5">
            <v>87108002</v>
          </cell>
          <cell r="E5">
            <v>4120177272</v>
          </cell>
          <cell r="F5" t="str">
            <v>54</v>
          </cell>
          <cell r="G5" t="str">
            <v>Perjalanan Dinas Non-Diklat</v>
          </cell>
          <cell r="H5" t="str">
            <v>Kota Makassar - Jakarta Pusat</v>
          </cell>
          <cell r="I5" t="str">
            <v>19/08/2025 - 21/08/2025</v>
          </cell>
          <cell r="J5" t="str">
            <v>3</v>
          </cell>
          <cell r="K5" t="str">
            <v>Flight One Way</v>
          </cell>
          <cell r="L5" t="str">
            <v>16-08-2025 17:02:39</v>
          </cell>
          <cell r="M5" t="str">
            <v>Garuda Indonesia Domestic UPG Hasanuddin GA-609 - Garuda Indonesia  CGK Soekarno Hatta International Airport GA-609</v>
          </cell>
          <cell r="N5" t="str">
            <v>MAN KOM DAN TJSL</v>
          </cell>
          <cell r="O5" t="str">
            <v>7412163</v>
          </cell>
          <cell r="P5" t="str">
            <v>19/08/2025 18:05:00 - 19/08/2025 19:30:00</v>
          </cell>
          <cell r="Q5">
            <v>1578600</v>
          </cell>
          <cell r="R5" t="str">
            <v>SUCCESS</v>
          </cell>
        </row>
        <row r="6">
          <cell r="A6">
            <v>1277862931</v>
          </cell>
          <cell r="B6" t="str">
            <v>7904006F</v>
          </cell>
          <cell r="C6" t="str">
            <v>YULI ASHANIAIS RAMADANI</v>
          </cell>
          <cell r="D6">
            <v>79047601</v>
          </cell>
          <cell r="E6">
            <v>4120177270</v>
          </cell>
          <cell r="F6" t="str">
            <v>54</v>
          </cell>
          <cell r="G6" t="str">
            <v>Perjalanan Dinas Non-Diklat</v>
          </cell>
          <cell r="H6" t="str">
            <v>Kota Makassar - Jakarta Pusat</v>
          </cell>
          <cell r="I6" t="str">
            <v>18/08/2025 - 20/08/2025</v>
          </cell>
          <cell r="J6" t="str">
            <v>3</v>
          </cell>
          <cell r="K6" t="str">
            <v>Hotel</v>
          </cell>
          <cell r="L6" t="str">
            <v>18-08-2025 09:24:27</v>
          </cell>
          <cell r="M6" t="str">
            <v xml:space="preserve">Ashley Wahid Hasyim Jakarta - 4.0 Stars  - </v>
          </cell>
          <cell r="N6" t="str">
            <v>SM AGA DAN MANJ GAN</v>
          </cell>
          <cell r="O6" t="str">
            <v>7411140</v>
          </cell>
          <cell r="P6" t="str">
            <v>18/08/2025 14:00:00 - 20/08/2025 12:00:00</v>
          </cell>
          <cell r="Q6">
            <v>3105320</v>
          </cell>
          <cell r="R6" t="str">
            <v>SUCCESS</v>
          </cell>
        </row>
        <row r="7">
          <cell r="A7">
            <v>1277561412</v>
          </cell>
          <cell r="B7" t="str">
            <v>7904006F</v>
          </cell>
          <cell r="C7" t="str">
            <v>YULI ASHANIAIS RAMADANI</v>
          </cell>
          <cell r="D7">
            <v>79047601</v>
          </cell>
          <cell r="E7">
            <v>4120177270</v>
          </cell>
          <cell r="F7" t="str">
            <v>54</v>
          </cell>
          <cell r="G7" t="str">
            <v>Perjalanan Dinas Non-Diklat</v>
          </cell>
          <cell r="H7" t="str">
            <v>Kota Makassar - Jakarta Pusat</v>
          </cell>
          <cell r="I7" t="str">
            <v>18/08/2025 - 20/08/2025</v>
          </cell>
          <cell r="J7" t="str">
            <v>3</v>
          </cell>
          <cell r="K7" t="str">
            <v>Flight One Way</v>
          </cell>
          <cell r="L7" t="str">
            <v>16-08-2025 20:24:49</v>
          </cell>
          <cell r="M7" t="str">
            <v>Garuda Indonesia Domestic UPG Hasanuddin GA-605 - Garuda Indonesia  CGK Soekarno Hatta International Airport GA-605</v>
          </cell>
          <cell r="N7" t="str">
            <v>SM AGA DAN MANJ GAN</v>
          </cell>
          <cell r="O7" t="str">
            <v>7411140</v>
          </cell>
          <cell r="P7" t="str">
            <v>18/08/2025 10:55:00 - 18/08/2025 12:25:00</v>
          </cell>
          <cell r="Q7">
            <v>2353400</v>
          </cell>
          <cell r="R7" t="str">
            <v>SUCCESS</v>
          </cell>
        </row>
        <row r="8">
          <cell r="A8">
            <v>1277512031</v>
          </cell>
          <cell r="B8" t="str">
            <v>8714012ZY</v>
          </cell>
          <cell r="C8" t="str">
            <v>AGUS PUTRA ABBAS</v>
          </cell>
          <cell r="D8">
            <v>87147800</v>
          </cell>
          <cell r="E8">
            <v>4120177259</v>
          </cell>
          <cell r="F8" t="str">
            <v>54</v>
          </cell>
          <cell r="G8" t="str">
            <v>Perjalanan Dinas Non-Diklat</v>
          </cell>
          <cell r="H8" t="str">
            <v>Kota Makassar - Kab. Luwu Timur</v>
          </cell>
          <cell r="I8" t="str">
            <v>19/08/2025 - 23/08/2025</v>
          </cell>
          <cell r="J8" t="str">
            <v>5</v>
          </cell>
          <cell r="K8" t="str">
            <v>Flight Round-Trip</v>
          </cell>
          <cell r="L8" t="str">
            <v>16-08-2025 16:31:49</v>
          </cell>
          <cell r="M8" t="str">
            <v>Wings Air Domestic UPG Hasanuddin IW-1350 - Wings Air  LLO Lagaligo Airport IW-1350</v>
          </cell>
          <cell r="N8" t="str">
            <v>SOF IPP DAN EXCESS POWER</v>
          </cell>
          <cell r="O8" t="str">
            <v>7412110</v>
          </cell>
          <cell r="P8" t="str">
            <v>19/08/2025 08:10:00 - 19/08/2025 09:05:00</v>
          </cell>
          <cell r="Q8">
            <v>2810700</v>
          </cell>
          <cell r="R8" t="str">
            <v>SUCCESS</v>
          </cell>
        </row>
        <row r="9">
          <cell r="A9">
            <v>1277695312</v>
          </cell>
          <cell r="B9" t="str">
            <v>8509300Z</v>
          </cell>
          <cell r="C9" t="str">
            <v>AGUS HARI WIBOWO</v>
          </cell>
          <cell r="D9">
            <v>85097602</v>
          </cell>
          <cell r="E9">
            <v>4120177263</v>
          </cell>
          <cell r="F9" t="str">
            <v>54</v>
          </cell>
          <cell r="G9" t="str">
            <v>Perjalanan Dinas Non-Diklat</v>
          </cell>
          <cell r="H9" t="str">
            <v>Kota Makassar - Kota Palopo</v>
          </cell>
          <cell r="I9" t="str">
            <v>19/08/2025 - 23/08/2025</v>
          </cell>
          <cell r="J9" t="str">
            <v>5</v>
          </cell>
          <cell r="K9" t="str">
            <v>Flight One Way</v>
          </cell>
          <cell r="L9" t="str">
            <v>17-08-2025 13:18:57</v>
          </cell>
          <cell r="M9" t="str">
            <v>Wings Air Domestic UPG Hasanuddin IW-1350 - Wings Air  LLO Lagaligo Airport IW-1350</v>
          </cell>
          <cell r="N9" t="str">
            <v>SOF REN SIS KELIST</v>
          </cell>
          <cell r="O9" t="str">
            <v>7412112</v>
          </cell>
          <cell r="P9" t="str">
            <v>19/08/2025 08:10:00 - 19/08/2025 09:05:00</v>
          </cell>
          <cell r="Q9">
            <v>1455300</v>
          </cell>
          <cell r="R9" t="str">
            <v>SUCCESS</v>
          </cell>
        </row>
        <row r="10">
          <cell r="A10">
            <v>1277477834</v>
          </cell>
          <cell r="B10" t="str">
            <v>7703070F</v>
          </cell>
          <cell r="C10" t="str">
            <v>ANDI DWI MULYANA</v>
          </cell>
          <cell r="D10">
            <v>77037604</v>
          </cell>
          <cell r="E10">
            <v>4120177267</v>
          </cell>
          <cell r="F10" t="str">
            <v>54</v>
          </cell>
          <cell r="G10" t="str">
            <v>Perjalanan Dinas Non-Diklat</v>
          </cell>
          <cell r="H10" t="str">
            <v>Kota Makassar - Jakarta Pusat</v>
          </cell>
          <cell r="I10" t="str">
            <v>18/08/2025 - 20/08/2025</v>
          </cell>
          <cell r="J10" t="str">
            <v>3</v>
          </cell>
          <cell r="K10" t="str">
            <v>Flight One Way</v>
          </cell>
          <cell r="L10" t="str">
            <v>16-08-2025 13:57:23</v>
          </cell>
          <cell r="M10" t="str">
            <v>Garuda Indonesia Domestic UPG Hasanuddin GA-605 - Garuda Indonesia  CGK Soekarno Hatta International Airport GA-605</v>
          </cell>
          <cell r="N10" t="str">
            <v>OF REN SIS KELIST</v>
          </cell>
          <cell r="O10" t="str">
            <v>7412112</v>
          </cell>
          <cell r="P10" t="str">
            <v>18/08/2025 10:55:00 - 18/08/2025 12:25:00</v>
          </cell>
          <cell r="Q10">
            <v>2353400</v>
          </cell>
          <cell r="R10" t="str">
            <v>SUCCESS</v>
          </cell>
        </row>
        <row r="11">
          <cell r="A11">
            <v>1277523263</v>
          </cell>
          <cell r="B11" t="str">
            <v>7603014F</v>
          </cell>
          <cell r="C11" t="str">
            <v xml:space="preserve">DAMBARUDIN </v>
          </cell>
          <cell r="D11">
            <v>76037600</v>
          </cell>
          <cell r="E11">
            <v>4120177246</v>
          </cell>
          <cell r="F11" t="str">
            <v>54</v>
          </cell>
          <cell r="G11" t="str">
            <v>Perjalanan Dinas Diklat</v>
          </cell>
          <cell r="H11" t="str">
            <v>Kota Baubau - Kota Bogor</v>
          </cell>
          <cell r="I11" t="str">
            <v>18/08/2025 - 23/08/2025</v>
          </cell>
          <cell r="J11" t="str">
            <v>6</v>
          </cell>
          <cell r="K11" t="str">
            <v>Flight One Way</v>
          </cell>
          <cell r="L11" t="str">
            <v>16-08-2025 17:26:14</v>
          </cell>
          <cell r="M11" t="str">
            <v>Super Air Jet  BUW Betoambari IU-573 - Super Air Jet 2E CGK Soekarno Hatta International Airport IU-573</v>
          </cell>
          <cell r="N11" t="str">
            <v>ASMAN REN</v>
          </cell>
          <cell r="O11" t="str">
            <v>7412280</v>
          </cell>
          <cell r="P11" t="str">
            <v>18/08/2025 15:35:00 - 18/08/2025 18:20:00</v>
          </cell>
          <cell r="Q11">
            <v>1785400</v>
          </cell>
          <cell r="R11" t="str">
            <v>SUCCESS</v>
          </cell>
        </row>
        <row r="12">
          <cell r="A12">
            <v>1277267042</v>
          </cell>
          <cell r="B12" t="str">
            <v>96191272ZY</v>
          </cell>
          <cell r="C12" t="str">
            <v>AHMAD FATHAN MAARIF</v>
          </cell>
          <cell r="D12">
            <v>96197614</v>
          </cell>
          <cell r="E12">
            <v>4120177235</v>
          </cell>
          <cell r="F12" t="str">
            <v>54</v>
          </cell>
          <cell r="G12" t="str">
            <v>Perjalanan Dinas Non-Diklat</v>
          </cell>
          <cell r="H12" t="str">
            <v>Kota Kendari - Kota Makassar</v>
          </cell>
          <cell r="I12" t="str">
            <v>19/08/2025 - 21/08/2025</v>
          </cell>
          <cell r="J12" t="str">
            <v>3</v>
          </cell>
          <cell r="K12" t="str">
            <v>Flight One Way</v>
          </cell>
          <cell r="L12" t="str">
            <v>15-08-2025 16:35:42</v>
          </cell>
          <cell r="M12" t="str">
            <v>Lion Air  KDI Haluoleo JT-991 - Lion Air Domestic UPG Hasanuddin JT-991</v>
          </cell>
          <cell r="N12" t="str">
            <v>TL SCADA DAN TEL (KEN)</v>
          </cell>
          <cell r="O12" t="str">
            <v>7408341</v>
          </cell>
          <cell r="P12" t="str">
            <v>19/08/2025 07:00:00 - 19/08/2025 07:55:00</v>
          </cell>
          <cell r="Q12">
            <v>740700</v>
          </cell>
          <cell r="R12" t="str">
            <v>SUCCESS</v>
          </cell>
        </row>
        <row r="13">
          <cell r="A13">
            <v>1278008256</v>
          </cell>
          <cell r="B13" t="str">
            <v>96191272ZY</v>
          </cell>
          <cell r="C13" t="str">
            <v>AHMAD FATHAN MAARIF</v>
          </cell>
          <cell r="D13">
            <v>96197614</v>
          </cell>
          <cell r="E13">
            <v>4120177235</v>
          </cell>
          <cell r="F13" t="str">
            <v>54</v>
          </cell>
          <cell r="G13" t="str">
            <v>Perjalanan Dinas Non-Diklat</v>
          </cell>
          <cell r="H13" t="str">
            <v>Kota Kendari - Kota Makassar</v>
          </cell>
          <cell r="I13" t="str">
            <v>19/08/2025 - 21/08/2025</v>
          </cell>
          <cell r="J13" t="str">
            <v>3</v>
          </cell>
          <cell r="K13" t="str">
            <v>Hotel</v>
          </cell>
          <cell r="L13" t="str">
            <v>18-08-2025 19:54:34</v>
          </cell>
          <cell r="M13" t="str">
            <v xml:space="preserve">Melia Makassar - 4.0 Stars  - </v>
          </cell>
          <cell r="N13" t="str">
            <v>TL SCADA DAN TEL (KEN)</v>
          </cell>
          <cell r="O13" t="str">
            <v>7408341</v>
          </cell>
          <cell r="P13" t="str">
            <v>19/08/2025 14:00:00 - 20/08/2025 12:00:00</v>
          </cell>
          <cell r="Q13">
            <v>828750</v>
          </cell>
          <cell r="R13" t="str">
            <v>SUCCESS</v>
          </cell>
        </row>
        <row r="14">
          <cell r="A14">
            <v>1277709682</v>
          </cell>
          <cell r="B14" t="str">
            <v>9719685ZY</v>
          </cell>
          <cell r="C14" t="str">
            <v>MUHAMMAD HIDAYAT ALWI</v>
          </cell>
          <cell r="D14">
            <v>97196203</v>
          </cell>
          <cell r="E14">
            <v>4120177225</v>
          </cell>
          <cell r="F14" t="str">
            <v>54</v>
          </cell>
          <cell r="G14" t="str">
            <v>Perjalanan Dinas Non-Diklat</v>
          </cell>
          <cell r="H14" t="str">
            <v>Kota Kendari - Kota Makassar</v>
          </cell>
          <cell r="I14" t="str">
            <v>19/08/2025 - 21/08/2025</v>
          </cell>
          <cell r="J14" t="str">
            <v>3</v>
          </cell>
          <cell r="K14" t="str">
            <v>Flight One Way</v>
          </cell>
          <cell r="L14" t="str">
            <v>17-08-2025 14:19:31</v>
          </cell>
          <cell r="M14" t="str">
            <v>Lion Air Domestic UPG Hasanuddin JT-994 - Lion Air  KDI Haluoleo JT-994</v>
          </cell>
          <cell r="N14" t="str">
            <v>TL RTU DAN PERIPHERAL (KEN)</v>
          </cell>
          <cell r="O14" t="str">
            <v>7408341</v>
          </cell>
          <cell r="P14" t="str">
            <v>21/08/2025 13:50:00 - 21/08/2025 14:55:00</v>
          </cell>
          <cell r="Q14">
            <v>823000</v>
          </cell>
          <cell r="R14" t="str">
            <v>SUCCESS</v>
          </cell>
        </row>
        <row r="15">
          <cell r="A15">
            <v>1277752131</v>
          </cell>
          <cell r="B15" t="str">
            <v>9719685ZY</v>
          </cell>
          <cell r="C15" t="str">
            <v>MUHAMMAD HIDAYAT ALWI</v>
          </cell>
          <cell r="D15">
            <v>97196203</v>
          </cell>
          <cell r="E15">
            <v>4120177225</v>
          </cell>
          <cell r="F15" t="str">
            <v>54</v>
          </cell>
          <cell r="G15" t="str">
            <v>Perjalanan Dinas Non-Diklat</v>
          </cell>
          <cell r="H15" t="str">
            <v>Kota Kendari - Kota Makassar</v>
          </cell>
          <cell r="I15" t="str">
            <v>19/08/2025 - 21/08/2025</v>
          </cell>
          <cell r="J15" t="str">
            <v>3</v>
          </cell>
          <cell r="K15" t="str">
            <v>Hotel</v>
          </cell>
          <cell r="L15" t="str">
            <v>17-08-2025 17:46:01</v>
          </cell>
          <cell r="M15" t="str">
            <v xml:space="preserve">Vasaka Hotel Makassar Managed By Dafam - 3.5 Stars  - </v>
          </cell>
          <cell r="N15" t="str">
            <v>TL RTU DAN PERIPHERAL (KEN)</v>
          </cell>
          <cell r="O15" t="str">
            <v>7408341</v>
          </cell>
          <cell r="P15" t="str">
            <v>19/08/2025 14:00:00 - 21/08/2025 12:00:00</v>
          </cell>
          <cell r="Q15">
            <v>1577035</v>
          </cell>
          <cell r="R15" t="str">
            <v>SUCCESS</v>
          </cell>
        </row>
        <row r="16">
          <cell r="A16">
            <v>1277944882</v>
          </cell>
          <cell r="B16" t="str">
            <v>7190010F</v>
          </cell>
          <cell r="C16" t="str">
            <v>HUSLAN HUSAIN</v>
          </cell>
          <cell r="D16">
            <v>71907601</v>
          </cell>
          <cell r="E16">
            <v>4120177255</v>
          </cell>
          <cell r="F16" t="str">
            <v>54</v>
          </cell>
          <cell r="G16" t="str">
            <v>Perjalanan Dinas Non-Diklat</v>
          </cell>
          <cell r="H16" t="str">
            <v>Kota Makassar - Jakarta Pusat - Kota Bandung</v>
          </cell>
          <cell r="I16" t="str">
            <v>18/08/2025 - 23/08/2025</v>
          </cell>
          <cell r="J16" t="str">
            <v>6</v>
          </cell>
          <cell r="K16" t="str">
            <v>Hotel</v>
          </cell>
          <cell r="L16" t="str">
            <v>18-08-2025 14:54:57</v>
          </cell>
          <cell r="M16" t="str">
            <v xml:space="preserve">Hotel Santika Bogor - 3.0 Stars  - </v>
          </cell>
          <cell r="N16" t="str">
            <v>SM REN</v>
          </cell>
          <cell r="O16" t="str">
            <v>7412110</v>
          </cell>
          <cell r="P16" t="str">
            <v>18/08/2025 14:00:00 - 19/08/2025 12:00:00</v>
          </cell>
          <cell r="Q16">
            <v>1640000</v>
          </cell>
          <cell r="R16" t="str">
            <v>SUCCESS</v>
          </cell>
        </row>
        <row r="17">
          <cell r="A17">
            <v>1277717963</v>
          </cell>
          <cell r="B17" t="str">
            <v>7190010F</v>
          </cell>
          <cell r="C17" t="str">
            <v>HUSLAN HUSAIN</v>
          </cell>
          <cell r="D17">
            <v>71907601</v>
          </cell>
          <cell r="E17">
            <v>4120177255</v>
          </cell>
          <cell r="F17" t="str">
            <v>54</v>
          </cell>
          <cell r="G17" t="str">
            <v>Perjalanan Dinas Non-Diklat</v>
          </cell>
          <cell r="H17" t="str">
            <v>Kota Makassar - Jakarta Pusat - Kota Bandung</v>
          </cell>
          <cell r="I17" t="str">
            <v>18/08/2025 - 23/08/2025</v>
          </cell>
          <cell r="J17" t="str">
            <v>6</v>
          </cell>
          <cell r="K17" t="str">
            <v>Flight One Way</v>
          </cell>
          <cell r="L17" t="str">
            <v>17-08-2025 14:57:28</v>
          </cell>
          <cell r="M17" t="str">
            <v>Garuda Indonesia Domestic UPG Hasanuddin GA-605 - Garuda Indonesia  CGK Soekarno Hatta International Airport GA-605</v>
          </cell>
          <cell r="N17" t="str">
            <v>SM REN</v>
          </cell>
          <cell r="O17" t="str">
            <v>7412110</v>
          </cell>
          <cell r="P17" t="str">
            <v>18/08/2025 10:55:00 - 18/08/2025 12:25:00</v>
          </cell>
          <cell r="Q17">
            <v>2353400</v>
          </cell>
          <cell r="R17" t="str">
            <v>SUCCESS</v>
          </cell>
        </row>
        <row r="18">
          <cell r="A18">
            <v>1277477141</v>
          </cell>
          <cell r="B18" t="str">
            <v>8710309Z</v>
          </cell>
          <cell r="C18" t="str">
            <v>INRIANI WARDANI</v>
          </cell>
          <cell r="D18">
            <v>87107606</v>
          </cell>
          <cell r="E18">
            <v>4120177254</v>
          </cell>
          <cell r="F18" t="str">
            <v>54</v>
          </cell>
          <cell r="G18" t="str">
            <v>Perjalanan Dinas Non-Diklat</v>
          </cell>
          <cell r="H18" t="str">
            <v>Kota Makassar - Jakarta Pusat</v>
          </cell>
          <cell r="I18" t="str">
            <v>18/08/2025 - 20/08/2025</v>
          </cell>
          <cell r="J18" t="str">
            <v>3</v>
          </cell>
          <cell r="K18" t="str">
            <v>Flight One Way</v>
          </cell>
          <cell r="L18" t="str">
            <v>16-08-2025 13:54:31</v>
          </cell>
          <cell r="M18" t="str">
            <v>Garuda Indonesia Domestic UPG Hasanuddin GA-605 - Garuda Indonesia  CGK Soekarno Hatta International Airport GA-605</v>
          </cell>
          <cell r="N18" t="str">
            <v>OF REN SIS KELIST</v>
          </cell>
          <cell r="O18" t="str">
            <v>7412112</v>
          </cell>
          <cell r="P18" t="str">
            <v>18/08/2025 10:55:00 - 18/08/2025 12:25:00</v>
          </cell>
          <cell r="Q18">
            <v>2353400</v>
          </cell>
          <cell r="R18" t="str">
            <v>SUCCESS</v>
          </cell>
        </row>
        <row r="19">
          <cell r="A19">
            <v>1277517205</v>
          </cell>
          <cell r="B19" t="str">
            <v>7095015F</v>
          </cell>
          <cell r="C19" t="str">
            <v xml:space="preserve">EDYANSYAH </v>
          </cell>
          <cell r="D19">
            <v>70957602</v>
          </cell>
          <cell r="E19">
            <v>4120177253</v>
          </cell>
          <cell r="F19" t="str">
            <v>54</v>
          </cell>
          <cell r="G19" t="str">
            <v>Perjalanan Dinas Non-Diklat</v>
          </cell>
          <cell r="H19" t="str">
            <v>Kota Makassar - Jakarta Pusat - Kota Bandung</v>
          </cell>
          <cell r="I19" t="str">
            <v>19/08/2025 - 22/08/2025</v>
          </cell>
          <cell r="J19" t="str">
            <v>4</v>
          </cell>
          <cell r="K19" t="str">
            <v>Flight One Way</v>
          </cell>
          <cell r="L19" t="str">
            <v>16-08-2025 16:56:33</v>
          </cell>
          <cell r="M19" t="str">
            <v>Garuda Indonesia Domestic UPG Hasanuddin GA-609 - Garuda Indonesia  CGK Soekarno Hatta International Airport GA-609</v>
          </cell>
          <cell r="N19" t="str">
            <v>GM</v>
          </cell>
          <cell r="O19" t="str">
            <v>7412000</v>
          </cell>
          <cell r="P19" t="str">
            <v>19/08/2025 18:05:00 - 19/08/2025 19:30:00</v>
          </cell>
          <cell r="Q19">
            <v>1578600</v>
          </cell>
          <cell r="R19" t="str">
            <v>SUCCESS</v>
          </cell>
        </row>
        <row r="20">
          <cell r="A20">
            <v>1277306309</v>
          </cell>
          <cell r="B20" t="str">
            <v>8106329Z</v>
          </cell>
          <cell r="C20" t="str">
            <v>ANDI BASO MAKKARAKA</v>
          </cell>
          <cell r="D20">
            <v>81067403</v>
          </cell>
          <cell r="E20">
            <v>4120177247</v>
          </cell>
          <cell r="F20" t="str">
            <v>54</v>
          </cell>
          <cell r="G20" t="str">
            <v>Perjalanan Dinas Non-Diklat</v>
          </cell>
          <cell r="H20" t="str">
            <v>Kab. Luwu Timur - Kab. Luwu Timur</v>
          </cell>
          <cell r="I20" t="str">
            <v>19/08/2025 - 23/08/2025</v>
          </cell>
          <cell r="J20" t="str">
            <v>5</v>
          </cell>
          <cell r="K20" t="str">
            <v>Flight One Way</v>
          </cell>
          <cell r="L20" t="str">
            <v>15-08-2025 19:15:35</v>
          </cell>
          <cell r="M20" t="str">
            <v>Wings Air Domestic UPG Hasanuddin IW-1350 - Wings Air  LLO Lagaligo Airport IW-1350</v>
          </cell>
          <cell r="N20" t="str">
            <v>SPC PAT GM</v>
          </cell>
          <cell r="O20" t="str">
            <v>7412110</v>
          </cell>
          <cell r="P20" t="str">
            <v>19/08/2025 08:10:00 - 19/08/2025 09:05:00</v>
          </cell>
          <cell r="Q20">
            <v>1455300</v>
          </cell>
          <cell r="R20" t="str">
            <v>SUCCESS</v>
          </cell>
        </row>
        <row r="21">
          <cell r="A21">
            <v>1277276125</v>
          </cell>
          <cell r="B21" t="str">
            <v>9313044FY</v>
          </cell>
          <cell r="C21" t="str">
            <v>ANDI FAKHRUL SAM</v>
          </cell>
          <cell r="D21">
            <v>93137642</v>
          </cell>
          <cell r="E21">
            <v>4120177249</v>
          </cell>
          <cell r="F21" t="str">
            <v>54</v>
          </cell>
          <cell r="G21" t="str">
            <v>Perjalanan Dinas Non-Diklat</v>
          </cell>
          <cell r="H21" t="str">
            <v>Kota Baubau - Kota Makassar</v>
          </cell>
          <cell r="I21" t="str">
            <v>18/08/2025 - 20/08/2025</v>
          </cell>
          <cell r="J21" t="str">
            <v>3</v>
          </cell>
          <cell r="K21" t="str">
            <v>Flight One Way</v>
          </cell>
          <cell r="L21" t="str">
            <v>15-08-2025 17:12:53</v>
          </cell>
          <cell r="M21" t="str">
            <v>Super Air Jet  UPG Hasanuddin IU-572 - Super Air Jet  BUW Betoambari IU-572</v>
          </cell>
          <cell r="N21" t="str">
            <v>TL OP (BAUBAU)</v>
          </cell>
          <cell r="O21" t="str">
            <v>7409342</v>
          </cell>
          <cell r="P21" t="str">
            <v>20/08/2025 14:10:00 - 20/08/2025 14:55:00</v>
          </cell>
          <cell r="Q21">
            <v>844100</v>
          </cell>
          <cell r="R21" t="str">
            <v>SUCCESS</v>
          </cell>
        </row>
        <row r="22">
          <cell r="A22">
            <v>1277270148</v>
          </cell>
          <cell r="B22" t="str">
            <v>9313044FY</v>
          </cell>
          <cell r="C22" t="str">
            <v>ANDI FAKHRUL SAM</v>
          </cell>
          <cell r="D22">
            <v>93137642</v>
          </cell>
          <cell r="E22">
            <v>4120177249</v>
          </cell>
          <cell r="F22" t="str">
            <v>54</v>
          </cell>
          <cell r="G22" t="str">
            <v>Perjalanan Dinas Non-Diklat</v>
          </cell>
          <cell r="H22" t="str">
            <v>Kota Baubau - Kota Makassar</v>
          </cell>
          <cell r="I22" t="str">
            <v>18/08/2025 - 20/08/2025</v>
          </cell>
          <cell r="J22" t="str">
            <v>3</v>
          </cell>
          <cell r="K22" t="str">
            <v>Flight One Way</v>
          </cell>
          <cell r="L22" t="str">
            <v>15-08-2025 16:48:50</v>
          </cell>
          <cell r="M22" t="str">
            <v>Super Air Jet  BUW Betoambari IU-573 - Super Air Jet  UPG Hasanuddin IU-573</v>
          </cell>
          <cell r="N22" t="str">
            <v>TL OP (BAUBAU)</v>
          </cell>
          <cell r="O22" t="str">
            <v>7409342</v>
          </cell>
          <cell r="P22" t="str">
            <v>18/08/2025 15:35:00 - 18/08/2025 16:20:00</v>
          </cell>
          <cell r="Q22">
            <v>744200</v>
          </cell>
          <cell r="R22" t="str">
            <v>SUCCESS</v>
          </cell>
        </row>
        <row r="23">
          <cell r="A23">
            <v>1277304535</v>
          </cell>
          <cell r="B23" t="str">
            <v>9218155ZY</v>
          </cell>
          <cell r="C23" t="str">
            <v>MUHAMMAD HUSNI TAMRIN</v>
          </cell>
          <cell r="D23">
            <v>92187600</v>
          </cell>
          <cell r="E23">
            <v>4120177248</v>
          </cell>
          <cell r="F23" t="str">
            <v>54</v>
          </cell>
          <cell r="G23" t="str">
            <v>Perjalanan Dinas Non-Diklat</v>
          </cell>
          <cell r="H23" t="str">
            <v>Kota Kendari - Kota Makassar</v>
          </cell>
          <cell r="I23" t="str">
            <v>18/08/2025 - 20/08/2025</v>
          </cell>
          <cell r="J23" t="str">
            <v>3</v>
          </cell>
          <cell r="K23" t="str">
            <v>Flight One Way</v>
          </cell>
          <cell r="L23" t="str">
            <v>15-08-2025 19:08:12</v>
          </cell>
          <cell r="M23" t="str">
            <v>Batik Air  KDI Haluoleo ID-6750 - Batik Air Domestic UPG Hasanuddin ID-6750</v>
          </cell>
          <cell r="N23" t="str">
            <v>TL OP (KENDARI)</v>
          </cell>
          <cell r="O23" t="str">
            <v>7409342</v>
          </cell>
          <cell r="P23" t="str">
            <v>18/08/2025 10:15:00 - 18/08/2025 11:10:00</v>
          </cell>
          <cell r="Q23">
            <v>816300</v>
          </cell>
          <cell r="R23" t="str">
            <v>SUCCESS</v>
          </cell>
        </row>
        <row r="24">
          <cell r="A24">
            <v>1277327618</v>
          </cell>
          <cell r="B24" t="str">
            <v>9218155ZY</v>
          </cell>
          <cell r="C24" t="str">
            <v>MUHAMMAD HUSNI TAMRIN</v>
          </cell>
          <cell r="D24">
            <v>92187600</v>
          </cell>
          <cell r="E24">
            <v>4120177248</v>
          </cell>
          <cell r="F24" t="str">
            <v>54</v>
          </cell>
          <cell r="G24" t="str">
            <v>Perjalanan Dinas Non-Diklat</v>
          </cell>
          <cell r="H24" t="str">
            <v>Kota Kendari - Kota Makassar</v>
          </cell>
          <cell r="I24" t="str">
            <v>18/08/2025 - 20/08/2025</v>
          </cell>
          <cell r="J24" t="str">
            <v>3</v>
          </cell>
          <cell r="K24" t="str">
            <v>Hotel</v>
          </cell>
          <cell r="L24" t="str">
            <v>15-08-2025 20:40:39</v>
          </cell>
          <cell r="M24" t="str">
            <v xml:space="preserve">Melia Makassar - 4.0 Stars  - </v>
          </cell>
          <cell r="N24" t="str">
            <v>TL OP (KENDARI)</v>
          </cell>
          <cell r="O24" t="str">
            <v>7409342</v>
          </cell>
          <cell r="P24" t="str">
            <v>18/08/2025 14:00:00 - 20/08/2025 12:00:00</v>
          </cell>
          <cell r="Q24">
            <v>1612500</v>
          </cell>
          <cell r="R24" t="str">
            <v>SUCCESS</v>
          </cell>
        </row>
        <row r="25">
          <cell r="A25">
            <v>1277206337</v>
          </cell>
          <cell r="B25" t="str">
            <v>9008037F</v>
          </cell>
          <cell r="C25" t="str">
            <v>HADI YUSRAN ZAENAL ABIDIN</v>
          </cell>
          <cell r="D25">
            <v>90087600</v>
          </cell>
          <cell r="E25">
            <v>4120177240</v>
          </cell>
          <cell r="F25" t="str">
            <v>54</v>
          </cell>
          <cell r="G25" t="str">
            <v>Perjalanan Dinas Non-Diklat</v>
          </cell>
          <cell r="H25" t="str">
            <v>Kota Kendari - Kota Makassar</v>
          </cell>
          <cell r="I25" t="str">
            <v>14/08/2025 - 16/08/2025</v>
          </cell>
          <cell r="J25" t="str">
            <v>3</v>
          </cell>
          <cell r="K25" t="str">
            <v>Hotel</v>
          </cell>
          <cell r="L25" t="str">
            <v>15-08-2025 12:42:19</v>
          </cell>
          <cell r="M25" t="str">
            <v xml:space="preserve">CLARO Makassar - 4.0 Stars  - </v>
          </cell>
          <cell r="N25" t="str">
            <v>ASMAN KEU DAN MUM</v>
          </cell>
          <cell r="O25" t="str">
            <v>7412240</v>
          </cell>
          <cell r="P25" t="str">
            <v>15/08/2025 14:00:00 - 16/08/2025 12:00:00</v>
          </cell>
          <cell r="Q25">
            <v>869842</v>
          </cell>
          <cell r="R25" t="str">
            <v>SUCCESS</v>
          </cell>
        </row>
        <row r="26">
          <cell r="A26">
            <v>1277287667</v>
          </cell>
          <cell r="B26" t="str">
            <v>9619391ZY</v>
          </cell>
          <cell r="C26" t="str">
            <v>KRISNA DIAN SAPUTRA</v>
          </cell>
          <cell r="D26">
            <v>96196204</v>
          </cell>
          <cell r="E26">
            <v>4120177229</v>
          </cell>
          <cell r="F26" t="str">
            <v>54</v>
          </cell>
          <cell r="G26" t="str">
            <v>Perjalanan Dinas Non-Diklat</v>
          </cell>
          <cell r="H26" t="str">
            <v>Kota Baubau - Kota Makassar</v>
          </cell>
          <cell r="I26" t="str">
            <v>18/08/2025 - 20/08/2025</v>
          </cell>
          <cell r="J26" t="str">
            <v>3</v>
          </cell>
          <cell r="K26" t="str">
            <v>Hotel</v>
          </cell>
          <cell r="L26" t="str">
            <v>15-08-2025 18:00:15</v>
          </cell>
          <cell r="M26" t="str">
            <v xml:space="preserve">Melia Makassar - 4.0 Stars  - </v>
          </cell>
          <cell r="N26" t="str">
            <v>TL HAR ELEKTRO (BAUBAU)</v>
          </cell>
          <cell r="O26" t="str">
            <v>7412340</v>
          </cell>
          <cell r="P26" t="str">
            <v>18/08/2025 14:00:00 - 19/08/2025 12:00:00</v>
          </cell>
          <cell r="Q26">
            <v>806250</v>
          </cell>
          <cell r="R26" t="str">
            <v>SUCCESS</v>
          </cell>
        </row>
        <row r="27">
          <cell r="A27">
            <v>1277779793</v>
          </cell>
          <cell r="B27" t="str">
            <v>9619391ZY</v>
          </cell>
          <cell r="C27" t="str">
            <v>KRISNA DIAN SAPUTRA</v>
          </cell>
          <cell r="D27">
            <v>96196204</v>
          </cell>
          <cell r="E27">
            <v>4120177229</v>
          </cell>
          <cell r="F27" t="str">
            <v>54</v>
          </cell>
          <cell r="G27" t="str">
            <v>Perjalanan Dinas Non-Diklat</v>
          </cell>
          <cell r="H27" t="str">
            <v>Kota Baubau - Kota Makassar</v>
          </cell>
          <cell r="I27" t="str">
            <v>18/08/2025 - 20/08/2025</v>
          </cell>
          <cell r="J27" t="str">
            <v>3</v>
          </cell>
          <cell r="K27" t="str">
            <v>Flight One Way</v>
          </cell>
          <cell r="L27" t="str">
            <v>17-08-2025 20:01:46</v>
          </cell>
          <cell r="M27" t="str">
            <v>Super Air Jet  UPG Hasanuddin IU-572 - Super Air Jet  BUW Betoambari IU-572</v>
          </cell>
          <cell r="N27" t="str">
            <v>TL HAR ELEKTRO (BAUBAU)</v>
          </cell>
          <cell r="O27" t="str">
            <v>7412340</v>
          </cell>
          <cell r="P27" t="str">
            <v>20/08/2025 14:10:00 - 20/08/2025 14:55:00</v>
          </cell>
          <cell r="Q27">
            <v>844100</v>
          </cell>
          <cell r="R27" t="str">
            <v>SUCCESS</v>
          </cell>
        </row>
        <row r="28">
          <cell r="A28">
            <v>1276919398</v>
          </cell>
          <cell r="B28" t="str">
            <v>9619391ZY</v>
          </cell>
          <cell r="C28" t="str">
            <v>KRISNA DIAN SAPUTRA</v>
          </cell>
          <cell r="D28">
            <v>96196204</v>
          </cell>
          <cell r="E28">
            <v>4120177229</v>
          </cell>
          <cell r="F28" t="str">
            <v>54</v>
          </cell>
          <cell r="G28" t="str">
            <v>Perjalanan Dinas Non-Diklat</v>
          </cell>
          <cell r="H28" t="str">
            <v>Kota Baubau - Kota Makassar</v>
          </cell>
          <cell r="I28" t="str">
            <v>18/08/2025 - 20/08/2025</v>
          </cell>
          <cell r="J28" t="str">
            <v>3</v>
          </cell>
          <cell r="K28" t="str">
            <v>Flight One Way</v>
          </cell>
          <cell r="L28" t="str">
            <v>14-08-2025 10:19:18</v>
          </cell>
          <cell r="M28" t="str">
            <v>Super Air Jet  BUW Betoambari IU-573 - Super Air Jet  UPG Hasanuddin IU-573</v>
          </cell>
          <cell r="N28" t="str">
            <v>TL HAR ELEKTRO (BAUBAU)</v>
          </cell>
          <cell r="O28" t="str">
            <v>7412340</v>
          </cell>
          <cell r="P28" t="str">
            <v>18/08/2025 15:35:00 - 18/08/2025 16:20:00</v>
          </cell>
          <cell r="Q28">
            <v>744200</v>
          </cell>
          <cell r="R28" t="str">
            <v>SUCCESS</v>
          </cell>
        </row>
        <row r="29">
          <cell r="A29">
            <v>1276977293</v>
          </cell>
          <cell r="B29" t="str">
            <v>95191469ZY</v>
          </cell>
          <cell r="C29" t="str">
            <v>ANDI WARIS</v>
          </cell>
          <cell r="D29">
            <v>95197613</v>
          </cell>
          <cell r="E29">
            <v>4120177210</v>
          </cell>
          <cell r="F29" t="str">
            <v>54</v>
          </cell>
          <cell r="G29" t="str">
            <v>Perjalanan Dinas Non-Diklat</v>
          </cell>
          <cell r="H29" t="str">
            <v>Kota Kendari - Kota Makassar</v>
          </cell>
          <cell r="I29" t="str">
            <v>18/08/2025 - 20/08/2025</v>
          </cell>
          <cell r="J29" t="str">
            <v>3</v>
          </cell>
          <cell r="K29" t="str">
            <v>Flight One Way</v>
          </cell>
          <cell r="L29" t="str">
            <v>14-08-2025 14:05:45</v>
          </cell>
          <cell r="M29" t="str">
            <v>Batik Air  KDI Haluoleo ID-6750 - Batik Air Domestic UPG Hasanuddin ID-6750</v>
          </cell>
          <cell r="N29" t="str">
            <v>TL HAR ELEKTRO (KENDARI)</v>
          </cell>
          <cell r="O29" t="str">
            <v>7412340</v>
          </cell>
          <cell r="P29" t="str">
            <v>18/08/2025 10:15:00 - 18/08/2025 11:10:00</v>
          </cell>
          <cell r="Q29">
            <v>857400</v>
          </cell>
          <cell r="R29" t="str">
            <v>SUCCESS</v>
          </cell>
        </row>
        <row r="30">
          <cell r="A30">
            <v>1278037660</v>
          </cell>
          <cell r="B30" t="str">
            <v>95191469ZY</v>
          </cell>
          <cell r="C30" t="str">
            <v>ANDI WARIS</v>
          </cell>
          <cell r="D30">
            <v>95197613</v>
          </cell>
          <cell r="E30">
            <v>4120177210</v>
          </cell>
          <cell r="F30" t="str">
            <v>54</v>
          </cell>
          <cell r="G30" t="str">
            <v>Perjalanan Dinas Non-Diklat</v>
          </cell>
          <cell r="H30" t="str">
            <v>Kota Kendari - Kota Makassar</v>
          </cell>
          <cell r="I30" t="str">
            <v>18/08/2025 - 20/08/2025</v>
          </cell>
          <cell r="J30" t="str">
            <v>3</v>
          </cell>
          <cell r="K30" t="str">
            <v>Flight One Way</v>
          </cell>
          <cell r="L30" t="str">
            <v>18-08-2025 22:14:15</v>
          </cell>
          <cell r="M30" t="str">
            <v>Batik Air Domestic UPG Hasanuddin ID-6751 - Batik Air  KDI Haluoleo ID-6751</v>
          </cell>
          <cell r="N30" t="str">
            <v>TL HAR ELEKTRO (KENDARI)</v>
          </cell>
          <cell r="O30" t="str">
            <v>7412340</v>
          </cell>
          <cell r="P30" t="str">
            <v>20/08/2025 08:30:00 - 20/08/2025 09:35:00</v>
          </cell>
          <cell r="Q30">
            <v>782100</v>
          </cell>
          <cell r="R30" t="str">
            <v>SUCCESS</v>
          </cell>
        </row>
        <row r="31">
          <cell r="A31">
            <v>1276881640</v>
          </cell>
          <cell r="B31" t="str">
            <v>8908030F</v>
          </cell>
          <cell r="C31" t="str">
            <v xml:space="preserve">IBNUSABIL </v>
          </cell>
          <cell r="D31">
            <v>89087629</v>
          </cell>
          <cell r="E31">
            <v>4120177217</v>
          </cell>
          <cell r="F31" t="str">
            <v>54</v>
          </cell>
          <cell r="G31" t="str">
            <v>Perjalanan Dinas Non-Diklat</v>
          </cell>
          <cell r="H31" t="str">
            <v>Kab. Bone - Kota Manado</v>
          </cell>
          <cell r="I31" t="str">
            <v>13/08/2025 - 16/08/2025</v>
          </cell>
          <cell r="J31" t="str">
            <v>4</v>
          </cell>
          <cell r="K31" t="str">
            <v>Hotel</v>
          </cell>
          <cell r="L31" t="str">
            <v>14-08-2025 06:41:58</v>
          </cell>
          <cell r="M31" t="str">
            <v xml:space="preserve">Luwansa Hotel and Convention Center Manado - 4.0 Stars  - </v>
          </cell>
          <cell r="N31" t="str">
            <v>TL TE LIST</v>
          </cell>
          <cell r="O31" t="str">
            <v>7411232</v>
          </cell>
          <cell r="P31" t="str">
            <v>15/08/2025 14:00:00 - 16/08/2025 12:00:00</v>
          </cell>
          <cell r="Q31">
            <v>800000</v>
          </cell>
          <cell r="R31" t="str">
            <v>SUCCESS</v>
          </cell>
        </row>
        <row r="32">
          <cell r="A32">
            <v>1276881341</v>
          </cell>
          <cell r="B32" t="str">
            <v>8908030F</v>
          </cell>
          <cell r="C32" t="str">
            <v xml:space="preserve">IBNUSABIL </v>
          </cell>
          <cell r="D32">
            <v>89087629</v>
          </cell>
          <cell r="E32">
            <v>4120177217</v>
          </cell>
          <cell r="F32" t="str">
            <v>54</v>
          </cell>
          <cell r="G32" t="str">
            <v>Perjalanan Dinas Non-Diklat</v>
          </cell>
          <cell r="H32" t="str">
            <v>Kab. Bone - Kota Manado</v>
          </cell>
          <cell r="I32" t="str">
            <v>13/08/2025 - 16/08/2025</v>
          </cell>
          <cell r="J32" t="str">
            <v>4</v>
          </cell>
          <cell r="K32" t="str">
            <v>Hotel</v>
          </cell>
          <cell r="L32" t="str">
            <v>14-08-2025 06:38:18</v>
          </cell>
          <cell r="M32" t="str">
            <v xml:space="preserve">Luwansa Hotel and Convention Center Manado - 4.0 Stars  - </v>
          </cell>
          <cell r="N32" t="str">
            <v>TL TE LIST</v>
          </cell>
          <cell r="O32" t="str">
            <v>7411232</v>
          </cell>
          <cell r="P32" t="str">
            <v>14/08/2025 14:00:00 - 15/08/2025 12:00:00</v>
          </cell>
          <cell r="Q32">
            <v>790000</v>
          </cell>
          <cell r="R32" t="str">
            <v>SUCCESS</v>
          </cell>
        </row>
        <row r="33">
          <cell r="A33">
            <v>1276806558</v>
          </cell>
          <cell r="B33" t="str">
            <v>8908030F</v>
          </cell>
          <cell r="C33" t="str">
            <v xml:space="preserve">IBNUSABIL </v>
          </cell>
          <cell r="D33">
            <v>89087629</v>
          </cell>
          <cell r="E33">
            <v>4120177217</v>
          </cell>
          <cell r="F33" t="str">
            <v>54</v>
          </cell>
          <cell r="G33" t="str">
            <v>Perjalanan Dinas Non-Diklat</v>
          </cell>
          <cell r="H33" t="str">
            <v>Kab. Bone - Kota Manado</v>
          </cell>
          <cell r="I33" t="str">
            <v>13/08/2025 - 16/08/2025</v>
          </cell>
          <cell r="J33" t="str">
            <v>4</v>
          </cell>
          <cell r="K33" t="str">
            <v>Flight One Way</v>
          </cell>
          <cell r="L33" t="str">
            <v>13-08-2025 19:29:46</v>
          </cell>
          <cell r="M33" t="str">
            <v>Batik Air Domestic MDC Sam Ratulangi ID-6763 - Batik Air Domestic UPG Hasanuddin ID-6763</v>
          </cell>
          <cell r="N33" t="str">
            <v>TL TE LIST</v>
          </cell>
          <cell r="O33" t="str">
            <v>7411232</v>
          </cell>
          <cell r="P33" t="str">
            <v>16/08/2025 16:45:00 - 16/08/2025 18:25:00</v>
          </cell>
          <cell r="Q33">
            <v>1525700</v>
          </cell>
          <cell r="R33" t="str">
            <v>SUCCESS</v>
          </cell>
        </row>
        <row r="34">
          <cell r="A34">
            <v>1276684072</v>
          </cell>
          <cell r="B34" t="str">
            <v>92151532ZY</v>
          </cell>
          <cell r="C34" t="str">
            <v>ANDY PRADIPTA</v>
          </cell>
          <cell r="D34">
            <v>92157614</v>
          </cell>
          <cell r="E34">
            <v>4120177175</v>
          </cell>
          <cell r="F34" t="str">
            <v>54</v>
          </cell>
          <cell r="G34" t="str">
            <v>Perjalanan Dinas Non-Diklat</v>
          </cell>
          <cell r="H34" t="str">
            <v>Kota Makassar - Kota Manado</v>
          </cell>
          <cell r="I34" t="str">
            <v>13/08/2025 - 16/08/2025</v>
          </cell>
          <cell r="J34" t="str">
            <v>4</v>
          </cell>
          <cell r="K34" t="str">
            <v>Flight One Way</v>
          </cell>
          <cell r="L34" t="str">
            <v>13-08-2025 12:34:21</v>
          </cell>
          <cell r="M34" t="str">
            <v>Lion Air Domestic UPG Hasanuddin JT-740 - Lion Air Domestic MDC Sam Ratulangi JT-740</v>
          </cell>
          <cell r="N34" t="str">
            <v>TL TE LIST</v>
          </cell>
          <cell r="O34" t="str">
            <v>74112804</v>
          </cell>
          <cell r="P34" t="str">
            <v>13/08/2025 15:55:00 - 13/08/2025 17:40:00</v>
          </cell>
          <cell r="Q34">
            <v>1463200</v>
          </cell>
          <cell r="R34" t="str">
            <v>SUCCESS</v>
          </cell>
        </row>
        <row r="35">
          <cell r="A35">
            <v>1276748753</v>
          </cell>
          <cell r="B35" t="str">
            <v>92151532ZY</v>
          </cell>
          <cell r="C35" t="str">
            <v>ANDY PRADIPTA</v>
          </cell>
          <cell r="D35">
            <v>92157614</v>
          </cell>
          <cell r="E35">
            <v>4120177175</v>
          </cell>
          <cell r="F35" t="str">
            <v>54</v>
          </cell>
          <cell r="G35" t="str">
            <v>Perjalanan Dinas Non-Diklat</v>
          </cell>
          <cell r="H35" t="str">
            <v>Kota Makassar - Kota Manado</v>
          </cell>
          <cell r="I35" t="str">
            <v>13/08/2025 - 16/08/2025</v>
          </cell>
          <cell r="J35" t="str">
            <v>4</v>
          </cell>
          <cell r="K35" t="str">
            <v>Flight One Way</v>
          </cell>
          <cell r="L35" t="str">
            <v>13-08-2025 15:25:05</v>
          </cell>
          <cell r="M35" t="str">
            <v>Batik Air Domestic MDC Sam Ratulangi ID-6763 - Batik Air Domestic UPG Hasanuddin ID-6763</v>
          </cell>
          <cell r="N35" t="str">
            <v>TL TE LIST</v>
          </cell>
          <cell r="O35" t="str">
            <v>74112804</v>
          </cell>
          <cell r="P35" t="str">
            <v>16/08/2025 16:45:00 - 16/08/2025 18:25:00</v>
          </cell>
          <cell r="Q35">
            <v>1525700</v>
          </cell>
          <cell r="R35" t="str">
            <v>SUCCESS</v>
          </cell>
        </row>
        <row r="36">
          <cell r="A36">
            <v>1276751505</v>
          </cell>
          <cell r="B36" t="str">
            <v>92151532ZY</v>
          </cell>
          <cell r="C36" t="str">
            <v>ANDY PRADIPTA</v>
          </cell>
          <cell r="D36">
            <v>92157614</v>
          </cell>
          <cell r="E36">
            <v>4120177175</v>
          </cell>
          <cell r="F36" t="str">
            <v>54</v>
          </cell>
          <cell r="G36" t="str">
            <v>Perjalanan Dinas Non-Diklat</v>
          </cell>
          <cell r="H36" t="str">
            <v>Kota Makassar - Kota Manado</v>
          </cell>
          <cell r="I36" t="str">
            <v>13/08/2025 - 16/08/2025</v>
          </cell>
          <cell r="J36" t="str">
            <v>4</v>
          </cell>
          <cell r="K36" t="str">
            <v>Hotel</v>
          </cell>
          <cell r="L36" t="str">
            <v>13-08-2025 15:36:03</v>
          </cell>
          <cell r="M36" t="str">
            <v xml:space="preserve">Best Western The Lagoon Hotel - 4.0 Stars  - </v>
          </cell>
          <cell r="N36" t="str">
            <v>TL TE LIST</v>
          </cell>
          <cell r="O36" t="str">
            <v>74112804</v>
          </cell>
          <cell r="P36" t="str">
            <v>13/08/2025 14:00:00 - 15/08/2025 12:00:00</v>
          </cell>
          <cell r="Q36">
            <v>1494000</v>
          </cell>
          <cell r="R36" t="str">
            <v>SUCCESS</v>
          </cell>
        </row>
        <row r="37">
          <cell r="A37">
            <v>1277131948</v>
          </cell>
          <cell r="B37" t="str">
            <v>92151532ZY</v>
          </cell>
          <cell r="C37" t="str">
            <v>ANDY PRADIPTA</v>
          </cell>
          <cell r="D37">
            <v>92157614</v>
          </cell>
          <cell r="E37">
            <v>4120177175</v>
          </cell>
          <cell r="F37" t="str">
            <v>54</v>
          </cell>
          <cell r="G37" t="str">
            <v>Perjalanan Dinas Non-Diklat</v>
          </cell>
          <cell r="H37" t="str">
            <v>Kota Makassar - Kota Manado</v>
          </cell>
          <cell r="I37" t="str">
            <v>13/08/2025 - 16/08/2025</v>
          </cell>
          <cell r="J37" t="str">
            <v>4</v>
          </cell>
          <cell r="K37" t="str">
            <v>Hotel</v>
          </cell>
          <cell r="L37" t="str">
            <v>15-08-2025 06:53:07</v>
          </cell>
          <cell r="M37" t="str">
            <v xml:space="preserve">Whiz Prime Hotel Megamas Manado - 3.0 Stars  - </v>
          </cell>
          <cell r="N37" t="str">
            <v>TL TE LIST</v>
          </cell>
          <cell r="O37" t="str">
            <v>74112804</v>
          </cell>
          <cell r="P37" t="str">
            <v>15/08/2025 14:00:00 - 16/08/2025 12:00:00</v>
          </cell>
          <cell r="Q37">
            <v>769681</v>
          </cell>
          <cell r="R37" t="str">
            <v>SUCCESS</v>
          </cell>
        </row>
        <row r="38">
          <cell r="A38">
            <v>1276684014</v>
          </cell>
          <cell r="B38" t="str">
            <v>9615040FY</v>
          </cell>
          <cell r="C38" t="str">
            <v xml:space="preserve">ASDAR </v>
          </cell>
          <cell r="D38">
            <v>96137745</v>
          </cell>
          <cell r="E38">
            <v>4120177197</v>
          </cell>
          <cell r="F38" t="str">
            <v>54</v>
          </cell>
          <cell r="G38" t="str">
            <v>Perjalanan Dinas Non-Diklat</v>
          </cell>
          <cell r="H38" t="str">
            <v>Kota Makassar - Kota Manado</v>
          </cell>
          <cell r="I38" t="str">
            <v>13/08/2025 - 16/08/2025</v>
          </cell>
          <cell r="J38" t="str">
            <v>4</v>
          </cell>
          <cell r="K38" t="str">
            <v>Flight One Way</v>
          </cell>
          <cell r="L38" t="str">
            <v>13-08-2025 12:34:04</v>
          </cell>
          <cell r="M38" t="str">
            <v>Lion Air Domestic UPG Hasanuddin JT-740 - Lion Air Domestic MDC Sam Ratulangi JT-740</v>
          </cell>
          <cell r="N38" t="str">
            <v>JTC DAL APP</v>
          </cell>
          <cell r="O38" t="str">
            <v>74112804</v>
          </cell>
          <cell r="P38" t="str">
            <v>13/08/2025 15:55:00 - 13/08/2025 17:40:00</v>
          </cell>
          <cell r="Q38">
            <v>1463200</v>
          </cell>
          <cell r="R38" t="str">
            <v>SUCCESS</v>
          </cell>
        </row>
        <row r="39">
          <cell r="A39">
            <v>1277127851</v>
          </cell>
          <cell r="B39" t="str">
            <v>9615040FY</v>
          </cell>
          <cell r="C39" t="str">
            <v xml:space="preserve">ASDAR </v>
          </cell>
          <cell r="D39">
            <v>96137745</v>
          </cell>
          <cell r="E39">
            <v>4120177197</v>
          </cell>
          <cell r="F39" t="str">
            <v>54</v>
          </cell>
          <cell r="G39" t="str">
            <v>Perjalanan Dinas Non-Diklat</v>
          </cell>
          <cell r="H39" t="str">
            <v>Kota Makassar - Kota Manado</v>
          </cell>
          <cell r="I39" t="str">
            <v>13/08/2025 - 16/08/2025</v>
          </cell>
          <cell r="J39" t="str">
            <v>4</v>
          </cell>
          <cell r="K39" t="str">
            <v>Hotel</v>
          </cell>
          <cell r="L39" t="str">
            <v>15-08-2025 06:09:17</v>
          </cell>
          <cell r="M39" t="str">
            <v xml:space="preserve">Whiz Prime Hotel Megamas Manado - 3.0 Stars  - </v>
          </cell>
          <cell r="N39" t="str">
            <v>JTC DAL APP</v>
          </cell>
          <cell r="O39" t="str">
            <v>74112804</v>
          </cell>
          <cell r="P39" t="str">
            <v>15/08/2025 14:00:00 - 16/08/2025 12:00:00</v>
          </cell>
          <cell r="Q39">
            <v>537642</v>
          </cell>
          <cell r="R39" t="str">
            <v>SUCCESS</v>
          </cell>
        </row>
        <row r="40">
          <cell r="A40">
            <v>1276752762</v>
          </cell>
          <cell r="B40" t="str">
            <v>9615040FY</v>
          </cell>
          <cell r="C40" t="str">
            <v xml:space="preserve">ASDAR </v>
          </cell>
          <cell r="D40">
            <v>96137745</v>
          </cell>
          <cell r="E40">
            <v>4120177197</v>
          </cell>
          <cell r="F40" t="str">
            <v>54</v>
          </cell>
          <cell r="G40" t="str">
            <v>Perjalanan Dinas Non-Diklat</v>
          </cell>
          <cell r="H40" t="str">
            <v>Kota Makassar - Kota Manado</v>
          </cell>
          <cell r="I40" t="str">
            <v>13/08/2025 - 16/08/2025</v>
          </cell>
          <cell r="J40" t="str">
            <v>4</v>
          </cell>
          <cell r="K40" t="str">
            <v>Hotel</v>
          </cell>
          <cell r="L40" t="str">
            <v>13-08-2025 15:41:03</v>
          </cell>
          <cell r="M40" t="str">
            <v xml:space="preserve">Best Western The Lagoon Hotel - 4.0 Stars  - </v>
          </cell>
          <cell r="N40" t="str">
            <v>JTC DAL APP</v>
          </cell>
          <cell r="O40" t="str">
            <v>74112804</v>
          </cell>
          <cell r="P40" t="str">
            <v>13/08/2025 14:00:00 - 15/08/2025 12:00:00</v>
          </cell>
          <cell r="Q40">
            <v>1494000</v>
          </cell>
          <cell r="R40" t="str">
            <v>SUCCESS</v>
          </cell>
        </row>
        <row r="41">
          <cell r="A41">
            <v>1276748552</v>
          </cell>
          <cell r="B41" t="str">
            <v>9615040FY</v>
          </cell>
          <cell r="C41" t="str">
            <v xml:space="preserve">ASDAR </v>
          </cell>
          <cell r="D41">
            <v>96137745</v>
          </cell>
          <cell r="E41">
            <v>4120177197</v>
          </cell>
          <cell r="F41" t="str">
            <v>54</v>
          </cell>
          <cell r="G41" t="str">
            <v>Perjalanan Dinas Non-Diklat</v>
          </cell>
          <cell r="H41" t="str">
            <v>Kota Makassar - Kota Manado</v>
          </cell>
          <cell r="I41" t="str">
            <v>13/08/2025 - 16/08/2025</v>
          </cell>
          <cell r="J41" t="str">
            <v>4</v>
          </cell>
          <cell r="K41" t="str">
            <v>Flight One Way</v>
          </cell>
          <cell r="L41" t="str">
            <v>13-08-2025 15:24:44</v>
          </cell>
          <cell r="M41" t="str">
            <v>Batik Air Domestic MDC Sam Ratulangi ID-6763 - Batik Air Domestic UPG Hasanuddin ID-6763</v>
          </cell>
          <cell r="N41" t="str">
            <v>JTC DAL APP</v>
          </cell>
          <cell r="O41" t="str">
            <v>74112804</v>
          </cell>
          <cell r="P41" t="str">
            <v>16/08/2025 16:45:00 - 16/08/2025 18:25:00</v>
          </cell>
          <cell r="Q41">
            <v>1525700</v>
          </cell>
          <cell r="R41" t="str">
            <v>SUCCESS</v>
          </cell>
        </row>
        <row r="42">
          <cell r="A42">
            <v>1277031125</v>
          </cell>
          <cell r="B42" t="str">
            <v>96191903ZY</v>
          </cell>
          <cell r="C42" t="str">
            <v>MANSYUR FAHMI</v>
          </cell>
          <cell r="D42">
            <v>96197639</v>
          </cell>
          <cell r="E42">
            <v>4120177195</v>
          </cell>
          <cell r="F42" t="str">
            <v>54</v>
          </cell>
          <cell r="G42" t="str">
            <v>Perjalanan Dinas Non-Diklat</v>
          </cell>
          <cell r="H42" t="str">
            <v>Kab.Mamuju-KotaMakassar</v>
          </cell>
          <cell r="I42" t="str">
            <v>13/08/2025 - 15/08/2025</v>
          </cell>
          <cell r="J42" t="str">
            <v>3</v>
          </cell>
          <cell r="K42" t="str">
            <v>Flight One Way</v>
          </cell>
          <cell r="L42" t="str">
            <v>14-08-2025 17:48:34</v>
          </cell>
          <cell r="M42" t="str">
            <v>Batik Air Domestic UPG Hasanuddin ID-6788 - Batik Air  MJU Tampa Padang ID-6788</v>
          </cell>
          <cell r="N42" t="str">
            <v>TL REN LISDES</v>
          </cell>
          <cell r="O42" t="str">
            <v>0007412290</v>
          </cell>
          <cell r="P42" t="str">
            <v>15/08/2025 10:00:00 - 15/08/2025 10:55:00</v>
          </cell>
          <cell r="Q42">
            <v>873400</v>
          </cell>
          <cell r="R42" t="str">
            <v>SUCCESS</v>
          </cell>
        </row>
        <row r="43">
          <cell r="A43">
            <v>1276886536</v>
          </cell>
          <cell r="B43" t="str">
            <v>9517728ZY</v>
          </cell>
          <cell r="C43" t="str">
            <v>ACHYAR MAULANA PRATAMA</v>
          </cell>
          <cell r="D43">
            <v>95177601</v>
          </cell>
          <cell r="E43">
            <v>4120177194</v>
          </cell>
          <cell r="F43" t="str">
            <v>54</v>
          </cell>
          <cell r="G43" t="str">
            <v>Perjalanan Dinas Non-Diklat</v>
          </cell>
          <cell r="H43" t="str">
            <v>Kota Baubau - Kota Makassar - Kota Manado</v>
          </cell>
          <cell r="I43" t="str">
            <v>13/08/2025 - 16/08/2025</v>
          </cell>
          <cell r="J43" t="str">
            <v>4</v>
          </cell>
          <cell r="K43" t="str">
            <v>Flight One Way</v>
          </cell>
          <cell r="L43" t="str">
            <v>14-08-2025 07:25:36</v>
          </cell>
          <cell r="M43" t="str">
            <v>Lion Air Domestic MDC Sam Ratulangi JT-741 - Lion Air  BUW Betoambari JT-741</v>
          </cell>
          <cell r="N43" t="str">
            <v>TL TE LIST</v>
          </cell>
          <cell r="O43" t="str">
            <v>7411284</v>
          </cell>
          <cell r="P43" t="str">
            <v>16/08/2025 06:00:00 - 16/08/2025 14:55:00</v>
          </cell>
          <cell r="Q43">
            <v>2303900</v>
          </cell>
          <cell r="R43" t="str">
            <v>SUCCESS</v>
          </cell>
        </row>
        <row r="44">
          <cell r="A44">
            <v>1276674635</v>
          </cell>
          <cell r="B44" t="str">
            <v>9517728ZY</v>
          </cell>
          <cell r="C44" t="str">
            <v>ACHYAR MAULANA PRATAMA</v>
          </cell>
          <cell r="D44">
            <v>95177601</v>
          </cell>
          <cell r="E44">
            <v>4120177194</v>
          </cell>
          <cell r="F44" t="str">
            <v>54</v>
          </cell>
          <cell r="G44" t="str">
            <v>Perjalanan Dinas Non-Diklat</v>
          </cell>
          <cell r="H44" t="str">
            <v>Kota Baubau - Kota Makassar - Kota Manado</v>
          </cell>
          <cell r="I44" t="str">
            <v>13/08/2025 - 16/08/2025</v>
          </cell>
          <cell r="J44" t="str">
            <v>4</v>
          </cell>
          <cell r="K44" t="str">
            <v>Flight One Way</v>
          </cell>
          <cell r="L44" t="str">
            <v>13-08-2025 11:56:26</v>
          </cell>
          <cell r="M44" t="str">
            <v>Wings Air  BUW Betoambari IW-1305 - Wings Air Domestic MDC Sam Ratulangi IW-1305</v>
          </cell>
          <cell r="N44" t="str">
            <v>TL TE LIST</v>
          </cell>
          <cell r="O44" t="str">
            <v>7411284</v>
          </cell>
          <cell r="P44" t="str">
            <v>14/08/2025 06:30:00 - 14/08/2025 10:55:00</v>
          </cell>
          <cell r="Q44">
            <v>3013500</v>
          </cell>
          <cell r="R44" t="str">
            <v>SUCCESS</v>
          </cell>
        </row>
        <row r="45">
          <cell r="A45">
            <v>1276915918</v>
          </cell>
          <cell r="B45" t="str">
            <v>8307221Z</v>
          </cell>
          <cell r="C45" t="str">
            <v>JONI ALEXANDER HEYT SITORUS</v>
          </cell>
          <cell r="D45">
            <v>83075800</v>
          </cell>
          <cell r="E45">
            <v>4120177193</v>
          </cell>
          <cell r="F45" t="str">
            <v>54</v>
          </cell>
          <cell r="G45" t="str">
            <v>Perjalanan Dinas Non-Diklat</v>
          </cell>
          <cell r="H45" t="str">
            <v>Kota Kendari - Kota Makassar</v>
          </cell>
          <cell r="I45" t="str">
            <v>13/08/2025 - 15/08/2025</v>
          </cell>
          <cell r="J45" t="str">
            <v>3</v>
          </cell>
          <cell r="K45" t="str">
            <v>Hotel</v>
          </cell>
          <cell r="L45" t="str">
            <v>14-08-2025 10:05:07</v>
          </cell>
          <cell r="M45" t="str">
            <v xml:space="preserve">MYKO Hotel &amp; Convention Center Makassar - 4.0 Stars  - </v>
          </cell>
          <cell r="N45" t="str">
            <v>MUP UP2K (PROV SULTRA)</v>
          </cell>
          <cell r="O45" t="str">
            <v>7412240</v>
          </cell>
          <cell r="P45" t="str">
            <v>14/08/2025 14:00:00 - 15/08/2025 12:00:00</v>
          </cell>
          <cell r="Q45">
            <v>1028125</v>
          </cell>
          <cell r="R45" t="str">
            <v>SUCCESS</v>
          </cell>
        </row>
        <row r="46">
          <cell r="A46">
            <v>1276649752</v>
          </cell>
          <cell r="B46" t="str">
            <v>8307221Z</v>
          </cell>
          <cell r="C46" t="str">
            <v>JONI ALEXANDER HEYT SITORUS</v>
          </cell>
          <cell r="D46">
            <v>83075800</v>
          </cell>
          <cell r="E46">
            <v>4120177193</v>
          </cell>
          <cell r="F46" t="str">
            <v>54</v>
          </cell>
          <cell r="G46" t="str">
            <v>Perjalanan Dinas Non-Diklat</v>
          </cell>
          <cell r="H46" t="str">
            <v>Kota Kendari - Kota Makassar</v>
          </cell>
          <cell r="I46" t="str">
            <v>13/08/2025 - 15/08/2025</v>
          </cell>
          <cell r="J46" t="str">
            <v>3</v>
          </cell>
          <cell r="K46" t="str">
            <v>Flight One Way</v>
          </cell>
          <cell r="L46" t="str">
            <v>13-08-2025 10:20:12</v>
          </cell>
          <cell r="M46" t="str">
            <v>Lion Air  KDI Haluoleo JT-997 - Lion Air Domestic UPG Hasanuddin JT-997</v>
          </cell>
          <cell r="N46" t="str">
            <v>MUP UP2K (PROV SULTRA)</v>
          </cell>
          <cell r="O46" t="str">
            <v>7412240</v>
          </cell>
          <cell r="P46" t="str">
            <v>13/08/2025 15:35:00 - 13/08/2025 16:30:00</v>
          </cell>
          <cell r="Q46">
            <v>775100</v>
          </cell>
          <cell r="R46" t="str">
            <v>SUCCESS</v>
          </cell>
        </row>
        <row r="47">
          <cell r="A47">
            <v>1276914956</v>
          </cell>
          <cell r="B47" t="str">
            <v>8307221Z</v>
          </cell>
          <cell r="C47" t="str">
            <v>JONI ALEXANDER HEYT SITORUS</v>
          </cell>
          <cell r="D47">
            <v>83075800</v>
          </cell>
          <cell r="E47">
            <v>4120177193</v>
          </cell>
          <cell r="F47" t="str">
            <v>54</v>
          </cell>
          <cell r="G47" t="str">
            <v>Perjalanan Dinas Non-Diklat</v>
          </cell>
          <cell r="H47" t="str">
            <v>Kota Kendari - Kota Makassar</v>
          </cell>
          <cell r="I47" t="str">
            <v>13/08/2025 - 15/08/2025</v>
          </cell>
          <cell r="J47" t="str">
            <v>3</v>
          </cell>
          <cell r="K47" t="str">
            <v>Flight One Way</v>
          </cell>
          <cell r="L47" t="str">
            <v>14-08-2025 10:01:12</v>
          </cell>
          <cell r="M47" t="str">
            <v>Lion Air Domestic UPG Hasanuddin JT-992 - Lion Air  KDI Haluoleo JT-992</v>
          </cell>
          <cell r="N47" t="str">
            <v>MUP UP2K (PROV SULTRA)</v>
          </cell>
          <cell r="O47" t="str">
            <v>7412240</v>
          </cell>
          <cell r="P47" t="str">
            <v>15/08/2025 12:45:00 - 15/08/2025 13:50:00</v>
          </cell>
          <cell r="Q47">
            <v>823000</v>
          </cell>
          <cell r="R47" t="str">
            <v>SUCCESS</v>
          </cell>
        </row>
        <row r="48">
          <cell r="A48">
            <v>1276652497</v>
          </cell>
          <cell r="B48" t="str">
            <v>8307221Z</v>
          </cell>
          <cell r="C48" t="str">
            <v>JONI ALEXANDER HEYT SITORUS</v>
          </cell>
          <cell r="D48">
            <v>83075800</v>
          </cell>
          <cell r="E48">
            <v>4120177193</v>
          </cell>
          <cell r="F48" t="str">
            <v>54</v>
          </cell>
          <cell r="G48" t="str">
            <v>Perjalanan Dinas Non-Diklat</v>
          </cell>
          <cell r="H48" t="str">
            <v>Kota Kendari - Kota Makassar</v>
          </cell>
          <cell r="I48" t="str">
            <v>13/08/2025 - 15/08/2025</v>
          </cell>
          <cell r="J48" t="str">
            <v>3</v>
          </cell>
          <cell r="K48" t="str">
            <v>Hotel</v>
          </cell>
          <cell r="L48" t="str">
            <v>13-08-2025 10:29:48</v>
          </cell>
          <cell r="M48" t="str">
            <v xml:space="preserve">MYKO Hotel &amp; Convention Center Makassar - 4.0 Stars  - </v>
          </cell>
          <cell r="N48" t="str">
            <v>MUP UP2K (PROV SULTRA)</v>
          </cell>
          <cell r="O48" t="str">
            <v>7412240</v>
          </cell>
          <cell r="P48" t="str">
            <v>13/08/2025 14:00:00 - 14/08/2025 12:00:00</v>
          </cell>
          <cell r="Q48">
            <v>1028125</v>
          </cell>
          <cell r="R48" t="str">
            <v>SUCCESS</v>
          </cell>
        </row>
        <row r="49">
          <cell r="A49">
            <v>1277160091</v>
          </cell>
          <cell r="B49" t="str">
            <v>9716022FY</v>
          </cell>
          <cell r="C49" t="str">
            <v>MUHAMMAD SOFYAN SUSANTO</v>
          </cell>
          <cell r="D49">
            <v>97167841</v>
          </cell>
          <cell r="E49">
            <v>4120177176</v>
          </cell>
          <cell r="F49" t="str">
            <v>54</v>
          </cell>
          <cell r="G49" t="str">
            <v>Perjalanan Dinas Non-Diklat</v>
          </cell>
          <cell r="H49" t="str">
            <v>Kota Makassar - Kota Manado</v>
          </cell>
          <cell r="I49" t="str">
            <v>13/08/2025 - 16/08/2025</v>
          </cell>
          <cell r="J49" t="str">
            <v>4</v>
          </cell>
          <cell r="K49" t="str">
            <v>Flight One Way</v>
          </cell>
          <cell r="L49" t="str">
            <v>15-08-2025 09:39:27</v>
          </cell>
          <cell r="M49" t="str">
            <v>Batik Air Domestic MDC Sam Ratulangi ID-6743 - Batik Air Domestic UPG Hasanuddin ID-6743</v>
          </cell>
          <cell r="N49" t="str">
            <v>JTC DAL APP</v>
          </cell>
          <cell r="O49" t="str">
            <v>74112704</v>
          </cell>
          <cell r="P49" t="str">
            <v>16/08/2025 07:25:00 - 16/08/2025 20:10:00</v>
          </cell>
          <cell r="Q49">
            <v>2863400</v>
          </cell>
          <cell r="R49" t="str">
            <v>SUCCESS</v>
          </cell>
        </row>
        <row r="50">
          <cell r="A50">
            <v>1276678229</v>
          </cell>
          <cell r="B50" t="str">
            <v>9716022FY</v>
          </cell>
          <cell r="C50" t="str">
            <v>MUHAMMAD SOFYAN SUSANTO</v>
          </cell>
          <cell r="D50">
            <v>97167841</v>
          </cell>
          <cell r="E50">
            <v>4120177176</v>
          </cell>
          <cell r="F50" t="str">
            <v>54</v>
          </cell>
          <cell r="G50" t="str">
            <v>Perjalanan Dinas Non-Diklat</v>
          </cell>
          <cell r="H50" t="str">
            <v>Kota Makassar - Kota Manado</v>
          </cell>
          <cell r="I50" t="str">
            <v>13/08/2025 - 16/08/2025</v>
          </cell>
          <cell r="J50" t="str">
            <v>4</v>
          </cell>
          <cell r="K50" t="str">
            <v>Hotel</v>
          </cell>
          <cell r="L50" t="str">
            <v>13-08-2025 12:10:56</v>
          </cell>
          <cell r="M50" t="str">
            <v xml:space="preserve">Whiz Prime Hotel Megamas Manado - 3.0 Stars  - </v>
          </cell>
          <cell r="N50" t="str">
            <v>JTC DAL APP</v>
          </cell>
          <cell r="O50" t="str">
            <v>74112704</v>
          </cell>
          <cell r="P50" t="str">
            <v>13/08/2025 14:00:00 - 16/08/2025 12:00:00</v>
          </cell>
          <cell r="Q50">
            <v>1680000</v>
          </cell>
          <cell r="R50" t="str">
            <v>SUCCESS</v>
          </cell>
        </row>
        <row r="51">
          <cell r="A51">
            <v>1276643200</v>
          </cell>
          <cell r="B51" t="str">
            <v>8711130Z</v>
          </cell>
          <cell r="C51" t="str">
            <v>HADHI BAGUS SETYANTO</v>
          </cell>
          <cell r="D51">
            <v>87117602</v>
          </cell>
          <cell r="E51">
            <v>4120177180</v>
          </cell>
          <cell r="F51" t="str">
            <v>54</v>
          </cell>
          <cell r="G51" t="str">
            <v>Perjalanan Dinas Non-Diklat</v>
          </cell>
          <cell r="H51" t="str">
            <v>Kota Makassar - Kota Manado</v>
          </cell>
          <cell r="I51" t="str">
            <v>13/08/2025 - 16/08/2025</v>
          </cell>
          <cell r="J51" t="str">
            <v>4</v>
          </cell>
          <cell r="K51" t="str">
            <v>Flight One Way</v>
          </cell>
          <cell r="L51" t="str">
            <v>13-08-2025 09:54:27</v>
          </cell>
          <cell r="M51" t="str">
            <v>Batik Air Domestic UPG Hasanuddin ID-6762 - Batik Air Domestic MDC Sam Ratulangi ID-6762</v>
          </cell>
          <cell r="N51" t="str">
            <v>ASMAN MANJ BILLING</v>
          </cell>
          <cell r="O51" t="str">
            <v>7411141</v>
          </cell>
          <cell r="P51" t="str">
            <v>13/08/2025 15:10:00 - 13/08/2025 16:55:00</v>
          </cell>
          <cell r="Q51">
            <v>1857500</v>
          </cell>
          <cell r="R51" t="str">
            <v>SUCCESS</v>
          </cell>
        </row>
        <row r="52">
          <cell r="A52">
            <v>1277238315</v>
          </cell>
          <cell r="B52" t="str">
            <v>8711130Z</v>
          </cell>
          <cell r="C52" t="str">
            <v>HADHI BAGUS SETYANTO</v>
          </cell>
          <cell r="D52">
            <v>87117602</v>
          </cell>
          <cell r="E52">
            <v>4120177180</v>
          </cell>
          <cell r="F52" t="str">
            <v>54</v>
          </cell>
          <cell r="G52" t="str">
            <v>Perjalanan Dinas Non-Diklat</v>
          </cell>
          <cell r="H52" t="str">
            <v>Kota Makassar - Kota Manado</v>
          </cell>
          <cell r="I52" t="str">
            <v>13/08/2025 - 16/08/2025</v>
          </cell>
          <cell r="J52" t="str">
            <v>4</v>
          </cell>
          <cell r="K52" t="str">
            <v>Hotel</v>
          </cell>
          <cell r="L52" t="str">
            <v>15-08-2025 14:42:42</v>
          </cell>
          <cell r="M52" t="str">
            <v xml:space="preserve">Best Western The Lagoon Hotel - 4.0 Stars  - </v>
          </cell>
          <cell r="N52" t="str">
            <v>ASMAN MANJ BILLING</v>
          </cell>
          <cell r="O52" t="str">
            <v>7411141</v>
          </cell>
          <cell r="P52" t="str">
            <v>15/08/2025 14:00:00 - 16/08/2025 12:00:00</v>
          </cell>
          <cell r="Q52">
            <v>844110</v>
          </cell>
          <cell r="R52" t="str">
            <v>SUCCESS</v>
          </cell>
        </row>
        <row r="53">
          <cell r="A53">
            <v>1276884396</v>
          </cell>
          <cell r="B53" t="str">
            <v>8711130Z</v>
          </cell>
          <cell r="C53" t="str">
            <v>HADHI BAGUS SETYANTO</v>
          </cell>
          <cell r="D53">
            <v>87117602</v>
          </cell>
          <cell r="E53">
            <v>4120177180</v>
          </cell>
          <cell r="F53" t="str">
            <v>54</v>
          </cell>
          <cell r="G53" t="str">
            <v>Perjalanan Dinas Non-Diklat</v>
          </cell>
          <cell r="H53" t="str">
            <v>Kota Makassar - Kota Manado</v>
          </cell>
          <cell r="I53" t="str">
            <v>13/08/2025 - 16/08/2025</v>
          </cell>
          <cell r="J53" t="str">
            <v>4</v>
          </cell>
          <cell r="K53" t="str">
            <v>Hotel</v>
          </cell>
          <cell r="L53" t="str">
            <v>14-08-2025 07:07:30</v>
          </cell>
          <cell r="M53" t="str">
            <v xml:space="preserve">Best Western The Lagoon Hotel - 4.0 Stars  - </v>
          </cell>
          <cell r="N53" t="str">
            <v>ASMAN MANJ BILLING</v>
          </cell>
          <cell r="O53" t="str">
            <v>7411141</v>
          </cell>
          <cell r="P53" t="str">
            <v>14/08/2025 14:00:00 - 15/08/2025 12:00:00</v>
          </cell>
          <cell r="Q53">
            <v>913000</v>
          </cell>
          <cell r="R53" t="str">
            <v>SUCCESS</v>
          </cell>
        </row>
        <row r="54">
          <cell r="A54">
            <v>1276667588</v>
          </cell>
          <cell r="B54" t="str">
            <v>8711130Z</v>
          </cell>
          <cell r="C54" t="str">
            <v>HADHI BAGUS SETYANTO</v>
          </cell>
          <cell r="D54">
            <v>87117602</v>
          </cell>
          <cell r="E54">
            <v>4120177180</v>
          </cell>
          <cell r="F54" t="str">
            <v>54</v>
          </cell>
          <cell r="G54" t="str">
            <v>Perjalanan Dinas Non-Diklat</v>
          </cell>
          <cell r="H54" t="str">
            <v>Kota Makassar - Kota Manado</v>
          </cell>
          <cell r="I54" t="str">
            <v>13/08/2025 - 16/08/2025</v>
          </cell>
          <cell r="J54" t="str">
            <v>4</v>
          </cell>
          <cell r="K54" t="str">
            <v>Hotel</v>
          </cell>
          <cell r="L54" t="str">
            <v>13-08-2025 11:28:14</v>
          </cell>
          <cell r="M54" t="str">
            <v xml:space="preserve">Best Western The Lagoon Hotel - 4.0 Stars  - </v>
          </cell>
          <cell r="N54" t="str">
            <v>ASMAN MANJ BILLING</v>
          </cell>
          <cell r="O54" t="str">
            <v>7411141</v>
          </cell>
          <cell r="P54" t="str">
            <v>13/08/2025 14:00:00 - 14/08/2025 12:00:00</v>
          </cell>
          <cell r="Q54">
            <v>900000</v>
          </cell>
          <cell r="R54" t="str">
            <v>SUCCESS</v>
          </cell>
        </row>
        <row r="55">
          <cell r="A55">
            <v>1276539742</v>
          </cell>
          <cell r="B55" t="str">
            <v>9116832ZY</v>
          </cell>
          <cell r="C55" t="str">
            <v>MUJIONO YUNUS</v>
          </cell>
          <cell r="D55">
            <v>91167606</v>
          </cell>
          <cell r="E55">
            <v>4120177172</v>
          </cell>
          <cell r="F55" t="str">
            <v>54</v>
          </cell>
          <cell r="G55" t="str">
            <v>Perjalanan Dinas Non-Diklat</v>
          </cell>
          <cell r="H55" t="str">
            <v>Kota Palopo - Kota Manado</v>
          </cell>
          <cell r="I55" t="str">
            <v>13/08/2025 - 16/08/2025</v>
          </cell>
          <cell r="J55" t="str">
            <v>4</v>
          </cell>
          <cell r="K55" t="str">
            <v>Flight Round-Trip</v>
          </cell>
          <cell r="L55" t="str">
            <v>12-08-2025 19:42:24</v>
          </cell>
          <cell r="M55" t="str">
            <v>Lion Air Domestic UPG Hasanuddin JT-740 - Lion Air Domestic MDC Sam Ratulangi JT-740</v>
          </cell>
          <cell r="N55" t="str">
            <v>TL TE LIST</v>
          </cell>
          <cell r="O55" t="str">
            <v>7411262</v>
          </cell>
          <cell r="P55" t="str">
            <v>13/08/2025 15:20:00 - 13/08/2025 17:05:00</v>
          </cell>
          <cell r="Q55">
            <v>2988900</v>
          </cell>
          <cell r="R55" t="str">
            <v>FAILED</v>
          </cell>
        </row>
        <row r="56">
          <cell r="A56">
            <v>1276561552</v>
          </cell>
          <cell r="B56" t="str">
            <v>9116832ZY</v>
          </cell>
          <cell r="C56" t="str">
            <v>MUJIONO YUNUS</v>
          </cell>
          <cell r="D56">
            <v>91167606</v>
          </cell>
          <cell r="E56">
            <v>4120177172</v>
          </cell>
          <cell r="F56" t="str">
            <v>54</v>
          </cell>
          <cell r="G56" t="str">
            <v>Perjalanan Dinas Non-Diklat</v>
          </cell>
          <cell r="H56" t="str">
            <v>Kota Palopo - Kota Manado</v>
          </cell>
          <cell r="I56" t="str">
            <v>13/08/2025 - 16/08/2025</v>
          </cell>
          <cell r="J56" t="str">
            <v>4</v>
          </cell>
          <cell r="K56" t="str">
            <v>Flight Round-Trip</v>
          </cell>
          <cell r="L56" t="str">
            <v>12-08-2025 21:10:25</v>
          </cell>
          <cell r="M56" t="str">
            <v>Lion Air Domestic UPG Hasanuddin JT-740 - Lion Air Domestic MDC Sam Ratulangi JT-740</v>
          </cell>
          <cell r="N56" t="str">
            <v>TL TE LIST</v>
          </cell>
          <cell r="O56" t="str">
            <v>7411262</v>
          </cell>
          <cell r="P56" t="str">
            <v>13/08/2025 15:20:00 - 13/08/2025 17:05:00</v>
          </cell>
          <cell r="Q56">
            <v>2922300</v>
          </cell>
          <cell r="R56" t="str">
            <v>SUCCESS</v>
          </cell>
        </row>
        <row r="57">
          <cell r="A57">
            <v>1276544716</v>
          </cell>
          <cell r="B57" t="str">
            <v>9116832ZY</v>
          </cell>
          <cell r="C57" t="str">
            <v>MUJIONO YUNUS</v>
          </cell>
          <cell r="D57">
            <v>91167606</v>
          </cell>
          <cell r="E57">
            <v>4120177172</v>
          </cell>
          <cell r="F57" t="str">
            <v>54</v>
          </cell>
          <cell r="G57" t="str">
            <v>Perjalanan Dinas Non-Diklat</v>
          </cell>
          <cell r="H57" t="str">
            <v>Kota Palopo - Kota Manado</v>
          </cell>
          <cell r="I57" t="str">
            <v>13/08/2025 - 16/08/2025</v>
          </cell>
          <cell r="J57" t="str">
            <v>4</v>
          </cell>
          <cell r="K57" t="str">
            <v>Hotel</v>
          </cell>
          <cell r="L57" t="str">
            <v>12-08-2025 20:02:24</v>
          </cell>
          <cell r="M57" t="str">
            <v xml:space="preserve">Luwansa Hotel and Convention Center Manado - 4.0 Stars  - </v>
          </cell>
          <cell r="N57" t="str">
            <v>TL TE LIST</v>
          </cell>
          <cell r="O57" t="str">
            <v>7411262</v>
          </cell>
          <cell r="P57" t="str">
            <v>13/08/2025 14:00:00 - 16/08/2025 12:00:00</v>
          </cell>
          <cell r="Q57">
            <v>2100000</v>
          </cell>
          <cell r="R57" t="str">
            <v>SUCCESS</v>
          </cell>
        </row>
        <row r="58">
          <cell r="A58">
            <v>1276533962</v>
          </cell>
          <cell r="B58" t="str">
            <v>9720553ZY</v>
          </cell>
          <cell r="C58" t="str">
            <v>MOH BAYU AJI SAMUDRO</v>
          </cell>
          <cell r="D58">
            <v>97207604</v>
          </cell>
          <cell r="E58">
            <v>4120177161</v>
          </cell>
          <cell r="F58" t="str">
            <v>54</v>
          </cell>
          <cell r="G58" t="str">
            <v>Perjalanan Dinas Non-Diklat</v>
          </cell>
          <cell r="H58" t="str">
            <v>Kab. Polewali Mandar - Kab. Mamuju</v>
          </cell>
          <cell r="I58" t="str">
            <v>12/08/2025 - 15/08/2025</v>
          </cell>
          <cell r="J58" t="str">
            <v>4</v>
          </cell>
          <cell r="K58" t="str">
            <v>Hotel</v>
          </cell>
          <cell r="L58" t="str">
            <v>12-08-2025 19:18:24</v>
          </cell>
          <cell r="M58" t="str">
            <v xml:space="preserve">LUKE'S HOTEL - 1.0 Stars  - </v>
          </cell>
          <cell r="N58" t="str">
            <v>TL TEKNIK LAY GAN</v>
          </cell>
          <cell r="O58" t="str">
            <v>7409656</v>
          </cell>
          <cell r="P58" t="str">
            <v>12/08/2025 14:00:00 - 13/08/2025 12:00:00</v>
          </cell>
          <cell r="Q58">
            <v>345000</v>
          </cell>
          <cell r="R58" t="str">
            <v>SUCCESS</v>
          </cell>
        </row>
        <row r="59">
          <cell r="A59">
            <v>1276457758</v>
          </cell>
          <cell r="B59" t="str">
            <v>7293035F</v>
          </cell>
          <cell r="C59" t="str">
            <v>BASO NURAHMAN</v>
          </cell>
          <cell r="D59">
            <v>72937611</v>
          </cell>
          <cell r="E59">
            <v>4120177158</v>
          </cell>
          <cell r="F59" t="str">
            <v>54</v>
          </cell>
          <cell r="G59" t="str">
            <v>Perjalanan Dinas Non-Diklat</v>
          </cell>
          <cell r="H59" t="str">
            <v>Kota Makassar - Jakarta Selatan</v>
          </cell>
          <cell r="I59" t="str">
            <v>13/08/2025 - 14/08/2025</v>
          </cell>
          <cell r="J59" t="str">
            <v>2</v>
          </cell>
          <cell r="K59" t="str">
            <v>Flight One Way</v>
          </cell>
          <cell r="L59" t="str">
            <v>12-08-2025 14:03:36</v>
          </cell>
          <cell r="M59" t="str">
            <v>Garuda Indonesia Domestic UPG Hasanuddin GA-611 - Garuda Indonesia  CGK Soekarno Hatta International Airport GA-611</v>
          </cell>
          <cell r="N59" t="str">
            <v>MAN REN PNGUSHAN</v>
          </cell>
          <cell r="O59" t="str">
            <v>7412111</v>
          </cell>
          <cell r="P59" t="str">
            <v>13/08/2025 11:20:00 - 13/08/2025 12:45:00</v>
          </cell>
          <cell r="Q59">
            <v>1840300</v>
          </cell>
          <cell r="R59" t="str">
            <v>SUCCESS</v>
          </cell>
        </row>
        <row r="60">
          <cell r="A60">
            <v>1276907445</v>
          </cell>
          <cell r="B60" t="str">
            <v>7293035F</v>
          </cell>
          <cell r="C60" t="str">
            <v>BASO NURAHMAN</v>
          </cell>
          <cell r="D60">
            <v>72937611</v>
          </cell>
          <cell r="E60">
            <v>4120177158</v>
          </cell>
          <cell r="F60" t="str">
            <v>54</v>
          </cell>
          <cell r="G60" t="str">
            <v>Perjalanan Dinas Non-Diklat</v>
          </cell>
          <cell r="H60" t="str">
            <v>Kota Makassar - Jakarta Selatan</v>
          </cell>
          <cell r="I60" t="str">
            <v>13/08/2025 - 14/08/2025</v>
          </cell>
          <cell r="J60" t="str">
            <v>2</v>
          </cell>
          <cell r="K60" t="str">
            <v>Flight One Way</v>
          </cell>
          <cell r="L60" t="str">
            <v>14-08-2025 09:27:29</v>
          </cell>
          <cell r="M60" t="str">
            <v>Batik Air 2D CGK Soekarno Hatta International Airport ID-6182 - Batik Air Domestic UPG Hasanuddin ID-6182</v>
          </cell>
          <cell r="N60" t="str">
            <v>MAN REN PNGUSHAN</v>
          </cell>
          <cell r="O60" t="str">
            <v>7412111</v>
          </cell>
          <cell r="P60" t="str">
            <v>14/08/2025 23:00:00 - 15/08/2025 02:20:00</v>
          </cell>
          <cell r="Q60">
            <v>1039600</v>
          </cell>
          <cell r="R60" t="str">
            <v>SUCCESS</v>
          </cell>
        </row>
        <row r="61">
          <cell r="A61">
            <v>1276460219</v>
          </cell>
          <cell r="B61" t="str">
            <v>7293035F</v>
          </cell>
          <cell r="C61" t="str">
            <v>BASO NURAHMAN</v>
          </cell>
          <cell r="D61">
            <v>72937611</v>
          </cell>
          <cell r="E61">
            <v>4120177158</v>
          </cell>
          <cell r="F61" t="str">
            <v>54</v>
          </cell>
          <cell r="G61" t="str">
            <v>Perjalanan Dinas Non-Diklat</v>
          </cell>
          <cell r="H61" t="str">
            <v>Kota Makassar - Jakarta Selatan</v>
          </cell>
          <cell r="I61" t="str">
            <v>13/08/2025 - 14/08/2025</v>
          </cell>
          <cell r="J61" t="str">
            <v>2</v>
          </cell>
          <cell r="K61" t="str">
            <v>Hotel</v>
          </cell>
          <cell r="L61" t="str">
            <v>12-08-2025 14:13:12</v>
          </cell>
          <cell r="M61" t="str">
            <v xml:space="preserve">Ambhara Hotel - 4.0 Stars  - </v>
          </cell>
          <cell r="N61" t="str">
            <v>MAN REN PNGUSHAN</v>
          </cell>
          <cell r="O61" t="str">
            <v>7412111</v>
          </cell>
          <cell r="P61" t="str">
            <v>13/08/2025 14:00:00 - 14/08/2025 12:00:00</v>
          </cell>
          <cell r="Q61">
            <v>724680</v>
          </cell>
          <cell r="R61" t="str">
            <v>SUCCESS</v>
          </cell>
        </row>
        <row r="62">
          <cell r="A62">
            <v>1276881539</v>
          </cell>
          <cell r="B62" t="str">
            <v>8916012ZY</v>
          </cell>
          <cell r="C62" t="str">
            <v>RACHMAT RAMLI</v>
          </cell>
          <cell r="D62">
            <v>89160002</v>
          </cell>
          <cell r="E62">
            <v>4120177146</v>
          </cell>
          <cell r="F62" t="str">
            <v>54</v>
          </cell>
          <cell r="G62" t="str">
            <v>Perjalanan Dinas Non-Diklat</v>
          </cell>
          <cell r="H62" t="str">
            <v>Kota Makassar - Kota Mataram</v>
          </cell>
          <cell r="I62" t="str">
            <v>13/08/2025 - 16/08/2025</v>
          </cell>
          <cell r="J62" t="str">
            <v>4</v>
          </cell>
          <cell r="K62" t="str">
            <v>Hotel</v>
          </cell>
          <cell r="L62" t="str">
            <v>14-08-2025 06:40:37</v>
          </cell>
          <cell r="M62" t="str">
            <v xml:space="preserve">Golden Palace Hotel Lombok - 4.0 Stars  - </v>
          </cell>
          <cell r="N62" t="str">
            <v>OF LOLA KONS DIST</v>
          </cell>
          <cell r="O62" t="str">
            <v>7412000</v>
          </cell>
          <cell r="P62" t="str">
            <v>14/08/2025 14:00:00 - 15/08/2025 12:00:00</v>
          </cell>
          <cell r="Q62">
            <v>800000</v>
          </cell>
          <cell r="R62" t="str">
            <v>SUCCESS</v>
          </cell>
        </row>
        <row r="63">
          <cell r="A63">
            <v>1277059543</v>
          </cell>
          <cell r="B63" t="str">
            <v>8916012ZY</v>
          </cell>
          <cell r="C63" t="str">
            <v>RACHMAT RAMLI</v>
          </cell>
          <cell r="D63">
            <v>89160002</v>
          </cell>
          <cell r="E63">
            <v>4120177146</v>
          </cell>
          <cell r="F63" t="str">
            <v>54</v>
          </cell>
          <cell r="G63" t="str">
            <v>Perjalanan Dinas Non-Diklat</v>
          </cell>
          <cell r="H63" t="str">
            <v>Kota Makassar - Kota Mataram</v>
          </cell>
          <cell r="I63" t="str">
            <v>13/08/2025 - 16/08/2025</v>
          </cell>
          <cell r="J63" t="str">
            <v>4</v>
          </cell>
          <cell r="K63" t="str">
            <v>Flight One Way</v>
          </cell>
          <cell r="L63" t="str">
            <v>14-08-2025 19:50:50</v>
          </cell>
          <cell r="M63" t="str">
            <v>Lion Air Domestic LOP Lombok Praya International Airport JT-840 - Lion Air Domestic UPG Hasanuddin JT-840</v>
          </cell>
          <cell r="N63" t="str">
            <v>OF LOLA KONS DIST</v>
          </cell>
          <cell r="O63" t="str">
            <v>7412000</v>
          </cell>
          <cell r="P63" t="str">
            <v>15/08/2025 17:00:00 - 15/08/2025 18:15:00</v>
          </cell>
          <cell r="Q63">
            <v>1247500</v>
          </cell>
          <cell r="R63" t="str">
            <v>SUCCESS</v>
          </cell>
        </row>
        <row r="64">
          <cell r="A64">
            <v>1276499369</v>
          </cell>
          <cell r="B64" t="str">
            <v>8916012ZY</v>
          </cell>
          <cell r="C64" t="str">
            <v>RACHMAT RAMLI</v>
          </cell>
          <cell r="D64">
            <v>89160002</v>
          </cell>
          <cell r="E64">
            <v>4120177146</v>
          </cell>
          <cell r="F64" t="str">
            <v>54</v>
          </cell>
          <cell r="G64" t="str">
            <v>Perjalanan Dinas Non-Diklat</v>
          </cell>
          <cell r="H64" t="str">
            <v>Kota Makassar - Kota Mataram</v>
          </cell>
          <cell r="I64" t="str">
            <v>13/08/2025 - 16/08/2025</v>
          </cell>
          <cell r="J64" t="str">
            <v>4</v>
          </cell>
          <cell r="K64" t="str">
            <v>Flight One Way</v>
          </cell>
          <cell r="L64" t="str">
            <v>12-08-2025 16:51:20</v>
          </cell>
          <cell r="M64" t="str">
            <v>Lion Air Domestic UPG Hasanuddin JT-707 - Lion Air Domestic LOP Lombok Praya International Airport JT-707</v>
          </cell>
          <cell r="N64" t="str">
            <v>OF LOLA KONS DIST</v>
          </cell>
          <cell r="O64" t="str">
            <v>7412000</v>
          </cell>
          <cell r="P64" t="str">
            <v>13/08/2025 13:30:00 - 13/08/2025 17:15:00</v>
          </cell>
          <cell r="Q64">
            <v>1964000</v>
          </cell>
          <cell r="R64" t="str">
            <v>SUCCESS</v>
          </cell>
        </row>
        <row r="65">
          <cell r="A65">
            <v>1276767943</v>
          </cell>
          <cell r="B65" t="str">
            <v>8916012ZY</v>
          </cell>
          <cell r="C65" t="str">
            <v>RACHMAT RAMLI</v>
          </cell>
          <cell r="D65">
            <v>89160002</v>
          </cell>
          <cell r="E65">
            <v>4120177146</v>
          </cell>
          <cell r="F65" t="str">
            <v>54</v>
          </cell>
          <cell r="G65" t="str">
            <v>Perjalanan Dinas Non-Diklat</v>
          </cell>
          <cell r="H65" t="str">
            <v>Kota Makassar - Kota Mataram</v>
          </cell>
          <cell r="I65" t="str">
            <v>13/08/2025 - 16/08/2025</v>
          </cell>
          <cell r="J65" t="str">
            <v>4</v>
          </cell>
          <cell r="K65" t="str">
            <v>Hotel</v>
          </cell>
          <cell r="L65" t="str">
            <v>13-08-2025 16:43:12</v>
          </cell>
          <cell r="M65" t="str">
            <v xml:space="preserve">Golden Palace Hotel Lombok - 4.0 Stars  - </v>
          </cell>
          <cell r="N65" t="str">
            <v>OF LOLA KONS DIST</v>
          </cell>
          <cell r="O65" t="str">
            <v>7412000</v>
          </cell>
          <cell r="P65" t="str">
            <v>13/08/2025 14:00:00 - 14/08/2025 12:00:00</v>
          </cell>
          <cell r="Q65">
            <v>800000</v>
          </cell>
          <cell r="R65" t="str">
            <v>SUCCESS</v>
          </cell>
        </row>
        <row r="66">
          <cell r="A66">
            <v>1276981890</v>
          </cell>
          <cell r="B66" t="str">
            <v>8908081F</v>
          </cell>
          <cell r="C66" t="str">
            <v>HESFIALWAN B</v>
          </cell>
          <cell r="D66">
            <v>89087601</v>
          </cell>
          <cell r="E66">
            <v>4120177156</v>
          </cell>
          <cell r="F66" t="str">
            <v>54</v>
          </cell>
          <cell r="G66" t="str">
            <v>Perjalanan Dinas Non-Diklat</v>
          </cell>
          <cell r="H66" t="str">
            <v>Kota Mataram - Kota Mataram</v>
          </cell>
          <cell r="I66" t="str">
            <v>13/08/2025 - 16/08/2025</v>
          </cell>
          <cell r="J66" t="str">
            <v>4</v>
          </cell>
          <cell r="K66" t="str">
            <v>Flight One Way</v>
          </cell>
          <cell r="L66" t="str">
            <v>14-08-2025 14:24:07</v>
          </cell>
          <cell r="M66" t="str">
            <v>Lion Air Domestic LOP Lombok Praya International Airport JT-840 - Lion Air Domestic UPG Hasanuddin JT-840</v>
          </cell>
          <cell r="N66" t="str">
            <v>ASMAN LOLA ASET DIST</v>
          </cell>
          <cell r="O66" t="str">
            <v>7412000</v>
          </cell>
          <cell r="P66" t="str">
            <v>15/08/2025 17:00:00 - 15/08/2025 18:15:00</v>
          </cell>
          <cell r="Q66">
            <v>1247500</v>
          </cell>
          <cell r="R66" t="str">
            <v>SUCCESS</v>
          </cell>
        </row>
        <row r="67">
          <cell r="A67">
            <v>1276766085</v>
          </cell>
          <cell r="B67" t="str">
            <v>8908081F</v>
          </cell>
          <cell r="C67" t="str">
            <v>HESFIALWAN B</v>
          </cell>
          <cell r="D67">
            <v>89087601</v>
          </cell>
          <cell r="E67">
            <v>4120177156</v>
          </cell>
          <cell r="F67" t="str">
            <v>54</v>
          </cell>
          <cell r="G67" t="str">
            <v>Perjalanan Dinas Non-Diklat</v>
          </cell>
          <cell r="H67" t="str">
            <v>Kota Mataram - Kota Mataram</v>
          </cell>
          <cell r="I67" t="str">
            <v>13/08/2025 - 16/08/2025</v>
          </cell>
          <cell r="J67" t="str">
            <v>4</v>
          </cell>
          <cell r="K67" t="str">
            <v>Hotel</v>
          </cell>
          <cell r="L67" t="str">
            <v>13-08-2025 16:35:30</v>
          </cell>
          <cell r="M67" t="str">
            <v xml:space="preserve">Golden Palace Hotel Lombok - 4.0 Stars  - </v>
          </cell>
          <cell r="N67" t="str">
            <v>ASMAN LOLA ASET DIST</v>
          </cell>
          <cell r="O67" t="str">
            <v>7412000</v>
          </cell>
          <cell r="P67" t="str">
            <v>13/08/2025 14:00:00 - 16/08/2025 12:00:00</v>
          </cell>
          <cell r="Q67">
            <v>2149000</v>
          </cell>
          <cell r="R67" t="str">
            <v>SUCCESS</v>
          </cell>
        </row>
        <row r="68">
          <cell r="A68">
            <v>1276498445</v>
          </cell>
          <cell r="B68" t="str">
            <v>8908081F</v>
          </cell>
          <cell r="C68" t="str">
            <v>HESFIALWAN B</v>
          </cell>
          <cell r="D68">
            <v>89087601</v>
          </cell>
          <cell r="E68">
            <v>4120177156</v>
          </cell>
          <cell r="F68" t="str">
            <v>54</v>
          </cell>
          <cell r="G68" t="str">
            <v>Perjalanan Dinas Non-Diklat</v>
          </cell>
          <cell r="H68" t="str">
            <v>Kota Mataram - Kota Mataram</v>
          </cell>
          <cell r="I68" t="str">
            <v>13/08/2025 - 16/08/2025</v>
          </cell>
          <cell r="J68" t="str">
            <v>4</v>
          </cell>
          <cell r="K68" t="str">
            <v>Flight One Way</v>
          </cell>
          <cell r="L68" t="str">
            <v>12-08-2025 16:47:09</v>
          </cell>
          <cell r="M68" t="str">
            <v>Lion Air Domestic UPG Hasanuddin JT-707 - Lion Air Domestic LOP Lombok Praya International Airport JT-707</v>
          </cell>
          <cell r="N68" t="str">
            <v>ASMAN LOLA ASET DIST</v>
          </cell>
          <cell r="O68" t="str">
            <v>7412000</v>
          </cell>
          <cell r="P68" t="str">
            <v>13/08/2025 13:30:00 - 13/08/2025 17:15:00</v>
          </cell>
          <cell r="Q68">
            <v>1964000</v>
          </cell>
          <cell r="R68" t="str">
            <v>SUCCESS</v>
          </cell>
        </row>
        <row r="69">
          <cell r="A69">
            <v>1276446116</v>
          </cell>
          <cell r="B69" t="str">
            <v>7293060F</v>
          </cell>
          <cell r="C69" t="str">
            <v xml:space="preserve">LALLA </v>
          </cell>
          <cell r="D69">
            <v>72937616</v>
          </cell>
          <cell r="E69">
            <v>4120177155</v>
          </cell>
          <cell r="F69" t="str">
            <v>54</v>
          </cell>
          <cell r="G69" t="str">
            <v>Perjalanan Dinas Non-Diklat</v>
          </cell>
          <cell r="H69" t="str">
            <v>Kota Makassar - Jakarta Selatan</v>
          </cell>
          <cell r="I69" t="str">
            <v>13/08/2025 - 15/08/2025</v>
          </cell>
          <cell r="J69" t="str">
            <v>3</v>
          </cell>
          <cell r="K69" t="str">
            <v>Flight One Way</v>
          </cell>
          <cell r="L69" t="str">
            <v>12-08-2025 13:18:39</v>
          </cell>
          <cell r="M69" t="str">
            <v>Garuda Indonesia  CGK Soekarno Hatta International Airport GA-640 - Garuda Indonesia Domestic UPG Hasanuddin GA-640</v>
          </cell>
          <cell r="N69" t="str">
            <v>MUP UP2D (MAKASSAR)</v>
          </cell>
          <cell r="O69" t="str">
            <v>7412340</v>
          </cell>
          <cell r="P69" t="str">
            <v>15/08/2025 07:55:00 - 15/08/2025 11:30:00</v>
          </cell>
          <cell r="Q69">
            <v>1837700</v>
          </cell>
          <cell r="R69" t="str">
            <v>SUCCESS</v>
          </cell>
        </row>
        <row r="70">
          <cell r="A70">
            <v>1276441687</v>
          </cell>
          <cell r="B70" t="str">
            <v>7293060F</v>
          </cell>
          <cell r="C70" t="str">
            <v xml:space="preserve">LALLA </v>
          </cell>
          <cell r="D70">
            <v>72937616</v>
          </cell>
          <cell r="E70">
            <v>4120177155</v>
          </cell>
          <cell r="F70" t="str">
            <v>54</v>
          </cell>
          <cell r="G70" t="str">
            <v>Perjalanan Dinas Non-Diklat</v>
          </cell>
          <cell r="H70" t="str">
            <v>Kota Makassar - Jakarta Selatan</v>
          </cell>
          <cell r="I70" t="str">
            <v>13/08/2025 - 15/08/2025</v>
          </cell>
          <cell r="J70" t="str">
            <v>3</v>
          </cell>
          <cell r="K70" t="str">
            <v>Flight One Way</v>
          </cell>
          <cell r="L70" t="str">
            <v>12-08-2025 13:00:16</v>
          </cell>
          <cell r="M70" t="str">
            <v>Garuda Indonesia Domestic UPG Hasanuddin GA-611 - Garuda Indonesia  CGK Soekarno Hatta International Airport GA-611</v>
          </cell>
          <cell r="N70" t="str">
            <v>MUP UP2D (MAKASSAR)</v>
          </cell>
          <cell r="O70" t="str">
            <v>7412340</v>
          </cell>
          <cell r="P70" t="str">
            <v>13/08/2025 11:20:00 - 13/08/2025 12:45:00</v>
          </cell>
          <cell r="Q70">
            <v>1840300</v>
          </cell>
          <cell r="R70" t="str">
            <v>SUCCESS</v>
          </cell>
        </row>
        <row r="71">
          <cell r="A71">
            <v>1276441395</v>
          </cell>
          <cell r="B71" t="str">
            <v>7293060F</v>
          </cell>
          <cell r="C71" t="str">
            <v xml:space="preserve">LALLA </v>
          </cell>
          <cell r="D71">
            <v>72937616</v>
          </cell>
          <cell r="E71">
            <v>4120177155</v>
          </cell>
          <cell r="F71" t="str">
            <v>54</v>
          </cell>
          <cell r="G71" t="str">
            <v>Perjalanan Dinas Non-Diklat</v>
          </cell>
          <cell r="H71" t="str">
            <v>Kota Makassar - Jakarta Selatan</v>
          </cell>
          <cell r="I71" t="str">
            <v>13/08/2025 - 15/08/2025</v>
          </cell>
          <cell r="J71" t="str">
            <v>3</v>
          </cell>
          <cell r="K71" t="str">
            <v>Hotel</v>
          </cell>
          <cell r="L71" t="str">
            <v>12-08-2025 12:59:05</v>
          </cell>
          <cell r="M71" t="str">
            <v xml:space="preserve">Hotel GranDhika Iskandarsyah - 4.0 Stars  - </v>
          </cell>
          <cell r="N71" t="str">
            <v>MUP UP2D (MAKASSAR)</v>
          </cell>
          <cell r="O71" t="str">
            <v>7412340</v>
          </cell>
          <cell r="P71" t="str">
            <v>13/08/2025 14:00:00 - 15/08/2025 12:00:00</v>
          </cell>
          <cell r="Q71">
            <v>2668000</v>
          </cell>
          <cell r="R71" t="str">
            <v>SUCCESS</v>
          </cell>
        </row>
        <row r="72">
          <cell r="A72">
            <v>1276437849</v>
          </cell>
          <cell r="B72" t="str">
            <v>8406680Z</v>
          </cell>
          <cell r="C72" t="str">
            <v>EKO HANGGORO WICAKSONO</v>
          </cell>
          <cell r="D72">
            <v>84067601</v>
          </cell>
          <cell r="E72">
            <v>4120177149</v>
          </cell>
          <cell r="F72" t="str">
            <v>54</v>
          </cell>
          <cell r="G72" t="str">
            <v>Perjalanan Dinas Non-Diklat</v>
          </cell>
          <cell r="H72" t="str">
            <v>Kota Makassar - Jakarta Pusat</v>
          </cell>
          <cell r="I72" t="str">
            <v>13/08/2025 - 15/08/2025</v>
          </cell>
          <cell r="J72" t="str">
            <v>3</v>
          </cell>
          <cell r="K72" t="str">
            <v>Flight Round-Trip</v>
          </cell>
          <cell r="L72" t="str">
            <v>12-08-2025 12:45:10</v>
          </cell>
          <cell r="M72" t="str">
            <v>Garuda Indonesia Domestic UPG Hasanuddin GA-611 - Garuda Indonesia  CGK Soekarno Hatta International Airport GA-611</v>
          </cell>
          <cell r="N72" t="str">
            <v>ASMAN REN</v>
          </cell>
          <cell r="O72" t="str">
            <v>7412340</v>
          </cell>
          <cell r="P72" t="str">
            <v>13/08/2025 11:20:00 - 13/08/2025 12:45:00</v>
          </cell>
          <cell r="Q72">
            <v>3210000</v>
          </cell>
          <cell r="R72" t="str">
            <v>SUCCESS</v>
          </cell>
        </row>
        <row r="73">
          <cell r="A73">
            <v>1276441941</v>
          </cell>
          <cell r="B73" t="str">
            <v>8406680Z</v>
          </cell>
          <cell r="C73" t="str">
            <v>EKO HANGGORO WICAKSONO</v>
          </cell>
          <cell r="D73">
            <v>84067601</v>
          </cell>
          <cell r="E73">
            <v>4120177149</v>
          </cell>
          <cell r="F73" t="str">
            <v>54</v>
          </cell>
          <cell r="G73" t="str">
            <v>Perjalanan Dinas Non-Diklat</v>
          </cell>
          <cell r="H73" t="str">
            <v>Kota Makassar - Jakarta Pusat</v>
          </cell>
          <cell r="I73" t="str">
            <v>13/08/2025 - 15/08/2025</v>
          </cell>
          <cell r="J73" t="str">
            <v>3</v>
          </cell>
          <cell r="K73" t="str">
            <v>Hotel</v>
          </cell>
          <cell r="L73" t="str">
            <v>12-08-2025 13:01:22</v>
          </cell>
          <cell r="M73" t="str">
            <v xml:space="preserve">SOTIS Hotel Falatehan, Blok M, Jakarta - 3.0 Stars  - </v>
          </cell>
          <cell r="N73" t="str">
            <v>ASMAN REN</v>
          </cell>
          <cell r="O73" t="str">
            <v>7412340</v>
          </cell>
          <cell r="P73" t="str">
            <v>13/08/2025 14:00:00 - 15/08/2025 12:00:00</v>
          </cell>
          <cell r="Q73">
            <v>1632558</v>
          </cell>
          <cell r="R73" t="str">
            <v>SUCCESS</v>
          </cell>
        </row>
        <row r="74">
          <cell r="A74">
            <v>1276459423</v>
          </cell>
          <cell r="B74" t="str">
            <v>7493036F</v>
          </cell>
          <cell r="C74" t="str">
            <v xml:space="preserve">ARMAN </v>
          </cell>
          <cell r="D74">
            <v>74937601</v>
          </cell>
          <cell r="E74">
            <v>4120177148</v>
          </cell>
          <cell r="F74" t="str">
            <v>54</v>
          </cell>
          <cell r="G74" t="str">
            <v>Perjalanan Dinas Non-Diklat</v>
          </cell>
          <cell r="H74" t="str">
            <v>Kota Makassar - Jakarta Selatan</v>
          </cell>
          <cell r="I74" t="str">
            <v>13/08/2025 - 15/08/2025</v>
          </cell>
          <cell r="J74" t="str">
            <v>3</v>
          </cell>
          <cell r="K74" t="str">
            <v>Flight One Way</v>
          </cell>
          <cell r="L74" t="str">
            <v>12-08-2025 14:10:07</v>
          </cell>
          <cell r="M74" t="str">
            <v>Pelita Air  UPG Hasanuddin IP-803 - Pelita Air 3 CGK Soekarno Hatta International Airport IP-803</v>
          </cell>
          <cell r="N74" t="str">
            <v>MAN K3L DAN KAM</v>
          </cell>
          <cell r="O74" t="str">
            <v>7412000</v>
          </cell>
          <cell r="P74" t="str">
            <v>13/08/2025 15:35:00 - 13/08/2025 16:55:00</v>
          </cell>
          <cell r="Q74">
            <v>1284000</v>
          </cell>
          <cell r="R74" t="str">
            <v>SUCCESS</v>
          </cell>
        </row>
        <row r="75">
          <cell r="A75">
            <v>1276461678</v>
          </cell>
          <cell r="B75" t="str">
            <v>7493036F</v>
          </cell>
          <cell r="C75" t="str">
            <v xml:space="preserve">ARMAN </v>
          </cell>
          <cell r="D75">
            <v>74937601</v>
          </cell>
          <cell r="E75">
            <v>4120177148</v>
          </cell>
          <cell r="F75" t="str">
            <v>54</v>
          </cell>
          <cell r="G75" t="str">
            <v>Perjalanan Dinas Non-Diklat</v>
          </cell>
          <cell r="H75" t="str">
            <v>Kota Makassar - Jakarta Selatan</v>
          </cell>
          <cell r="I75" t="str">
            <v>13/08/2025 - 15/08/2025</v>
          </cell>
          <cell r="J75" t="str">
            <v>3</v>
          </cell>
          <cell r="K75" t="str">
            <v>Hotel</v>
          </cell>
          <cell r="L75" t="str">
            <v>12-08-2025 14:18:46</v>
          </cell>
          <cell r="M75" t="str">
            <v xml:space="preserve">Hotel GranDhika Iskandarsyah - 4.0 Stars  - </v>
          </cell>
          <cell r="N75" t="str">
            <v>MAN K3L DAN KAM</v>
          </cell>
          <cell r="O75" t="str">
            <v>7412000</v>
          </cell>
          <cell r="P75" t="str">
            <v>13/08/2025 14:00:00 - 15/08/2025 12:00:00</v>
          </cell>
          <cell r="Q75">
            <v>2668000</v>
          </cell>
          <cell r="R75" t="str">
            <v>SUCCESS</v>
          </cell>
        </row>
        <row r="76">
          <cell r="A76">
            <v>1277078103</v>
          </cell>
          <cell r="B76" t="str">
            <v>7493036F</v>
          </cell>
          <cell r="C76" t="str">
            <v xml:space="preserve">ARMAN </v>
          </cell>
          <cell r="D76">
            <v>74937601</v>
          </cell>
          <cell r="E76">
            <v>4120177148</v>
          </cell>
          <cell r="F76" t="str">
            <v>54</v>
          </cell>
          <cell r="G76" t="str">
            <v>Perjalanan Dinas Non-Diklat</v>
          </cell>
          <cell r="H76" t="str">
            <v>Kota Makassar - Jakarta Selatan</v>
          </cell>
          <cell r="I76" t="str">
            <v>13/08/2025 - 15/08/2025</v>
          </cell>
          <cell r="J76" t="str">
            <v>3</v>
          </cell>
          <cell r="K76" t="str">
            <v>Flight One Way</v>
          </cell>
          <cell r="L76" t="str">
            <v>14-08-2025 21:05:31</v>
          </cell>
          <cell r="M76" t="str">
            <v>Pelita Air 3 CGK Soekarno Hatta International Airport IP-500 - Pelita Air  UPG Hasanuddin IP-500</v>
          </cell>
          <cell r="N76" t="str">
            <v>MAN K3L DAN KAM</v>
          </cell>
          <cell r="O76" t="str">
            <v>7412000</v>
          </cell>
          <cell r="P76" t="str">
            <v>15/08/2025 23:45:00 - 16/08/2025 03:10:00</v>
          </cell>
          <cell r="Q76">
            <v>1333000</v>
          </cell>
          <cell r="R76" t="str">
            <v>SUCCESS</v>
          </cell>
        </row>
        <row r="77">
          <cell r="A77">
            <v>1276498801</v>
          </cell>
          <cell r="B77" t="str">
            <v>90112440Z</v>
          </cell>
          <cell r="C77" t="str">
            <v>MUHAMMAD YUSRA YUSUF</v>
          </cell>
          <cell r="D77">
            <v>90117620</v>
          </cell>
          <cell r="E77">
            <v>4120177147</v>
          </cell>
          <cell r="F77" t="str">
            <v>54</v>
          </cell>
          <cell r="G77" t="str">
            <v>Perjalanan Dinas Non-Diklat</v>
          </cell>
          <cell r="H77" t="str">
            <v>Kab. Mamuju - Kota Makassar</v>
          </cell>
          <cell r="I77" t="str">
            <v>12/08/2025 - 15/08/2025</v>
          </cell>
          <cell r="J77" t="str">
            <v>4</v>
          </cell>
          <cell r="K77" t="str">
            <v>Hotel</v>
          </cell>
          <cell r="L77" t="str">
            <v>12-08-2025 16:48:37</v>
          </cell>
          <cell r="M77" t="str">
            <v xml:space="preserve">Aston Inn Pantai Losari Makassar - 3.0 Stars  - </v>
          </cell>
          <cell r="N77" t="str">
            <v>TL PDKB</v>
          </cell>
          <cell r="O77" t="str">
            <v>7409291</v>
          </cell>
          <cell r="P77" t="str">
            <v>12/08/2025 14:00:00 - 15/08/2025 12:00:00</v>
          </cell>
          <cell r="Q77">
            <v>2494140</v>
          </cell>
          <cell r="R77" t="str">
            <v>SUCCESS</v>
          </cell>
        </row>
        <row r="78">
          <cell r="A78">
            <v>1276487623</v>
          </cell>
          <cell r="B78" t="str">
            <v>9619392ZY</v>
          </cell>
          <cell r="C78" t="str">
            <v>YOGA YUNIAR B M</v>
          </cell>
          <cell r="D78">
            <v>96196205</v>
          </cell>
          <cell r="E78">
            <v>4120177144</v>
          </cell>
          <cell r="F78" t="str">
            <v>54</v>
          </cell>
          <cell r="G78" t="str">
            <v>Perjalanan Dinas Non-Diklat</v>
          </cell>
          <cell r="H78" t="str">
            <v>Kab. Pinrang - Jakarta Selatan</v>
          </cell>
          <cell r="I78" t="str">
            <v>13/08/2025 - 15/08/2025</v>
          </cell>
          <cell r="J78" t="str">
            <v>3</v>
          </cell>
          <cell r="K78" t="str">
            <v>Flight One Way</v>
          </cell>
          <cell r="L78" t="str">
            <v>12-08-2025 16:01:57</v>
          </cell>
          <cell r="M78" t="str">
            <v>Garuda Indonesia Domestic UPG Hasanuddin GA-617 - Garuda Indonesia  CGK Soekarno Hatta International Airport GA-617</v>
          </cell>
          <cell r="N78" t="str">
            <v>TL K3L DAN KAM</v>
          </cell>
          <cell r="O78" t="str">
            <v>7412250</v>
          </cell>
          <cell r="P78" t="str">
            <v>13/08/2025 07:15:00 - 13/08/2025 08:45:00</v>
          </cell>
          <cell r="Q78">
            <v>2351400</v>
          </cell>
          <cell r="R78" t="str">
            <v>SUCCESS</v>
          </cell>
        </row>
        <row r="79">
          <cell r="A79">
            <v>1277078537</v>
          </cell>
          <cell r="B79" t="str">
            <v>9619392ZY</v>
          </cell>
          <cell r="C79" t="str">
            <v>YOGA YUNIAR B M</v>
          </cell>
          <cell r="D79">
            <v>96196205</v>
          </cell>
          <cell r="E79">
            <v>4120177144</v>
          </cell>
          <cell r="F79" t="str">
            <v>54</v>
          </cell>
          <cell r="G79" t="str">
            <v>Perjalanan Dinas Non-Diklat</v>
          </cell>
          <cell r="H79" t="str">
            <v>Kab. Pinrang - Jakarta Selatan</v>
          </cell>
          <cell r="I79" t="str">
            <v>13/08/2025 - 15/08/2025</v>
          </cell>
          <cell r="J79" t="str">
            <v>3</v>
          </cell>
          <cell r="K79" t="str">
            <v>Flight One Way</v>
          </cell>
          <cell r="L79" t="str">
            <v>14-08-2025 21:07:22</v>
          </cell>
          <cell r="M79" t="str">
            <v>Pelita Air 3 CGK Soekarno Hatta International Airport IP-500 - Pelita Air  UPG Hasanuddin IP-500</v>
          </cell>
          <cell r="N79" t="str">
            <v>TL K3L DAN KAM</v>
          </cell>
          <cell r="O79" t="str">
            <v>7412250</v>
          </cell>
          <cell r="P79" t="str">
            <v>15/08/2025 23:45:00 - 16/08/2025 03:10:00</v>
          </cell>
          <cell r="Q79">
            <v>1333000</v>
          </cell>
          <cell r="R79" t="str">
            <v>SUCCESS</v>
          </cell>
        </row>
        <row r="80">
          <cell r="A80">
            <v>1276668483</v>
          </cell>
          <cell r="B80" t="str">
            <v>9619392ZY</v>
          </cell>
          <cell r="C80" t="str">
            <v>YOGA YUNIAR B M</v>
          </cell>
          <cell r="D80">
            <v>96196205</v>
          </cell>
          <cell r="E80">
            <v>4120177144</v>
          </cell>
          <cell r="F80" t="str">
            <v>54</v>
          </cell>
          <cell r="G80" t="str">
            <v>Perjalanan Dinas Non-Diklat</v>
          </cell>
          <cell r="H80" t="str">
            <v>Kab. Pinrang - Jakarta Selatan</v>
          </cell>
          <cell r="I80" t="str">
            <v>13/08/2025 - 15/08/2025</v>
          </cell>
          <cell r="J80" t="str">
            <v>3</v>
          </cell>
          <cell r="K80" t="str">
            <v>Hotel</v>
          </cell>
          <cell r="L80" t="str">
            <v>13-08-2025 11:31:57</v>
          </cell>
          <cell r="M80" t="str">
            <v>SOTIS Hotel Falatehan, Blok M, Jakarta - 3.0 Stars  - Deluxe Twin</v>
          </cell>
          <cell r="N80" t="str">
            <v>TL K3L DAN KAM</v>
          </cell>
          <cell r="O80" t="str">
            <v>7412250</v>
          </cell>
          <cell r="P80" t="str">
            <v>13/08/2025 14:00:00 - 15/08/2025 12:00:00</v>
          </cell>
          <cell r="Q80">
            <v>1633561</v>
          </cell>
          <cell r="R80" t="str">
            <v>SUCCESS</v>
          </cell>
        </row>
        <row r="81">
          <cell r="A81">
            <v>1276319583</v>
          </cell>
          <cell r="B81" t="str">
            <v>9008038F</v>
          </cell>
          <cell r="C81" t="str">
            <v>ISRAN SUTOYO</v>
          </cell>
          <cell r="D81">
            <v>90087601</v>
          </cell>
          <cell r="E81">
            <v>4120177140</v>
          </cell>
          <cell r="F81" t="str">
            <v>54</v>
          </cell>
          <cell r="G81" t="str">
            <v>Perjalanan Dinas Diklat</v>
          </cell>
          <cell r="H81" t="str">
            <v>Kota Baubau - Kab. Bulukumba</v>
          </cell>
          <cell r="I81" t="str">
            <v>12/08/2025 - 15/08/2025</v>
          </cell>
          <cell r="J81" t="str">
            <v>4</v>
          </cell>
          <cell r="K81" t="str">
            <v>Flight Round-Trip</v>
          </cell>
          <cell r="L81" t="str">
            <v>11-08-2025 21:39:50</v>
          </cell>
          <cell r="M81" t="str">
            <v>Super Air Jet  BUW Betoambari IU-573 - Super Air Jet  UPG Hasanuddin IU-573</v>
          </cell>
          <cell r="N81" t="str">
            <v>TL OP DIST</v>
          </cell>
          <cell r="O81" t="str">
            <v>7409281</v>
          </cell>
          <cell r="P81" t="str">
            <v>12/08/2025 15:35:00 - 12/08/2025 16:20:00</v>
          </cell>
          <cell r="Q81">
            <v>1588300</v>
          </cell>
          <cell r="R81" t="str">
            <v>SUCCESS</v>
          </cell>
        </row>
        <row r="82">
          <cell r="A82">
            <v>1276779453</v>
          </cell>
          <cell r="B82" t="str">
            <v>9319374ZY</v>
          </cell>
          <cell r="C82" t="str">
            <v>ARDIKA YONATAN WICAKSONO</v>
          </cell>
          <cell r="D82">
            <v>93196202</v>
          </cell>
          <cell r="E82">
            <v>4120177135</v>
          </cell>
          <cell r="F82" t="str">
            <v>54</v>
          </cell>
          <cell r="G82" t="str">
            <v>Perjalanan Dinas Diklat</v>
          </cell>
          <cell r="H82" t="str">
            <v>Kota Baubau - Kab. Bulukumba</v>
          </cell>
          <cell r="I82" t="str">
            <v>12/08/2025 - 15/08/2025</v>
          </cell>
          <cell r="J82" t="str">
            <v>4</v>
          </cell>
          <cell r="K82" t="str">
            <v>Flight One Way</v>
          </cell>
          <cell r="L82" t="str">
            <v>13-08-2025 17:33:51</v>
          </cell>
          <cell r="M82" t="str">
            <v>Super Air Jet  UPG Hasanuddin IU-572 - Super Air Jet  BUW Betoambari IU-572</v>
          </cell>
          <cell r="N82" t="str">
            <v>TL KEU DAN AKT</v>
          </cell>
          <cell r="O82" t="str">
            <v>7412285</v>
          </cell>
          <cell r="P82" t="str">
            <v>15/08/2025 14:10:00 - 15/08/2025 14:55:00</v>
          </cell>
          <cell r="Q82">
            <v>844100</v>
          </cell>
          <cell r="R82" t="str">
            <v>SUCCESS</v>
          </cell>
        </row>
        <row r="83">
          <cell r="A83">
            <v>1276316180</v>
          </cell>
          <cell r="B83" t="str">
            <v>9319374ZY</v>
          </cell>
          <cell r="C83" t="str">
            <v>ARDIKA YONATAN WICAKSONO</v>
          </cell>
          <cell r="D83">
            <v>93196202</v>
          </cell>
          <cell r="E83">
            <v>4120177135</v>
          </cell>
          <cell r="F83" t="str">
            <v>54</v>
          </cell>
          <cell r="G83" t="str">
            <v>Perjalanan Dinas Diklat</v>
          </cell>
          <cell r="H83" t="str">
            <v>Kota Baubau - Kab. Bulukumba</v>
          </cell>
          <cell r="I83" t="str">
            <v>12/08/2025 - 15/08/2025</v>
          </cell>
          <cell r="J83" t="str">
            <v>4</v>
          </cell>
          <cell r="K83" t="str">
            <v>Flight One Way</v>
          </cell>
          <cell r="L83" t="str">
            <v>11-08-2025 21:24:36</v>
          </cell>
          <cell r="M83" t="str">
            <v>Super Air Jet  BUW Betoambari IU-573 - Super Air Jet  UPG Hasanuddin IU-573</v>
          </cell>
          <cell r="N83" t="str">
            <v>TL KEU DAN AKT</v>
          </cell>
          <cell r="O83" t="str">
            <v>7412285</v>
          </cell>
          <cell r="P83" t="str">
            <v>12/08/2025 15:35:00 - 12/08/2025 16:20:00</v>
          </cell>
          <cell r="Q83">
            <v>744200</v>
          </cell>
          <cell r="R83" t="str">
            <v>SUCCESS</v>
          </cell>
        </row>
        <row r="84">
          <cell r="A84">
            <v>1276324364</v>
          </cell>
          <cell r="B84" t="str">
            <v>94171599ZY</v>
          </cell>
          <cell r="C84" t="str">
            <v>MUHAMMAD IQBAAL MS</v>
          </cell>
          <cell r="D84">
            <v>94177619</v>
          </cell>
          <cell r="E84">
            <v>4120177136</v>
          </cell>
          <cell r="F84" t="str">
            <v>54</v>
          </cell>
          <cell r="G84" t="str">
            <v>Perjalanan Dinas Diklat</v>
          </cell>
          <cell r="H84" t="str">
            <v>Kota Kendari - Kab. Bulukumba</v>
          </cell>
          <cell r="I84" t="str">
            <v>12/08/2025 - 15/08/2025</v>
          </cell>
          <cell r="J84" t="str">
            <v>4</v>
          </cell>
          <cell r="K84" t="str">
            <v>Flight One Way</v>
          </cell>
          <cell r="L84" t="str">
            <v>11-08-2025 22:00:42</v>
          </cell>
          <cell r="M84" t="str">
            <v>Lion Air  KDI Haluoleo JT-997 - Lion Air Domestic UPG Hasanuddin JT-997</v>
          </cell>
          <cell r="N84" t="str">
            <v>TL K3L DAN KAM</v>
          </cell>
          <cell r="O84" t="str">
            <v>7412280</v>
          </cell>
          <cell r="P84" t="str">
            <v>12/08/2025 15:35:00 - 12/08/2025 16:30:00</v>
          </cell>
          <cell r="Q84">
            <v>775100</v>
          </cell>
          <cell r="R84" t="str">
            <v>SUCCESS</v>
          </cell>
        </row>
        <row r="85">
          <cell r="A85">
            <v>1276329850</v>
          </cell>
          <cell r="B85" t="str">
            <v>94171599ZY</v>
          </cell>
          <cell r="C85" t="str">
            <v>MUHAMMAD IQBAAL MS</v>
          </cell>
          <cell r="D85">
            <v>94177619</v>
          </cell>
          <cell r="E85">
            <v>4120177136</v>
          </cell>
          <cell r="F85" t="str">
            <v>54</v>
          </cell>
          <cell r="G85" t="str">
            <v>Perjalanan Dinas Diklat</v>
          </cell>
          <cell r="H85" t="str">
            <v>Kota Kendari - Kab. Bulukumba</v>
          </cell>
          <cell r="I85" t="str">
            <v>12/08/2025 - 15/08/2025</v>
          </cell>
          <cell r="J85" t="str">
            <v>4</v>
          </cell>
          <cell r="K85" t="str">
            <v>Flight One Way</v>
          </cell>
          <cell r="L85" t="str">
            <v>11-08-2025 22:27:01</v>
          </cell>
          <cell r="M85" t="str">
            <v>Super Air Jet  UPG Hasanuddin IU-572 - Super Air Jet  BUW Betoambari IU-572</v>
          </cell>
          <cell r="N85" t="str">
            <v>TL K3L DAN KAM</v>
          </cell>
          <cell r="O85" t="str">
            <v>7412280</v>
          </cell>
          <cell r="P85" t="str">
            <v>15/08/2025 14:10:00 - 15/08/2025 14:55:00</v>
          </cell>
          <cell r="Q85">
            <v>844100</v>
          </cell>
          <cell r="R85" t="str">
            <v>SUCCESS</v>
          </cell>
        </row>
        <row r="86">
          <cell r="A86">
            <v>1276783881</v>
          </cell>
          <cell r="B86" t="str">
            <v>8908044F</v>
          </cell>
          <cell r="C86" t="str">
            <v>IKHWANUL AKBAR AS'AD</v>
          </cell>
          <cell r="D86">
            <v>89087621</v>
          </cell>
          <cell r="E86">
            <v>4120177133</v>
          </cell>
          <cell r="F86" t="str">
            <v>54</v>
          </cell>
          <cell r="G86" t="str">
            <v>Perjalanan Dinas Diklat</v>
          </cell>
          <cell r="H86" t="str">
            <v>Kota Baubau - Kota Makassar</v>
          </cell>
          <cell r="I86" t="str">
            <v>12/08/2025 - 15/08/2025</v>
          </cell>
          <cell r="J86" t="str">
            <v>4</v>
          </cell>
          <cell r="K86" t="str">
            <v>Flight One Way</v>
          </cell>
          <cell r="L86" t="str">
            <v>13-08-2025 17:52:24</v>
          </cell>
          <cell r="M86" t="str">
            <v>Super Air Jet  UPG Hasanuddin IU-572 - Super Air Jet  BUW Betoambari IU-572</v>
          </cell>
          <cell r="N86" t="str">
            <v>TL ADM DAN MUM</v>
          </cell>
          <cell r="O86" t="str">
            <v>7412280</v>
          </cell>
          <cell r="P86" t="str">
            <v>15/08/2025 14:10:00 - 15/08/2025 14:55:00</v>
          </cell>
          <cell r="Q86">
            <v>844100</v>
          </cell>
          <cell r="R86" t="str">
            <v>SUCCESS</v>
          </cell>
        </row>
        <row r="87">
          <cell r="A87">
            <v>1276304141</v>
          </cell>
          <cell r="B87" t="str">
            <v>8908044F</v>
          </cell>
          <cell r="C87" t="str">
            <v>IKHWANUL AKBAR AS'AD</v>
          </cell>
          <cell r="D87">
            <v>89087621</v>
          </cell>
          <cell r="E87">
            <v>4120177133</v>
          </cell>
          <cell r="F87" t="str">
            <v>54</v>
          </cell>
          <cell r="G87" t="str">
            <v>Perjalanan Dinas Diklat</v>
          </cell>
          <cell r="H87" t="str">
            <v>Kota Baubau - Kota Makassar</v>
          </cell>
          <cell r="I87" t="str">
            <v>12/08/2025 - 15/08/2025</v>
          </cell>
          <cell r="J87" t="str">
            <v>4</v>
          </cell>
          <cell r="K87" t="str">
            <v>Flight One Way</v>
          </cell>
          <cell r="L87" t="str">
            <v>11-08-2025 20:34:29</v>
          </cell>
          <cell r="M87" t="str">
            <v>Super Air Jet  BUW Betoambari IU-573 - Super Air Jet  UPG Hasanuddin IU-573</v>
          </cell>
          <cell r="N87" t="str">
            <v>TL ADM DAN MUM</v>
          </cell>
          <cell r="O87" t="str">
            <v>7412280</v>
          </cell>
          <cell r="P87" t="str">
            <v>12/08/2025 15:35:00 - 12/08/2025 16:20:00</v>
          </cell>
          <cell r="Q87">
            <v>744200</v>
          </cell>
          <cell r="R87" t="str">
            <v>SUCCESS</v>
          </cell>
        </row>
        <row r="88">
          <cell r="A88">
            <v>1276319515</v>
          </cell>
          <cell r="B88" t="str">
            <v>91151479ZY</v>
          </cell>
          <cell r="C88" t="str">
            <v>RICKY TITIN TRIPUTRA</v>
          </cell>
          <cell r="D88">
            <v>91157612</v>
          </cell>
          <cell r="E88">
            <v>4120177126</v>
          </cell>
          <cell r="F88" t="str">
            <v>54</v>
          </cell>
          <cell r="G88" t="str">
            <v>Perjalanan Dinas Non-Diklat</v>
          </cell>
          <cell r="H88" t="str">
            <v>Kab. Wakatobi - Kota Baubau</v>
          </cell>
          <cell r="I88" t="str">
            <v>12/08/2025 - 14/08/2025</v>
          </cell>
          <cell r="J88" t="str">
            <v>3</v>
          </cell>
          <cell r="K88" t="str">
            <v>Hotel</v>
          </cell>
          <cell r="L88" t="str">
            <v>11-08-2025 21:39:05</v>
          </cell>
          <cell r="M88" t="str">
            <v xml:space="preserve">Zenith Premiere Hotel Baubau - 3.0 Stars  - </v>
          </cell>
          <cell r="N88" t="str">
            <v>MUL</v>
          </cell>
          <cell r="O88" t="str">
            <v>7409652</v>
          </cell>
          <cell r="P88" t="str">
            <v>12/08/2025 14:00:00 - 14/08/2025 12:00:00</v>
          </cell>
          <cell r="Q88">
            <v>1640300</v>
          </cell>
          <cell r="R88" t="str">
            <v>SUCCESS</v>
          </cell>
        </row>
        <row r="89">
          <cell r="A89">
            <v>1276292839</v>
          </cell>
          <cell r="B89" t="str">
            <v>9413118FY</v>
          </cell>
          <cell r="C89" t="str">
            <v xml:space="preserve">SUHARWAN </v>
          </cell>
          <cell r="D89">
            <v>96137672</v>
          </cell>
          <cell r="E89">
            <v>4120177127</v>
          </cell>
          <cell r="F89" t="str">
            <v>54</v>
          </cell>
          <cell r="G89" t="str">
            <v>Perjalanan Dinas Non-Diklat</v>
          </cell>
          <cell r="H89" t="str">
            <v>Kab. Wakatobi - Kota Baubau</v>
          </cell>
          <cell r="I89" t="str">
            <v>12/08/2025 - 14/08/2025</v>
          </cell>
          <cell r="J89" t="str">
            <v>3</v>
          </cell>
          <cell r="K89" t="str">
            <v>Hotel</v>
          </cell>
          <cell r="L89" t="str">
            <v>11-08-2025 19:48:37</v>
          </cell>
          <cell r="M89" t="str">
            <v xml:space="preserve">Zenith Premiere Hotel Baubau - 3.0 Stars  - </v>
          </cell>
          <cell r="N89" t="str">
            <v>TL TEKNIK LAY GAN</v>
          </cell>
          <cell r="O89" t="str">
            <v>7409652</v>
          </cell>
          <cell r="P89" t="str">
            <v>12/08/2025 14:00:00 - 14/08/2025 12:00:00</v>
          </cell>
          <cell r="Q89">
            <v>1514680</v>
          </cell>
          <cell r="R89" t="str">
            <v>SUCCESS</v>
          </cell>
        </row>
        <row r="90">
          <cell r="A90">
            <v>1276407266</v>
          </cell>
          <cell r="B90" t="str">
            <v>93191869ZY</v>
          </cell>
          <cell r="C90" t="str">
            <v>RIAN PAMBUDHI</v>
          </cell>
          <cell r="D90">
            <v>93197608</v>
          </cell>
          <cell r="E90">
            <v>4120177132</v>
          </cell>
          <cell r="F90" t="str">
            <v>54</v>
          </cell>
          <cell r="G90" t="str">
            <v>Perjalanan Dinas Non-Diklat</v>
          </cell>
          <cell r="H90" t="str">
            <v>Kab. Muna - Kota Baubau</v>
          </cell>
          <cell r="I90" t="str">
            <v>12/08/2025 - 14/08/2025</v>
          </cell>
          <cell r="J90" t="str">
            <v>3</v>
          </cell>
          <cell r="K90" t="str">
            <v>Hotel</v>
          </cell>
          <cell r="L90" t="str">
            <v>12-08-2025 10:47:01</v>
          </cell>
          <cell r="M90" t="str">
            <v xml:space="preserve">Zenith Premiere Hotel Baubau - 3.0 Stars  - </v>
          </cell>
          <cell r="N90" t="str">
            <v>TL YAN GAN</v>
          </cell>
          <cell r="O90" t="str">
            <v>7409651</v>
          </cell>
          <cell r="P90" t="str">
            <v>12/08/2025 14:00:00 - 14/08/2025 12:00:00</v>
          </cell>
          <cell r="Q90">
            <v>1640300</v>
          </cell>
          <cell r="R90" t="str">
            <v>SUCCESS</v>
          </cell>
        </row>
        <row r="91">
          <cell r="A91">
            <v>1276416233</v>
          </cell>
          <cell r="B91" t="str">
            <v>90112386Z</v>
          </cell>
          <cell r="C91" t="str">
            <v>ISWANTO HAKIM</v>
          </cell>
          <cell r="D91">
            <v>90117611</v>
          </cell>
          <cell r="E91">
            <v>4120177130</v>
          </cell>
          <cell r="F91" t="str">
            <v>54</v>
          </cell>
          <cell r="G91" t="str">
            <v>Perjalanan Dinas Non-Diklat</v>
          </cell>
          <cell r="H91" t="str">
            <v>Kab. Muna - Kota Baubau</v>
          </cell>
          <cell r="I91" t="str">
            <v>12/08/2025 - 14/08/2025</v>
          </cell>
          <cell r="J91" t="str">
            <v>3</v>
          </cell>
          <cell r="K91" t="str">
            <v>Hotel</v>
          </cell>
          <cell r="L91" t="str">
            <v>12-08-2025 11:20:52</v>
          </cell>
          <cell r="M91" t="str">
            <v xml:space="preserve">Zenith Premiere Hotel Baubau - 3.0 Stars  - </v>
          </cell>
          <cell r="N91" t="str">
            <v>MUL ULP (RAHA)</v>
          </cell>
          <cell r="O91" t="str">
            <v>7409651</v>
          </cell>
          <cell r="P91" t="str">
            <v>12/08/2025 14:00:00 - 14/08/2025 12:00:00</v>
          </cell>
          <cell r="Q91">
            <v>1386300</v>
          </cell>
          <cell r="R91" t="str">
            <v>SUCCESS</v>
          </cell>
        </row>
        <row r="92">
          <cell r="A92">
            <v>1276246818</v>
          </cell>
          <cell r="B92" t="str">
            <v>92141020ZY</v>
          </cell>
          <cell r="C92" t="str">
            <v>APRIANTO ROMBEPAYUNG</v>
          </cell>
          <cell r="D92">
            <v>92148010</v>
          </cell>
          <cell r="E92">
            <v>4120177109</v>
          </cell>
          <cell r="F92" t="str">
            <v>54</v>
          </cell>
          <cell r="G92" t="str">
            <v>Perjalanan Dinas Non-Diklat</v>
          </cell>
          <cell r="H92" t="str">
            <v>Kota Makassar - Kab. Mamuju</v>
          </cell>
          <cell r="I92" t="str">
            <v>11/08/2025 - 14/08/2025</v>
          </cell>
          <cell r="J92" t="str">
            <v>4</v>
          </cell>
          <cell r="K92" t="str">
            <v>Hotel</v>
          </cell>
          <cell r="L92" t="str">
            <v>11-08-2025 16:30:32</v>
          </cell>
          <cell r="M92" t="str">
            <v xml:space="preserve">Maleo Town Square - 3.0 Stars  - </v>
          </cell>
          <cell r="N92" t="str">
            <v>OF ASET PROP</v>
          </cell>
          <cell r="O92" t="str">
            <v>7412164</v>
          </cell>
          <cell r="P92" t="str">
            <v>11/08/2025 14:00:00 - 12/08/2025 12:00:00</v>
          </cell>
          <cell r="Q92">
            <v>715683</v>
          </cell>
          <cell r="R92" t="str">
            <v>SUCCESS</v>
          </cell>
        </row>
        <row r="93">
          <cell r="A93">
            <v>1276321823</v>
          </cell>
          <cell r="B93" t="str">
            <v>92141020ZY</v>
          </cell>
          <cell r="C93" t="str">
            <v>APRIANTO ROMBEPAYUNG</v>
          </cell>
          <cell r="D93">
            <v>92148010</v>
          </cell>
          <cell r="E93">
            <v>4120177109</v>
          </cell>
          <cell r="F93" t="str">
            <v>54</v>
          </cell>
          <cell r="G93" t="str">
            <v>Perjalanan Dinas Non-Diklat</v>
          </cell>
          <cell r="H93" t="str">
            <v>Kota Makassar - Kab. Mamuju</v>
          </cell>
          <cell r="I93" t="str">
            <v>11/08/2025 - 14/08/2025</v>
          </cell>
          <cell r="J93" t="str">
            <v>4</v>
          </cell>
          <cell r="K93" t="str">
            <v>Hotel</v>
          </cell>
          <cell r="L93" t="str">
            <v>11-08-2025 21:49:29</v>
          </cell>
          <cell r="M93" t="str">
            <v xml:space="preserve">Maleo Town Square - 3.0 Stars  - </v>
          </cell>
          <cell r="N93" t="str">
            <v>OF ASET PROP</v>
          </cell>
          <cell r="O93" t="str">
            <v>7412164</v>
          </cell>
          <cell r="P93" t="str">
            <v>12/08/2025 14:00:00 - 13/08/2025 12:00:00</v>
          </cell>
          <cell r="Q93">
            <v>715683</v>
          </cell>
          <cell r="R93" t="str">
            <v>SUCCESS</v>
          </cell>
        </row>
        <row r="94">
          <cell r="A94">
            <v>1276236072</v>
          </cell>
          <cell r="B94" t="str">
            <v>9818130FBY</v>
          </cell>
          <cell r="C94" t="str">
            <v xml:space="preserve">RIZALDI </v>
          </cell>
          <cell r="D94">
            <v>98187619</v>
          </cell>
          <cell r="E94">
            <v>4120177122</v>
          </cell>
          <cell r="F94" t="str">
            <v>54</v>
          </cell>
          <cell r="G94" t="str">
            <v>Perjalanan Dinas Non-Diklat</v>
          </cell>
          <cell r="H94" t="str">
            <v>Kab. Mamuju - Kota Makassar</v>
          </cell>
          <cell r="I94" t="str">
            <v>12/08/2025 - 15/08/2025</v>
          </cell>
          <cell r="J94" t="str">
            <v>4</v>
          </cell>
          <cell r="K94" t="str">
            <v>Hotel</v>
          </cell>
          <cell r="L94" t="str">
            <v>11-08-2025 15:46:27</v>
          </cell>
          <cell r="M94" t="str">
            <v xml:space="preserve">Mercure Makassar Nexa Pettarani - 4.0 Stars  - </v>
          </cell>
          <cell r="N94" t="str">
            <v>JTC PDKB</v>
          </cell>
          <cell r="O94" t="str">
            <v>7409291</v>
          </cell>
          <cell r="P94" t="str">
            <v>12/08/2025 14:00:00 - 15/08/2025 12:00:00</v>
          </cell>
          <cell r="Q94">
            <v>2170740</v>
          </cell>
          <cell r="R94" t="str">
            <v>SUCCESS</v>
          </cell>
        </row>
        <row r="95">
          <cell r="A95">
            <v>1276212308</v>
          </cell>
          <cell r="B95" t="str">
            <v>7090007F</v>
          </cell>
          <cell r="C95" t="str">
            <v xml:space="preserve">NASRUN </v>
          </cell>
          <cell r="D95">
            <v>70907603</v>
          </cell>
          <cell r="E95">
            <v>4120177118</v>
          </cell>
          <cell r="F95" t="str">
            <v>54</v>
          </cell>
          <cell r="G95" t="str">
            <v>Perjalanan Dinas Non-Diklat</v>
          </cell>
          <cell r="H95" t="str">
            <v>Kota Makassar - Kab. Mamuju</v>
          </cell>
          <cell r="I95" t="str">
            <v>11/08/2025 - 14/08/2025</v>
          </cell>
          <cell r="J95" t="str">
            <v>4</v>
          </cell>
          <cell r="K95" t="str">
            <v>Hotel</v>
          </cell>
          <cell r="L95" t="str">
            <v>11-08-2025 14:13:30</v>
          </cell>
          <cell r="M95" t="str">
            <v xml:space="preserve">Grand Maleo Hotel &amp; Convention - 4.0 Stars  - </v>
          </cell>
          <cell r="N95" t="str">
            <v>ASMAN ASET PROP</v>
          </cell>
          <cell r="O95" t="str">
            <v>7412164</v>
          </cell>
          <cell r="P95" t="str">
            <v>11/08/2025 14:00:00 - 14/08/2025 12:00:00</v>
          </cell>
          <cell r="Q95">
            <v>2707500</v>
          </cell>
          <cell r="R95" t="str">
            <v>SUCCESS</v>
          </cell>
        </row>
        <row r="96">
          <cell r="A96">
            <v>1276185352</v>
          </cell>
          <cell r="B96" t="str">
            <v>8408499Z</v>
          </cell>
          <cell r="C96" t="str">
            <v xml:space="preserve">MIRSAN </v>
          </cell>
          <cell r="D96">
            <v>84087802</v>
          </cell>
          <cell r="E96">
            <v>4120177107</v>
          </cell>
          <cell r="F96" t="str">
            <v>54</v>
          </cell>
          <cell r="G96" t="str">
            <v>Perjalanan Dinas Non-Diklat</v>
          </cell>
          <cell r="H96" t="str">
            <v>Kota Makassar - Jakarta Selatan</v>
          </cell>
          <cell r="I96" t="str">
            <v>11/08/2025 - 12/08/2025</v>
          </cell>
          <cell r="J96" t="str">
            <v>2</v>
          </cell>
          <cell r="K96" t="str">
            <v>Flight One Way</v>
          </cell>
          <cell r="L96" t="str">
            <v>11-08-2025 12:30:39</v>
          </cell>
          <cell r="M96" t="str">
            <v>Garuda Indonesia  CGK Soekarno Hatta International Airport GA-604 - Garuda Indonesia Domestic UPG Hasanuddin GA-604</v>
          </cell>
          <cell r="N96" t="str">
            <v>MAN YAN PRIORITAS DAN PAE</v>
          </cell>
          <cell r="O96" t="str">
            <v>7411140</v>
          </cell>
          <cell r="P96" t="str">
            <v>12/08/2025 02:50:00 - 12/08/2025 06:25:00</v>
          </cell>
          <cell r="Q96">
            <v>1425600</v>
          </cell>
          <cell r="R96" t="str">
            <v>SUCCESS</v>
          </cell>
        </row>
        <row r="97">
          <cell r="A97">
            <v>1275805076</v>
          </cell>
          <cell r="B97" t="str">
            <v>8408499Z</v>
          </cell>
          <cell r="C97" t="str">
            <v xml:space="preserve">MIRSAN </v>
          </cell>
          <cell r="D97">
            <v>84087802</v>
          </cell>
          <cell r="E97">
            <v>4120177107</v>
          </cell>
          <cell r="F97" t="str">
            <v>54</v>
          </cell>
          <cell r="G97" t="str">
            <v>Perjalanan Dinas Non-Diklat</v>
          </cell>
          <cell r="H97" t="str">
            <v>Kota Makassar - Jakarta Selatan</v>
          </cell>
          <cell r="I97" t="str">
            <v>11/08/2025 - 12/08/2025</v>
          </cell>
          <cell r="J97" t="str">
            <v>2</v>
          </cell>
          <cell r="K97" t="str">
            <v>Flight One Way</v>
          </cell>
          <cell r="L97" t="str">
            <v>09-08-2025 18:10:42</v>
          </cell>
          <cell r="M97" t="str">
            <v>Garuda Indonesia Domestic UPG Hasanuddin GA-619 - Garuda Indonesia  CGK Soekarno Hatta International Airport GA-619</v>
          </cell>
          <cell r="N97" t="str">
            <v>MAN YAN PRIORITAS DAN PAE</v>
          </cell>
          <cell r="O97" t="str">
            <v>7411140</v>
          </cell>
          <cell r="P97" t="str">
            <v>11/08/2025 05:25:00 - 11/08/2025 06:55:00</v>
          </cell>
          <cell r="Q97">
            <v>2345200</v>
          </cell>
          <cell r="R97" t="str">
            <v>SUCCESS</v>
          </cell>
        </row>
        <row r="98">
          <cell r="A98">
            <v>1275559006</v>
          </cell>
          <cell r="B98" t="str">
            <v>91162439ZY</v>
          </cell>
          <cell r="C98" t="str">
            <v>ANDI ZULFAKAR</v>
          </cell>
          <cell r="D98">
            <v>91160035</v>
          </cell>
          <cell r="E98">
            <v>4120177105</v>
          </cell>
          <cell r="F98" t="str">
            <v>54</v>
          </cell>
          <cell r="G98" t="str">
            <v>Perjalanan Dinas Non-Diklat</v>
          </cell>
          <cell r="H98" t="str">
            <v>Kota Makassar - Kab. Kolaka</v>
          </cell>
          <cell r="I98" t="str">
            <v>11/08/2025 - 14/08/2025</v>
          </cell>
          <cell r="J98" t="str">
            <v>4</v>
          </cell>
          <cell r="K98" t="str">
            <v>Flight One Way</v>
          </cell>
          <cell r="L98" t="str">
            <v>08-08-2025 20:01:40</v>
          </cell>
          <cell r="M98" t="str">
            <v>Wings Air Domestic UPG Hasanuddin IW-1204 - Wings Air  KXB Sangia Nibandera IW-1204</v>
          </cell>
          <cell r="N98" t="str">
            <v>OF DAL P2TL</v>
          </cell>
          <cell r="O98" t="str">
            <v>7412000</v>
          </cell>
          <cell r="P98" t="str">
            <v>11/08/2025 09:40:00 - 11/08/2025 10:40:00</v>
          </cell>
          <cell r="Q98">
            <v>1415700</v>
          </cell>
          <cell r="R98" t="str">
            <v>SUCCESS</v>
          </cell>
        </row>
        <row r="99">
          <cell r="A99">
            <v>1275593261</v>
          </cell>
          <cell r="B99" t="str">
            <v>91162439ZY</v>
          </cell>
          <cell r="C99" t="str">
            <v>ANDI ZULFAKAR</v>
          </cell>
          <cell r="D99">
            <v>91160035</v>
          </cell>
          <cell r="E99">
            <v>4120177105</v>
          </cell>
          <cell r="F99" t="str">
            <v>54</v>
          </cell>
          <cell r="G99" t="str">
            <v>Perjalanan Dinas Non-Diklat</v>
          </cell>
          <cell r="H99" t="str">
            <v>Kota Makassar - Kab. Kolaka</v>
          </cell>
          <cell r="I99" t="str">
            <v>11/08/2025 - 14/08/2025</v>
          </cell>
          <cell r="J99" t="str">
            <v>4</v>
          </cell>
          <cell r="K99" t="str">
            <v>Flight One Way</v>
          </cell>
          <cell r="L99" t="str">
            <v>08-08-2025 22:01:37</v>
          </cell>
          <cell r="M99" t="str">
            <v>Wings Air  KXB Sangia Nibandera IW-1205 - Wings Air Domestic UPG Hasanuddin IW-1205</v>
          </cell>
          <cell r="N99" t="str">
            <v>OF DAL P2TL</v>
          </cell>
          <cell r="O99" t="str">
            <v>7412000</v>
          </cell>
          <cell r="P99" t="str">
            <v>14/08/2025 11:00:00 - 14/08/2025 11:55:00</v>
          </cell>
          <cell r="Q99">
            <v>1315800</v>
          </cell>
          <cell r="R99" t="str">
            <v>SUCCESS</v>
          </cell>
        </row>
        <row r="100">
          <cell r="A100">
            <v>1275556104</v>
          </cell>
          <cell r="B100" t="str">
            <v>8809009F</v>
          </cell>
          <cell r="C100" t="str">
            <v>ISKANDAR AZHAR</v>
          </cell>
          <cell r="D100">
            <v>88097609</v>
          </cell>
          <cell r="E100">
            <v>4120177104</v>
          </cell>
          <cell r="F100" t="str">
            <v>54</v>
          </cell>
          <cell r="G100" t="str">
            <v>Perjalanan Dinas Non-Diklat</v>
          </cell>
          <cell r="H100" t="str">
            <v>Kota Makassar - Kab. Kolaka</v>
          </cell>
          <cell r="I100" t="str">
            <v>11/08/2025 - 14/08/2025</v>
          </cell>
          <cell r="J100" t="str">
            <v>4</v>
          </cell>
          <cell r="K100" t="str">
            <v>Flight One Way</v>
          </cell>
          <cell r="L100" t="str">
            <v>08-08-2025 19:51:31</v>
          </cell>
          <cell r="M100" t="str">
            <v>Wings Air Domestic UPG Hasanuddin IW-1204 - Wings Air  KXB Sangia Nibandera IW-1204</v>
          </cell>
          <cell r="N100" t="str">
            <v>ASMAN P2TL</v>
          </cell>
          <cell r="O100" t="str">
            <v>7412000</v>
          </cell>
          <cell r="P100" t="str">
            <v>11/08/2025 09:40:00 - 11/08/2025 10:40:00</v>
          </cell>
          <cell r="Q100">
            <v>1415700</v>
          </cell>
          <cell r="R100" t="str">
            <v>SUCCESS</v>
          </cell>
        </row>
        <row r="101">
          <cell r="A101">
            <v>1276449207</v>
          </cell>
          <cell r="B101" t="str">
            <v>8809009F</v>
          </cell>
          <cell r="C101" t="str">
            <v>ISKANDAR AZHAR</v>
          </cell>
          <cell r="D101">
            <v>88097609</v>
          </cell>
          <cell r="E101">
            <v>4120177104</v>
          </cell>
          <cell r="F101" t="str">
            <v>54</v>
          </cell>
          <cell r="G101" t="str">
            <v>Perjalanan Dinas Non-Diklat</v>
          </cell>
          <cell r="H101" t="str">
            <v>Kota Makassar - Kab. Kolaka</v>
          </cell>
          <cell r="I101" t="str">
            <v>11/08/2025 - 14/08/2025</v>
          </cell>
          <cell r="J101" t="str">
            <v>4</v>
          </cell>
          <cell r="K101" t="str">
            <v>Flight One Way</v>
          </cell>
          <cell r="L101" t="str">
            <v>12-08-2025 13:30:51</v>
          </cell>
          <cell r="M101" t="str">
            <v>Wings Air  KXB Sangia Nibandera IW-1205 - Wings Air Domestic UPG Hasanuddin IW-1205</v>
          </cell>
          <cell r="N101" t="str">
            <v>ASMAN P2TL</v>
          </cell>
          <cell r="O101" t="str">
            <v>7412000</v>
          </cell>
          <cell r="P101" t="str">
            <v>14/08/2025 11:00:00 - 14/08/2025 11:55:00</v>
          </cell>
          <cell r="Q101">
            <v>1315800</v>
          </cell>
          <cell r="R101" t="str">
            <v>SUCCESS</v>
          </cell>
        </row>
        <row r="102">
          <cell r="A102">
            <v>1275570318</v>
          </cell>
          <cell r="B102" t="str">
            <v>94162863ZY</v>
          </cell>
          <cell r="C102" t="str">
            <v>LU'LUIL MAKNUNAH WISUDAWATI</v>
          </cell>
          <cell r="D102">
            <v>94167633</v>
          </cell>
          <cell r="E102">
            <v>4120177102</v>
          </cell>
          <cell r="F102" t="str">
            <v>54</v>
          </cell>
          <cell r="G102" t="str">
            <v>Perjalanan Dinas Non-Diklat</v>
          </cell>
          <cell r="H102" t="str">
            <v>Kota Makassar - Kota Semarang - Kota Tegal - Kab. Klaten</v>
          </cell>
          <cell r="I102" t="str">
            <v>10/08/2025 - 16/08/2025</v>
          </cell>
          <cell r="J102" t="str">
            <v>7</v>
          </cell>
          <cell r="K102" t="str">
            <v>Hotel</v>
          </cell>
          <cell r="L102" t="str">
            <v>08-08-2025 20:39:35</v>
          </cell>
          <cell r="M102" t="str">
            <v xml:space="preserve">Kotta Hotel Semarang - 3.0 Stars  - </v>
          </cell>
          <cell r="N102" t="str">
            <v>OF MANJ BILLING</v>
          </cell>
          <cell r="O102" t="str">
            <v>7411141</v>
          </cell>
          <cell r="P102" t="str">
            <v>10/08/2025 14:00:00 - 12/08/2025 12:00:00</v>
          </cell>
          <cell r="Q102">
            <v>1466676</v>
          </cell>
          <cell r="R102" t="str">
            <v>SUCCESS</v>
          </cell>
        </row>
        <row r="103">
          <cell r="A103">
            <v>1275576907</v>
          </cell>
          <cell r="B103" t="str">
            <v>94162863ZY</v>
          </cell>
          <cell r="C103" t="str">
            <v>LU'LUIL MAKNUNAH WISUDAWATI</v>
          </cell>
          <cell r="D103">
            <v>94167633</v>
          </cell>
          <cell r="E103">
            <v>4120177102</v>
          </cell>
          <cell r="F103" t="str">
            <v>54</v>
          </cell>
          <cell r="G103" t="str">
            <v>Perjalanan Dinas Non-Diklat</v>
          </cell>
          <cell r="H103" t="str">
            <v>Kota Makassar - Kota Semarang - Kota Tegal - Kab. Klaten</v>
          </cell>
          <cell r="I103" t="str">
            <v>10/08/2025 - 16/08/2025</v>
          </cell>
          <cell r="J103" t="str">
            <v>7</v>
          </cell>
          <cell r="K103" t="str">
            <v>Hotel</v>
          </cell>
          <cell r="L103" t="str">
            <v>08-08-2025 21:02:12</v>
          </cell>
          <cell r="M103" t="str">
            <v xml:space="preserve">Quest Prime Pemuda - Semarang - 4.0 Stars  - </v>
          </cell>
          <cell r="N103" t="str">
            <v>OF MANJ BILLING</v>
          </cell>
          <cell r="O103" t="str">
            <v>7411141</v>
          </cell>
          <cell r="P103" t="str">
            <v>14/08/2025 14:00:00 - 16/08/2025 12:00:00</v>
          </cell>
          <cell r="Q103">
            <v>1496000</v>
          </cell>
          <cell r="R103" t="str">
            <v>SUCCESS</v>
          </cell>
        </row>
        <row r="104">
          <cell r="A104">
            <v>1275574478</v>
          </cell>
          <cell r="B104" t="str">
            <v>94162863ZY</v>
          </cell>
          <cell r="C104" t="str">
            <v>LU'LUIL MAKNUNAH WISUDAWATI</v>
          </cell>
          <cell r="D104">
            <v>94167633</v>
          </cell>
          <cell r="E104">
            <v>4120177102</v>
          </cell>
          <cell r="F104" t="str">
            <v>54</v>
          </cell>
          <cell r="G104" t="str">
            <v>Perjalanan Dinas Non-Diklat</v>
          </cell>
          <cell r="H104" t="str">
            <v>Kota Makassar - Kota Semarang - Kota Tegal - Kab. Klaten</v>
          </cell>
          <cell r="I104" t="str">
            <v>10/08/2025 - 16/08/2025</v>
          </cell>
          <cell r="J104" t="str">
            <v>7</v>
          </cell>
          <cell r="K104" t="str">
            <v>Hotel</v>
          </cell>
          <cell r="L104" t="str">
            <v>08-08-2025 20:53:35</v>
          </cell>
          <cell r="M104" t="str">
            <v xml:space="preserve">REZ Hotel - 4.0 Stars  - </v>
          </cell>
          <cell r="N104" t="str">
            <v>OF MANJ BILLING</v>
          </cell>
          <cell r="O104" t="str">
            <v>7411141</v>
          </cell>
          <cell r="P104" t="str">
            <v>12/08/2025 14:00:00 - 14/08/2025 12:00:00</v>
          </cell>
          <cell r="Q104">
            <v>1509396</v>
          </cell>
          <cell r="R104" t="str">
            <v>SUCCESS</v>
          </cell>
        </row>
        <row r="105">
          <cell r="A105">
            <v>1277067808</v>
          </cell>
          <cell r="B105" t="str">
            <v>8712617ZY</v>
          </cell>
          <cell r="C105" t="str">
            <v>M. LUKMAN HAKIM</v>
          </cell>
          <cell r="D105">
            <v>87127603</v>
          </cell>
          <cell r="E105">
            <v>4120177103</v>
          </cell>
          <cell r="F105" t="str">
            <v>54</v>
          </cell>
          <cell r="G105" t="str">
            <v>Perjalanan Dinas Non-Diklat</v>
          </cell>
          <cell r="H105" t="str">
            <v>Kota Makassar - Kab. Brebes - Kab. Banyumas - Kab. Cilacap</v>
          </cell>
          <cell r="I105" t="str">
            <v>10/08/2025 - 16/08/2025</v>
          </cell>
          <cell r="J105" t="str">
            <v>7</v>
          </cell>
          <cell r="K105" t="str">
            <v>Flight One Way</v>
          </cell>
          <cell r="L105" t="str">
            <v>14-08-2025 20:23:14</v>
          </cell>
          <cell r="M105" t="str">
            <v>Lion Air  YIA Yogyakarta International Airport JT-644 - Lion Air Domestic UPG Hasanuddin JT-644</v>
          </cell>
          <cell r="N105" t="str">
            <v>ASMAN DIG SERVICE DAN CUST EX</v>
          </cell>
          <cell r="O105" t="str">
            <v>7411140</v>
          </cell>
          <cell r="P105" t="str">
            <v>15/08/2025 15:40:00 - 15/08/2025 18:35:00</v>
          </cell>
          <cell r="Q105">
            <v>866600</v>
          </cell>
          <cell r="R105" t="str">
            <v>SUCCESS</v>
          </cell>
        </row>
        <row r="106">
          <cell r="A106">
            <v>1276548323</v>
          </cell>
          <cell r="B106" t="str">
            <v>8712617ZY</v>
          </cell>
          <cell r="C106" t="str">
            <v>M. LUKMAN HAKIM</v>
          </cell>
          <cell r="D106">
            <v>87127603</v>
          </cell>
          <cell r="E106">
            <v>4120177103</v>
          </cell>
          <cell r="F106" t="str">
            <v>54</v>
          </cell>
          <cell r="G106" t="str">
            <v>Perjalanan Dinas Non-Diklat</v>
          </cell>
          <cell r="H106" t="str">
            <v>Kota Makassar - Kab. Brebes - Kab. Banyumas - Kab. Cilacap</v>
          </cell>
          <cell r="I106" t="str">
            <v>10/08/2025 - 16/08/2025</v>
          </cell>
          <cell r="J106" t="str">
            <v>7</v>
          </cell>
          <cell r="K106" t="str">
            <v>Hotel</v>
          </cell>
          <cell r="L106" t="str">
            <v>12-08-2025 20:16:49</v>
          </cell>
          <cell r="M106" t="str">
            <v xml:space="preserve">Luminor Hotel Purwokerto By WH - 4.0 Stars  - </v>
          </cell>
          <cell r="N106" t="str">
            <v>ASMAN DIG SERVICE DAN CUST EX</v>
          </cell>
          <cell r="O106" t="str">
            <v>7411140</v>
          </cell>
          <cell r="P106" t="str">
            <v>12/08/2025 14:00:00 - 13/08/2025 12:00:00</v>
          </cell>
          <cell r="Q106">
            <v>700000</v>
          </cell>
          <cell r="R106" t="str">
            <v>SUCCESS</v>
          </cell>
        </row>
        <row r="107">
          <cell r="A107">
            <v>1276213348</v>
          </cell>
          <cell r="B107" t="str">
            <v>8712617ZY</v>
          </cell>
          <cell r="C107" t="str">
            <v>M. LUKMAN HAKIM</v>
          </cell>
          <cell r="D107">
            <v>87127603</v>
          </cell>
          <cell r="E107">
            <v>4120177103</v>
          </cell>
          <cell r="F107" t="str">
            <v>54</v>
          </cell>
          <cell r="G107" t="str">
            <v>Perjalanan Dinas Non-Diklat</v>
          </cell>
          <cell r="H107" t="str">
            <v>Kota Makassar - Kab. Brebes - Kab. Banyumas - Kab. Cilacap</v>
          </cell>
          <cell r="I107" t="str">
            <v>10/08/2025 - 16/08/2025</v>
          </cell>
          <cell r="J107" t="str">
            <v>7</v>
          </cell>
          <cell r="K107" t="str">
            <v>Hotel</v>
          </cell>
          <cell r="L107" t="str">
            <v>11-08-2025 14:17:26</v>
          </cell>
          <cell r="M107" t="str">
            <v xml:space="preserve">Luminor Hotel Purwokerto By WH - 4.0 Stars  - </v>
          </cell>
          <cell r="N107" t="str">
            <v>ASMAN DIG SERVICE DAN CUST EX</v>
          </cell>
          <cell r="O107" t="str">
            <v>7411140</v>
          </cell>
          <cell r="P107" t="str">
            <v>11/08/2025 14:00:00 - 12/08/2025 12:00:00</v>
          </cell>
          <cell r="Q107">
            <v>738000</v>
          </cell>
          <cell r="R107" t="str">
            <v>SUCCESS</v>
          </cell>
        </row>
        <row r="108">
          <cell r="A108">
            <v>1276079125</v>
          </cell>
          <cell r="B108" t="str">
            <v>8712617ZY</v>
          </cell>
          <cell r="C108" t="str">
            <v>M. LUKMAN HAKIM</v>
          </cell>
          <cell r="D108">
            <v>87127603</v>
          </cell>
          <cell r="E108">
            <v>4120177103</v>
          </cell>
          <cell r="F108" t="str">
            <v>54</v>
          </cell>
          <cell r="G108" t="str">
            <v>Perjalanan Dinas Non-Diklat</v>
          </cell>
          <cell r="H108" t="str">
            <v>Kota Makassar - Kab. Brebes - Kab. Banyumas - Kab. Cilacap</v>
          </cell>
          <cell r="I108" t="str">
            <v>10/08/2025 - 16/08/2025</v>
          </cell>
          <cell r="J108" t="str">
            <v>7</v>
          </cell>
          <cell r="K108" t="str">
            <v>Hotel</v>
          </cell>
          <cell r="L108" t="str">
            <v>10-08-2025 21:51:13</v>
          </cell>
          <cell r="M108" t="str">
            <v xml:space="preserve">Luminor Hotel Purwokerto By WH - 4.0 Stars  - </v>
          </cell>
          <cell r="N108" t="str">
            <v>ASMAN DIG SERVICE DAN CUST EX</v>
          </cell>
          <cell r="O108" t="str">
            <v>7411140</v>
          </cell>
          <cell r="P108" t="str">
            <v>10/08/2025 14:00:00 - 11/08/2025 12:00:00</v>
          </cell>
          <cell r="Q108">
            <v>600000</v>
          </cell>
          <cell r="R108" t="str">
            <v>SUCCESS</v>
          </cell>
        </row>
        <row r="109">
          <cell r="A109">
            <v>1275573127</v>
          </cell>
          <cell r="B109" t="str">
            <v>8712617ZY</v>
          </cell>
          <cell r="C109" t="str">
            <v>M. LUKMAN HAKIM</v>
          </cell>
          <cell r="D109">
            <v>87127603</v>
          </cell>
          <cell r="E109">
            <v>4120177103</v>
          </cell>
          <cell r="F109" t="str">
            <v>54</v>
          </cell>
          <cell r="G109" t="str">
            <v>Perjalanan Dinas Non-Diklat</v>
          </cell>
          <cell r="H109" t="str">
            <v>Kota Makassar - Kab. Brebes - Kab. Banyumas - Kab. Cilacap</v>
          </cell>
          <cell r="I109" t="str">
            <v>10/08/2025 - 16/08/2025</v>
          </cell>
          <cell r="J109" t="str">
            <v>7</v>
          </cell>
          <cell r="K109" t="str">
            <v>Flight One Way</v>
          </cell>
          <cell r="L109" t="str">
            <v>08-08-2025 20:48:58</v>
          </cell>
          <cell r="M109" t="str">
            <v>Lion Air Domestic UPG Hasanuddin JT-909 - Lion Air Domestic SRG Achmad Yani JT-909</v>
          </cell>
          <cell r="N109" t="str">
            <v>ASMAN DIG SERVICE DAN CUST EX</v>
          </cell>
          <cell r="O109" t="str">
            <v>7411140</v>
          </cell>
          <cell r="P109" t="str">
            <v>10/08/2025 14:05:00 - 10/08/2025 14:50:00</v>
          </cell>
          <cell r="Q109">
            <v>1519300</v>
          </cell>
          <cell r="R109" t="str">
            <v>SUCCESS</v>
          </cell>
        </row>
        <row r="110">
          <cell r="A110">
            <v>1276993830</v>
          </cell>
          <cell r="B110" t="str">
            <v>8712617ZY</v>
          </cell>
          <cell r="C110" t="str">
            <v>M. LUKMAN HAKIM</v>
          </cell>
          <cell r="D110">
            <v>87127603</v>
          </cell>
          <cell r="E110">
            <v>4120177103</v>
          </cell>
          <cell r="F110" t="str">
            <v>54</v>
          </cell>
          <cell r="G110" t="str">
            <v>Perjalanan Dinas Non-Diklat</v>
          </cell>
          <cell r="H110" t="str">
            <v>Kota Makassar - Kab. Brebes - Kab. Banyumas - Kab. Cilacap</v>
          </cell>
          <cell r="I110" t="str">
            <v>10/08/2025 - 16/08/2025</v>
          </cell>
          <cell r="J110" t="str">
            <v>7</v>
          </cell>
          <cell r="K110" t="str">
            <v>Hotel</v>
          </cell>
          <cell r="L110" t="str">
            <v>14-08-2025 15:10:47</v>
          </cell>
          <cell r="M110" t="str">
            <v xml:space="preserve">THE 1O1 Yogyakarta Tugu Hotel - 4.0 Stars  - </v>
          </cell>
          <cell r="N110" t="str">
            <v>ASMAN DIG SERVICE DAN CUST EX</v>
          </cell>
          <cell r="O110" t="str">
            <v>7411140</v>
          </cell>
          <cell r="P110" t="str">
            <v>14/08/2025 14:00:00 - 15/08/2025 12:00:00</v>
          </cell>
          <cell r="Q110">
            <v>971028</v>
          </cell>
          <cell r="R110" t="str">
            <v>SUCCESS</v>
          </cell>
        </row>
        <row r="111">
          <cell r="A111">
            <v>1276778254</v>
          </cell>
          <cell r="B111" t="str">
            <v>8712617ZY</v>
          </cell>
          <cell r="C111" t="str">
            <v>M. LUKMAN HAKIM</v>
          </cell>
          <cell r="D111">
            <v>87127603</v>
          </cell>
          <cell r="E111">
            <v>4120177103</v>
          </cell>
          <cell r="F111" t="str">
            <v>54</v>
          </cell>
          <cell r="G111" t="str">
            <v>Perjalanan Dinas Non-Diklat</v>
          </cell>
          <cell r="H111" t="str">
            <v>Kota Makassar - Kab. Brebes - Kab. Banyumas - Kab. Cilacap</v>
          </cell>
          <cell r="I111" t="str">
            <v>10/08/2025 - 16/08/2025</v>
          </cell>
          <cell r="J111" t="str">
            <v>7</v>
          </cell>
          <cell r="K111" t="str">
            <v>Hotel</v>
          </cell>
          <cell r="L111" t="str">
            <v>13-08-2025 17:28:15</v>
          </cell>
          <cell r="M111" t="str">
            <v xml:space="preserve">Aston Inn Cilacap - 4.0 Stars  - </v>
          </cell>
          <cell r="N111" t="str">
            <v>ASMAN DIG SERVICE DAN CUST EX</v>
          </cell>
          <cell r="O111" t="str">
            <v>7411140</v>
          </cell>
          <cell r="P111" t="str">
            <v>13/08/2025 14:00:00 - 14/08/2025 12:00:00</v>
          </cell>
          <cell r="Q111">
            <v>687068</v>
          </cell>
          <cell r="R111" t="str">
            <v>SUCCESS</v>
          </cell>
        </row>
        <row r="112">
          <cell r="A112">
            <v>1275822306</v>
          </cell>
          <cell r="B112" t="str">
            <v>8610591Z</v>
          </cell>
          <cell r="C112" t="str">
            <v>YUSUF TRIADI</v>
          </cell>
          <cell r="D112">
            <v>86108001</v>
          </cell>
          <cell r="E112">
            <v>4120177095</v>
          </cell>
          <cell r="F112" t="str">
            <v>54</v>
          </cell>
          <cell r="G112" t="str">
            <v>Perjalanan Dinas Non-Diklat</v>
          </cell>
          <cell r="H112" t="str">
            <v>Kota Makassar - Jakarta Pusat</v>
          </cell>
          <cell r="I112" t="str">
            <v>11/08/2025 - 14/08/2025</v>
          </cell>
          <cell r="J112" t="str">
            <v>4</v>
          </cell>
          <cell r="K112" t="str">
            <v>Hotel</v>
          </cell>
          <cell r="L112" t="str">
            <v>09-08-2025 19:27:14</v>
          </cell>
          <cell r="M112" t="str">
            <v xml:space="preserve">AONE Hotel - 4.0 Stars  - </v>
          </cell>
          <cell r="N112" t="str">
            <v>ASMAN MRO, KPT, DAN SMT</v>
          </cell>
          <cell r="O112" t="str">
            <v>7412111</v>
          </cell>
          <cell r="P112" t="str">
            <v>11/08/2025 14:00:00 - 13/08/2025 12:00:00</v>
          </cell>
          <cell r="Q112">
            <v>1680000</v>
          </cell>
          <cell r="R112" t="str">
            <v>SUCCESS</v>
          </cell>
        </row>
        <row r="113">
          <cell r="A113">
            <v>1275812074</v>
          </cell>
          <cell r="B113" t="str">
            <v>8610591Z</v>
          </cell>
          <cell r="C113" t="str">
            <v>YUSUF TRIADI</v>
          </cell>
          <cell r="D113">
            <v>86108001</v>
          </cell>
          <cell r="E113">
            <v>4120177095</v>
          </cell>
          <cell r="F113" t="str">
            <v>54</v>
          </cell>
          <cell r="G113" t="str">
            <v>Perjalanan Dinas Non-Diklat</v>
          </cell>
          <cell r="H113" t="str">
            <v>Kota Makassar - Jakarta Pusat</v>
          </cell>
          <cell r="I113" t="str">
            <v>11/08/2025 - 14/08/2025</v>
          </cell>
          <cell r="J113" t="str">
            <v>4</v>
          </cell>
          <cell r="K113" t="str">
            <v>Flight One Way</v>
          </cell>
          <cell r="L113" t="str">
            <v>09-08-2025 18:42:35</v>
          </cell>
          <cell r="M113" t="str">
            <v>Citilink Domestic UPG Hasanuddin QG-213 - Citilink 1B CGK Soekarno Hatta International Airport QG-213</v>
          </cell>
          <cell r="N113" t="str">
            <v>ASMAN MRO, KPT, DAN SMT</v>
          </cell>
          <cell r="O113" t="str">
            <v>7412111</v>
          </cell>
          <cell r="P113" t="str">
            <v>11/08/2025 13:35:00 - 11/08/2025 15:00:00</v>
          </cell>
          <cell r="Q113">
            <v>2023600</v>
          </cell>
          <cell r="R113" t="str">
            <v>SUCCESS</v>
          </cell>
        </row>
        <row r="114">
          <cell r="A114">
            <v>1276652079</v>
          </cell>
          <cell r="B114" t="str">
            <v>8610591Z</v>
          </cell>
          <cell r="C114" t="str">
            <v>YUSUF TRIADI</v>
          </cell>
          <cell r="D114">
            <v>86108001</v>
          </cell>
          <cell r="E114">
            <v>4120177095</v>
          </cell>
          <cell r="F114" t="str">
            <v>54</v>
          </cell>
          <cell r="G114" t="str">
            <v>Perjalanan Dinas Non-Diklat</v>
          </cell>
          <cell r="H114" t="str">
            <v>Kota Makassar - Jakarta Pusat</v>
          </cell>
          <cell r="I114" t="str">
            <v>11/08/2025 - 14/08/2025</v>
          </cell>
          <cell r="J114" t="str">
            <v>4</v>
          </cell>
          <cell r="K114" t="str">
            <v>Flight One Way</v>
          </cell>
          <cell r="L114" t="str">
            <v>13-08-2025 10:28:16</v>
          </cell>
          <cell r="M114" t="str">
            <v>Garuda Indonesia  CGK Soekarno Hatta International Airport GA-612 - Garuda Indonesia Domestic UPG Hasanuddin GA-612</v>
          </cell>
          <cell r="N114" t="str">
            <v>ASMAN MRO, KPT, DAN SMT</v>
          </cell>
          <cell r="O114" t="str">
            <v>7412111</v>
          </cell>
          <cell r="P114" t="str">
            <v>14/08/2025 14:25:00 - 14/08/2025 18:00:00</v>
          </cell>
          <cell r="Q114">
            <v>1433700</v>
          </cell>
          <cell r="R114" t="str">
            <v>SUCCESS</v>
          </cell>
        </row>
        <row r="115">
          <cell r="A115">
            <v>1276470045</v>
          </cell>
          <cell r="B115" t="str">
            <v>8610591Z</v>
          </cell>
          <cell r="C115" t="str">
            <v>YUSUF TRIADI</v>
          </cell>
          <cell r="D115">
            <v>86108001</v>
          </cell>
          <cell r="E115">
            <v>4120177095</v>
          </cell>
          <cell r="F115" t="str">
            <v>54</v>
          </cell>
          <cell r="G115" t="str">
            <v>Perjalanan Dinas Non-Diklat</v>
          </cell>
          <cell r="H115" t="str">
            <v>Kota Makassar - Jakarta Pusat</v>
          </cell>
          <cell r="I115" t="str">
            <v>11/08/2025 - 14/08/2025</v>
          </cell>
          <cell r="J115" t="str">
            <v>4</v>
          </cell>
          <cell r="K115" t="str">
            <v>Hotel</v>
          </cell>
          <cell r="L115" t="str">
            <v>12-08-2025 14:50:47</v>
          </cell>
          <cell r="M115" t="str">
            <v xml:space="preserve">THE 1O1 Jakarta Sedayu Darmawangsa - 4.0 Stars  - </v>
          </cell>
          <cell r="N115" t="str">
            <v>ASMAN MRO, KPT, DAN SMT</v>
          </cell>
          <cell r="O115" t="str">
            <v>7412111</v>
          </cell>
          <cell r="P115" t="str">
            <v>13/08/2025 14:00:00 - 14/08/2025 12:00:00</v>
          </cell>
          <cell r="Q115">
            <v>892296</v>
          </cell>
          <cell r="R115" t="str">
            <v>SUCCESS</v>
          </cell>
        </row>
        <row r="116">
          <cell r="A116">
            <v>1275926631</v>
          </cell>
          <cell r="B116" t="str">
            <v>7095015F</v>
          </cell>
          <cell r="C116" t="str">
            <v xml:space="preserve">EDYANSYAH </v>
          </cell>
          <cell r="D116">
            <v>70957602</v>
          </cell>
          <cell r="E116">
            <v>4120177096</v>
          </cell>
          <cell r="F116" t="str">
            <v>54</v>
          </cell>
          <cell r="G116" t="str">
            <v>Perjalanan Dinas Non-Diklat</v>
          </cell>
          <cell r="H116" t="str">
            <v>Jakarta Pusat - Kota Makassar</v>
          </cell>
          <cell r="I116" t="str">
            <v>11/08/2025 - 11/08/2025</v>
          </cell>
          <cell r="J116" t="str">
            <v>1</v>
          </cell>
          <cell r="K116" t="str">
            <v>Flight One Way</v>
          </cell>
          <cell r="L116" t="str">
            <v>10-08-2025 10:07:16</v>
          </cell>
          <cell r="M116" t="str">
            <v>Garuda Indonesia  CGK Soekarno Hatta International Airport GA-618 - Garuda Indonesia Domestic UPG Hasanuddin GA-618</v>
          </cell>
          <cell r="N116" t="str">
            <v>GM</v>
          </cell>
          <cell r="O116" t="str">
            <v>7412000</v>
          </cell>
          <cell r="P116" t="str">
            <v>11/08/2025 20:15:00 - 11/08/2025 23:50:00</v>
          </cell>
          <cell r="Q116">
            <v>1837700</v>
          </cell>
          <cell r="R116" t="str">
            <v>SUCCESS</v>
          </cell>
        </row>
        <row r="117">
          <cell r="A117">
            <v>1275446055</v>
          </cell>
          <cell r="B117" t="str">
            <v>8408025F</v>
          </cell>
          <cell r="C117" t="str">
            <v>HARYADI KASIM</v>
          </cell>
          <cell r="D117">
            <v>84087606</v>
          </cell>
          <cell r="E117">
            <v>4120177094</v>
          </cell>
          <cell r="F117" t="str">
            <v>54</v>
          </cell>
          <cell r="G117" t="str">
            <v>Perjalanan Dinas Non-Diklat</v>
          </cell>
          <cell r="H117" t="str">
            <v>Kota Makassar - Kota Palu</v>
          </cell>
          <cell r="I117" t="str">
            <v>10/08/2025 - 13/08/2025</v>
          </cell>
          <cell r="J117" t="str">
            <v>4</v>
          </cell>
          <cell r="K117" t="str">
            <v>Flight One Way</v>
          </cell>
          <cell r="L117" t="str">
            <v>08-08-2025 13:31:26</v>
          </cell>
          <cell r="M117" t="str">
            <v>Garuda Indonesia Domestic UPG Hasanuddin GA-608 - Garuda Indonesia  PLW Mutiara SIS Aljufri GA-608</v>
          </cell>
          <cell r="N117" t="str">
            <v>ASMAN PDKB</v>
          </cell>
          <cell r="O117" t="str">
            <v>7412000</v>
          </cell>
          <cell r="P117" t="str">
            <v>10/08/2025 13:30:00 - 10/08/2025 14:50:00</v>
          </cell>
          <cell r="Q117">
            <v>1361600</v>
          </cell>
          <cell r="R117" t="str">
            <v>SUCCESS</v>
          </cell>
        </row>
        <row r="118">
          <cell r="A118">
            <v>1275487655</v>
          </cell>
          <cell r="B118" t="str">
            <v>8408025F</v>
          </cell>
          <cell r="C118" t="str">
            <v>HARYADI KASIM</v>
          </cell>
          <cell r="D118">
            <v>84087606</v>
          </cell>
          <cell r="E118">
            <v>4120177094</v>
          </cell>
          <cell r="F118" t="str">
            <v>54</v>
          </cell>
          <cell r="G118" t="str">
            <v>Perjalanan Dinas Non-Diklat</v>
          </cell>
          <cell r="H118" t="str">
            <v>Kota Makassar - Kota Palu</v>
          </cell>
          <cell r="I118" t="str">
            <v>10/08/2025 - 13/08/2025</v>
          </cell>
          <cell r="J118" t="str">
            <v>4</v>
          </cell>
          <cell r="K118" t="str">
            <v>Flight One Way</v>
          </cell>
          <cell r="L118" t="str">
            <v>08-08-2025 15:47:09</v>
          </cell>
          <cell r="M118" t="str">
            <v>Lion Air  PLW Mutiara SIS Aljufri JT-781 - Lion Air Domestic UPG Hasanuddin JT-781</v>
          </cell>
          <cell r="N118" t="str">
            <v>ASMAN PDKB</v>
          </cell>
          <cell r="O118" t="str">
            <v>7412000</v>
          </cell>
          <cell r="P118" t="str">
            <v>13/08/2025 06:00:00 - 13/08/2025 07:10:00</v>
          </cell>
          <cell r="Q118">
            <v>1033500</v>
          </cell>
          <cell r="R118" t="str">
            <v>SUCCESS</v>
          </cell>
        </row>
        <row r="119">
          <cell r="A119">
            <v>1275453667</v>
          </cell>
          <cell r="B119" t="str">
            <v>8408025F</v>
          </cell>
          <cell r="C119" t="str">
            <v>HARYADI KASIM</v>
          </cell>
          <cell r="D119">
            <v>84087606</v>
          </cell>
          <cell r="E119">
            <v>4120177094</v>
          </cell>
          <cell r="F119" t="str">
            <v>54</v>
          </cell>
          <cell r="G119" t="str">
            <v>Perjalanan Dinas Non-Diklat</v>
          </cell>
          <cell r="H119" t="str">
            <v>Kota Makassar - Kota Palu</v>
          </cell>
          <cell r="I119" t="str">
            <v>10/08/2025 - 13/08/2025</v>
          </cell>
          <cell r="J119" t="str">
            <v>4</v>
          </cell>
          <cell r="K119" t="str">
            <v>Hotel</v>
          </cell>
          <cell r="L119" t="str">
            <v>08-08-2025 13:55:27</v>
          </cell>
          <cell r="M119" t="str">
            <v xml:space="preserve">Hotel Santika Palu - 3.0 Stars  - </v>
          </cell>
          <cell r="N119" t="str">
            <v>ASMAN PDKB</v>
          </cell>
          <cell r="O119" t="str">
            <v>7412000</v>
          </cell>
          <cell r="P119" t="str">
            <v>10/08/2025 14:00:00 - 13/08/2025 12:00:00</v>
          </cell>
          <cell r="Q119">
            <v>2346000</v>
          </cell>
          <cell r="R119" t="str">
            <v>SUCCESS</v>
          </cell>
        </row>
        <row r="120">
          <cell r="A120">
            <v>1275201411</v>
          </cell>
          <cell r="B120" t="str">
            <v>9716009FY</v>
          </cell>
          <cell r="C120" t="str">
            <v>HAIRIN MUFAHIR</v>
          </cell>
          <cell r="D120">
            <v>97167808</v>
          </cell>
          <cell r="E120">
            <v>4120177083</v>
          </cell>
          <cell r="F120" t="str">
            <v>54</v>
          </cell>
          <cell r="G120" t="str">
            <v>Perjalanan Dinas Non-Diklat</v>
          </cell>
          <cell r="H120" t="str">
            <v>Kota Makassar - Kota Parepare</v>
          </cell>
          <cell r="I120" t="str">
            <v>07/08/2025 - 08/08/2025</v>
          </cell>
          <cell r="J120" t="str">
            <v>2</v>
          </cell>
          <cell r="K120" t="str">
            <v>Hotel</v>
          </cell>
          <cell r="L120" t="str">
            <v>07-08-2025 16:48:41</v>
          </cell>
          <cell r="M120" t="str">
            <v xml:space="preserve">Pare Beach Hotel - 0.0 Stars  - </v>
          </cell>
          <cell r="N120" t="str">
            <v>JOF LOG</v>
          </cell>
          <cell r="O120" t="str">
            <v>7412000</v>
          </cell>
          <cell r="P120" t="str">
            <v>07/08/2025 14:00:00 - 08/08/2025 12:00:00</v>
          </cell>
          <cell r="Q120">
            <v>750000</v>
          </cell>
          <cell r="R120" t="str">
            <v>SUCCESS</v>
          </cell>
        </row>
        <row r="121">
          <cell r="A121">
            <v>1275084223</v>
          </cell>
          <cell r="B121" t="str">
            <v>94162107ZY</v>
          </cell>
          <cell r="C121" t="str">
            <v>ALDIS AL FADJRIN</v>
          </cell>
          <cell r="D121">
            <v>94167622</v>
          </cell>
          <cell r="E121">
            <v>4120177069</v>
          </cell>
          <cell r="F121" t="str">
            <v>54</v>
          </cell>
          <cell r="G121" t="str">
            <v>Perjalanan Dinas Diklat</v>
          </cell>
          <cell r="H121" t="str">
            <v>Kota Kendari - Kota Makassar</v>
          </cell>
          <cell r="I121" t="str">
            <v>14/08/2025 - 16/08/2025</v>
          </cell>
          <cell r="J121" t="str">
            <v>3</v>
          </cell>
          <cell r="K121" t="str">
            <v>Flight Round-Trip</v>
          </cell>
          <cell r="L121" t="str">
            <v>07-08-2025 09:32:06</v>
          </cell>
          <cell r="M121" t="str">
            <v>Lion Air  KDI Haluoleo JT-997 - Lion Air Domestic UPG Hasanuddin JT-997</v>
          </cell>
          <cell r="N121" t="str">
            <v>TL LOG</v>
          </cell>
          <cell r="O121" t="str">
            <v>7412240</v>
          </cell>
          <cell r="P121" t="str">
            <v>14/08/2025 15:35:00 - 14/08/2025 16:30:00</v>
          </cell>
          <cell r="Q121">
            <v>1830900</v>
          </cell>
          <cell r="R121" t="str">
            <v>SUCCESS</v>
          </cell>
        </row>
        <row r="122">
          <cell r="A122">
            <v>1275507120</v>
          </cell>
          <cell r="B122" t="str">
            <v>9212030FY</v>
          </cell>
          <cell r="C122" t="str">
            <v>AHMAD AKMAL</v>
          </cell>
          <cell r="D122">
            <v>92127612</v>
          </cell>
          <cell r="E122">
            <v>4120176926</v>
          </cell>
          <cell r="F122" t="str">
            <v>54</v>
          </cell>
          <cell r="G122" t="str">
            <v>Perjalanan Dinas Diklat</v>
          </cell>
          <cell r="H122" t="str">
            <v>Kab. Bombana - Jakarta Barat</v>
          </cell>
          <cell r="I122" t="str">
            <v>04/08/2025 - 10/08/2025</v>
          </cell>
          <cell r="J122" t="str">
            <v>7</v>
          </cell>
          <cell r="K122" t="str">
            <v>Flight One Way</v>
          </cell>
          <cell r="L122" t="str">
            <v>08-08-2025 16:54:59</v>
          </cell>
          <cell r="M122" t="str">
            <v>Batik Air 2D CGK Soekarno Hatta International Airport ID-6264 - Batik Air  KXB Sangia Nibandera ID-6264</v>
          </cell>
          <cell r="N122" t="str">
            <v>OF KIN DAN ADM LAY GAN</v>
          </cell>
          <cell r="O122" t="str">
            <v>7409629</v>
          </cell>
          <cell r="P122" t="str">
            <v>09/08/2025 02:20:00 - 09/08/2025 08:00:00</v>
          </cell>
          <cell r="Q122">
            <v>2335300</v>
          </cell>
          <cell r="R122" t="str">
            <v>SUCCESS</v>
          </cell>
        </row>
        <row r="123">
          <cell r="A123">
            <v>1275251877</v>
          </cell>
          <cell r="B123" t="str">
            <v>8812079ZY</v>
          </cell>
          <cell r="C123" t="str">
            <v>MUHAMMAD REZA MULYADI</v>
          </cell>
          <cell r="D123">
            <v>88127600</v>
          </cell>
          <cell r="E123">
            <v>4120177055</v>
          </cell>
          <cell r="F123" t="str">
            <v>54</v>
          </cell>
          <cell r="G123" t="str">
            <v>Perjalanan Dinas Non-Diklat</v>
          </cell>
          <cell r="H123" t="str">
            <v>Kota Makassar - Kab. Tangerang</v>
          </cell>
          <cell r="I123" t="str">
            <v>07/08/2025 - 09/08/2025</v>
          </cell>
          <cell r="J123" t="str">
            <v>3</v>
          </cell>
          <cell r="K123" t="str">
            <v>Hotel</v>
          </cell>
          <cell r="L123" t="str">
            <v>07-08-2025 20:06:37</v>
          </cell>
          <cell r="M123" t="str">
            <v xml:space="preserve">Golden Tulip Essential Tangerang - 4.0 Stars  - </v>
          </cell>
          <cell r="N123" t="str">
            <v>ASMAN FAS OP</v>
          </cell>
          <cell r="O123" t="str">
            <v>7408341</v>
          </cell>
          <cell r="P123" t="str">
            <v>08/08/2025 14:00:00 - 09/08/2025 12:00:00</v>
          </cell>
          <cell r="Q123">
            <v>720251</v>
          </cell>
          <cell r="R123" t="str">
            <v>SUCCESS</v>
          </cell>
        </row>
        <row r="124">
          <cell r="A124">
            <v>1275250626</v>
          </cell>
          <cell r="B124" t="str">
            <v>8812079ZY</v>
          </cell>
          <cell r="C124" t="str">
            <v>MUHAMMAD REZA MULYADI</v>
          </cell>
          <cell r="D124">
            <v>88127600</v>
          </cell>
          <cell r="E124">
            <v>4120177055</v>
          </cell>
          <cell r="F124" t="str">
            <v>54</v>
          </cell>
          <cell r="G124" t="str">
            <v>Perjalanan Dinas Non-Diklat</v>
          </cell>
          <cell r="H124" t="str">
            <v>Kota Makassar - Kab. Tangerang</v>
          </cell>
          <cell r="I124" t="str">
            <v>07/08/2025 - 09/08/2025</v>
          </cell>
          <cell r="J124" t="str">
            <v>3</v>
          </cell>
          <cell r="K124" t="str">
            <v>Flight One Way</v>
          </cell>
          <cell r="L124" t="str">
            <v>07-08-2025 20:02:14</v>
          </cell>
          <cell r="M124" t="str">
            <v>Garuda Indonesia  CGK Soekarno Hatta International Airport GA-612 - Garuda Indonesia Domestic UPG Hasanuddin GA-612</v>
          </cell>
          <cell r="N124" t="str">
            <v>ASMAN FAS OP</v>
          </cell>
          <cell r="O124" t="str">
            <v>7408341</v>
          </cell>
          <cell r="P124" t="str">
            <v>09/08/2025 14:25:00 - 09/08/2025 18:00:00</v>
          </cell>
          <cell r="Q124">
            <v>1890500</v>
          </cell>
          <cell r="R124" t="str">
            <v>SUCCESS</v>
          </cell>
        </row>
        <row r="125">
          <cell r="A125">
            <v>1274933291</v>
          </cell>
          <cell r="B125" t="str">
            <v>8812079ZY</v>
          </cell>
          <cell r="C125" t="str">
            <v>MUHAMMAD REZA MULYADI</v>
          </cell>
          <cell r="D125">
            <v>88127600</v>
          </cell>
          <cell r="E125">
            <v>4120177055</v>
          </cell>
          <cell r="F125" t="str">
            <v>54</v>
          </cell>
          <cell r="G125" t="str">
            <v>Perjalanan Dinas Non-Diklat</v>
          </cell>
          <cell r="H125" t="str">
            <v>Kota Makassar - Kab. Tangerang</v>
          </cell>
          <cell r="I125" t="str">
            <v>07/08/2025 - 09/08/2025</v>
          </cell>
          <cell r="J125" t="str">
            <v>3</v>
          </cell>
          <cell r="K125" t="str">
            <v>Hotel</v>
          </cell>
          <cell r="L125" t="str">
            <v>06-08-2025 16:51:58</v>
          </cell>
          <cell r="M125" t="str">
            <v>Aryaduta Lippo Village - 4.0 Stars  - Deluxe Smoking</v>
          </cell>
          <cell r="N125" t="str">
            <v>ASMAN FAS OP</v>
          </cell>
          <cell r="O125" t="str">
            <v>7408341</v>
          </cell>
          <cell r="P125" t="str">
            <v>07/08/2025 14:00:00 - 08/08/2025 12:00:00</v>
          </cell>
          <cell r="Q125">
            <v>963568</v>
          </cell>
          <cell r="R125" t="str">
            <v>SUCCESS</v>
          </cell>
        </row>
        <row r="126">
          <cell r="A126">
            <v>1274914398</v>
          </cell>
          <cell r="B126" t="str">
            <v>8812079ZY</v>
          </cell>
          <cell r="C126" t="str">
            <v>MUHAMMAD REZA MULYADI</v>
          </cell>
          <cell r="D126">
            <v>88127600</v>
          </cell>
          <cell r="E126">
            <v>4120177055</v>
          </cell>
          <cell r="F126" t="str">
            <v>54</v>
          </cell>
          <cell r="G126" t="str">
            <v>Perjalanan Dinas Non-Diklat</v>
          </cell>
          <cell r="H126" t="str">
            <v>Kota Makassar - Kab. Tangerang</v>
          </cell>
          <cell r="I126" t="str">
            <v>07/08/2025 - 09/08/2025</v>
          </cell>
          <cell r="J126" t="str">
            <v>3</v>
          </cell>
          <cell r="K126" t="str">
            <v>Flight One Way</v>
          </cell>
          <cell r="L126" t="str">
            <v>06-08-2025 15:38:31</v>
          </cell>
          <cell r="M126" t="str">
            <v>Garuda Indonesia Domestic UPG Hasanuddin GA-611 - Garuda Indonesia  CGK Soekarno Hatta International Airport GA-611</v>
          </cell>
          <cell r="N126" t="str">
            <v>ASMAN FAS OP</v>
          </cell>
          <cell r="O126" t="str">
            <v>7408341</v>
          </cell>
          <cell r="P126" t="str">
            <v>07/08/2025 11:20:00 - 07/08/2025 12:45:00</v>
          </cell>
          <cell r="Q126">
            <v>1376300</v>
          </cell>
          <cell r="R126" t="str">
            <v>SUCCESS</v>
          </cell>
        </row>
        <row r="127">
          <cell r="A127">
            <v>1276122601</v>
          </cell>
          <cell r="B127" t="str">
            <v>90163536ZY</v>
          </cell>
          <cell r="C127" t="str">
            <v>LUKMAN HALIS JALIL</v>
          </cell>
          <cell r="D127">
            <v>90167613</v>
          </cell>
          <cell r="E127">
            <v>4120177053</v>
          </cell>
          <cell r="F127" t="str">
            <v>54</v>
          </cell>
          <cell r="G127" t="str">
            <v>Perjalanan Dinas Diklat</v>
          </cell>
          <cell r="H127" t="str">
            <v>Kota Baubau - Kota Makassar</v>
          </cell>
          <cell r="I127" t="str">
            <v>14/08/2025 - 16/08/2025</v>
          </cell>
          <cell r="J127" t="str">
            <v>3</v>
          </cell>
          <cell r="K127" t="str">
            <v>Flight One Way</v>
          </cell>
          <cell r="L127" t="str">
            <v>11-08-2025 07:49:46</v>
          </cell>
          <cell r="M127" t="str">
            <v>Super Air Jet  BUW Betoambari IU-573 - Super Air Jet  UPG Hasanuddin IU-573</v>
          </cell>
          <cell r="N127" t="str">
            <v>TL LOG</v>
          </cell>
          <cell r="O127" t="str">
            <v>7409281</v>
          </cell>
          <cell r="P127" t="str">
            <v>14/08/2025 15:35:00 - 14/08/2025 16:20:00</v>
          </cell>
          <cell r="Q127">
            <v>744200</v>
          </cell>
          <cell r="R127" t="str">
            <v>SUCCESS</v>
          </cell>
        </row>
        <row r="128">
          <cell r="A128">
            <v>1274917154</v>
          </cell>
          <cell r="B128" t="str">
            <v>90161090ZY</v>
          </cell>
          <cell r="C128" t="str">
            <v>PERI INDRIYANTO</v>
          </cell>
          <cell r="D128">
            <v>90167604</v>
          </cell>
          <cell r="E128">
            <v>4120177046</v>
          </cell>
          <cell r="F128" t="str">
            <v>54</v>
          </cell>
          <cell r="G128" t="str">
            <v>Perjalanan Dinas Non-Diklat</v>
          </cell>
          <cell r="H128" t="str">
            <v>Kab. Sidenreng Rappang - Kota Bandung</v>
          </cell>
          <cell r="I128" t="str">
            <v>06/08/2025 - 08/08/2025</v>
          </cell>
          <cell r="J128" t="str">
            <v>3</v>
          </cell>
          <cell r="K128" t="str">
            <v>Hotel</v>
          </cell>
          <cell r="L128" t="str">
            <v>06-08-2025 15:48:45</v>
          </cell>
          <cell r="M128" t="str">
            <v xml:space="preserve">Grand Hotel Preanger - 5.0 Stars  - </v>
          </cell>
          <cell r="N128" t="str">
            <v>MUL ULP (PANGSID)</v>
          </cell>
          <cell r="O128" t="str">
            <v>7409613</v>
          </cell>
          <cell r="P128" t="str">
            <v>06/08/2025 14:00:00 - 07/08/2025 12:00:00</v>
          </cell>
          <cell r="Q128">
            <v>807500</v>
          </cell>
          <cell r="R128" t="str">
            <v>SUCCESS</v>
          </cell>
        </row>
        <row r="129">
          <cell r="A129">
            <v>1274756975</v>
          </cell>
          <cell r="B129" t="str">
            <v>90161090ZY</v>
          </cell>
          <cell r="C129" t="str">
            <v>PERI INDRIYANTO</v>
          </cell>
          <cell r="D129">
            <v>90167604</v>
          </cell>
          <cell r="E129">
            <v>4120177046</v>
          </cell>
          <cell r="F129" t="str">
            <v>54</v>
          </cell>
          <cell r="G129" t="str">
            <v>Perjalanan Dinas Non-Diklat</v>
          </cell>
          <cell r="H129" t="str">
            <v>Kab. Sidenreng Rappang - Kota Bandung</v>
          </cell>
          <cell r="I129" t="str">
            <v>06/08/2025 - 08/08/2025</v>
          </cell>
          <cell r="J129" t="str">
            <v>3</v>
          </cell>
          <cell r="K129" t="str">
            <v>Flight One Way</v>
          </cell>
          <cell r="L129" t="str">
            <v>05-08-2025 23:00:16</v>
          </cell>
          <cell r="M129" t="str">
            <v>Garuda Indonesia Domestic UPG Hasanuddin GA-641 - Garuda Indonesia  CGK Soekarno Hatta International Airport GA-641</v>
          </cell>
          <cell r="N129" t="str">
            <v>MUL ULP (PANGSID)</v>
          </cell>
          <cell r="O129" t="str">
            <v>7409613</v>
          </cell>
          <cell r="P129" t="str">
            <v>06/08/2025 12:15:00 - 06/08/2025 13:40:00</v>
          </cell>
          <cell r="Q129">
            <v>2350900</v>
          </cell>
          <cell r="R129" t="str">
            <v>SUCCESS</v>
          </cell>
        </row>
        <row r="130">
          <cell r="A130">
            <v>1275175373</v>
          </cell>
          <cell r="B130" t="str">
            <v>7904006F</v>
          </cell>
          <cell r="C130" t="str">
            <v>YULI ASHANIAIS RAMADANI</v>
          </cell>
          <cell r="D130">
            <v>79047601</v>
          </cell>
          <cell r="E130">
            <v>4120177045</v>
          </cell>
          <cell r="F130" t="str">
            <v>54</v>
          </cell>
          <cell r="G130" t="str">
            <v>Perjalanan Dinas Non-Diklat</v>
          </cell>
          <cell r="H130" t="str">
            <v>Jakarta Selatan - Jakarta Selatan</v>
          </cell>
          <cell r="I130" t="str">
            <v>06/08/2025 - 08/08/2025</v>
          </cell>
          <cell r="J130" t="str">
            <v>3</v>
          </cell>
          <cell r="K130" t="str">
            <v>Flight One Way</v>
          </cell>
          <cell r="L130" t="str">
            <v>07-08-2025 15:06:25</v>
          </cell>
          <cell r="M130" t="str">
            <v>Garuda Indonesia  CGK Soekarno Hatta International Airport GA-604 - Garuda Indonesia Domestic UPG Hasanuddin GA-604</v>
          </cell>
          <cell r="N130" t="str">
            <v>SM AGA DAN MANJ GAN</v>
          </cell>
          <cell r="O130" t="str">
            <v>7411140</v>
          </cell>
          <cell r="P130" t="str">
            <v>08/08/2025 02:50:00 - 08/08/2025 06:25:00</v>
          </cell>
          <cell r="Q130">
            <v>2399800</v>
          </cell>
          <cell r="R130" t="str">
            <v>SUCCESS</v>
          </cell>
        </row>
        <row r="131">
          <cell r="A131">
            <v>1274754772</v>
          </cell>
          <cell r="B131" t="str">
            <v>7904006F</v>
          </cell>
          <cell r="C131" t="str">
            <v>YULI ASHANIAIS RAMADANI</v>
          </cell>
          <cell r="D131">
            <v>79047601</v>
          </cell>
          <cell r="E131">
            <v>4120177045</v>
          </cell>
          <cell r="F131" t="str">
            <v>54</v>
          </cell>
          <cell r="G131" t="str">
            <v>Perjalanan Dinas Non-Diklat</v>
          </cell>
          <cell r="H131" t="str">
            <v>Jakarta Selatan - Jakarta Selatan</v>
          </cell>
          <cell r="I131" t="str">
            <v>06/08/2025 - 08/08/2025</v>
          </cell>
          <cell r="J131" t="str">
            <v>3</v>
          </cell>
          <cell r="K131" t="str">
            <v>Hotel</v>
          </cell>
          <cell r="L131" t="str">
            <v>05-08-2025 22:48:26</v>
          </cell>
          <cell r="M131" t="str">
            <v xml:space="preserve">Hotel GranDhika Iskandarsyah - 4.0 Stars  - </v>
          </cell>
          <cell r="N131" t="str">
            <v>SM AGA DAN MANJ GAN</v>
          </cell>
          <cell r="O131" t="str">
            <v>7411140</v>
          </cell>
          <cell r="P131" t="str">
            <v>06/08/2025 14:00:00 - 07/08/2025 12:00:00</v>
          </cell>
          <cell r="Q131">
            <v>1196000</v>
          </cell>
          <cell r="R131" t="str">
            <v>SUCCESS</v>
          </cell>
        </row>
        <row r="132">
          <cell r="A132">
            <v>1274741677</v>
          </cell>
          <cell r="B132" t="str">
            <v>7904006F</v>
          </cell>
          <cell r="C132" t="str">
            <v>YULI ASHANIAIS RAMADANI</v>
          </cell>
          <cell r="D132">
            <v>79047601</v>
          </cell>
          <cell r="E132">
            <v>4120177045</v>
          </cell>
          <cell r="F132" t="str">
            <v>54</v>
          </cell>
          <cell r="G132" t="str">
            <v>Perjalanan Dinas Non-Diklat</v>
          </cell>
          <cell r="H132" t="str">
            <v>Jakarta Selatan - Jakarta Selatan</v>
          </cell>
          <cell r="I132" t="str">
            <v>06/08/2025 - 08/08/2025</v>
          </cell>
          <cell r="J132" t="str">
            <v>3</v>
          </cell>
          <cell r="K132" t="str">
            <v>Flight One Way</v>
          </cell>
          <cell r="L132" t="str">
            <v>05-08-2025 21:50:42</v>
          </cell>
          <cell r="M132" t="str">
            <v>Citilink Domestic UPG Hasanuddin QG-213 - Citilink 1B CGK Soekarno Hatta International Airport QG-213</v>
          </cell>
          <cell r="N132" t="str">
            <v>SM AGA DAN MANJ GAN</v>
          </cell>
          <cell r="O132" t="str">
            <v>7411140</v>
          </cell>
          <cell r="P132" t="str">
            <v>06/08/2025 13:35:00 - 06/08/2025 15:00:00</v>
          </cell>
          <cell r="Q132">
            <v>1276600</v>
          </cell>
          <cell r="R132" t="str">
            <v>SUCCESS</v>
          </cell>
        </row>
        <row r="133">
          <cell r="A133">
            <v>1275191457</v>
          </cell>
          <cell r="B133" t="str">
            <v>8408499Z</v>
          </cell>
          <cell r="C133" t="str">
            <v>MIRSAN</v>
          </cell>
          <cell r="D133">
            <v>84087802</v>
          </cell>
          <cell r="E133">
            <v>4120177043</v>
          </cell>
          <cell r="F133" t="str">
            <v>54</v>
          </cell>
          <cell r="G133" t="str">
            <v>Perjalanan Dinas Non-Diklat</v>
          </cell>
          <cell r="H133" t="str">
            <v>Makassar-JakartaSelatan</v>
          </cell>
          <cell r="I133" t="str">
            <v>06/08/2025 - 08/08/2025</v>
          </cell>
          <cell r="J133" t="str">
            <v>3</v>
          </cell>
          <cell r="K133" t="str">
            <v>Flight One Way</v>
          </cell>
          <cell r="L133" t="str">
            <v>07-08-2025 16:09:34</v>
          </cell>
          <cell r="M133" t="str">
            <v>Batik Air 2D CGK Soekarno Hatta International Airport ID-6264 - Batik Air Domestic UPG Hasanuddin ID-6264</v>
          </cell>
          <cell r="N133" t="str">
            <v>MAN YAN PRIORITAS DAN PAE</v>
          </cell>
          <cell r="O133" t="str">
            <v>0007411140</v>
          </cell>
          <cell r="P133" t="str">
            <v>08/08/2025 02:20:00 - 08/08/2025 05:40:00</v>
          </cell>
          <cell r="Q133">
            <v>1750000</v>
          </cell>
          <cell r="R133" t="str">
            <v>SUCCESS</v>
          </cell>
        </row>
        <row r="134">
          <cell r="A134">
            <v>1274687654</v>
          </cell>
          <cell r="B134" t="str">
            <v>8408499Z</v>
          </cell>
          <cell r="C134" t="str">
            <v xml:space="preserve">MIRSAN </v>
          </cell>
          <cell r="D134">
            <v>84087802</v>
          </cell>
          <cell r="E134">
            <v>4120177043</v>
          </cell>
          <cell r="F134" t="str">
            <v>54</v>
          </cell>
          <cell r="G134" t="str">
            <v>Perjalanan Dinas Non-Diklat</v>
          </cell>
          <cell r="H134" t="str">
            <v>Jakarta Selatan - Jakarta Selatan</v>
          </cell>
          <cell r="I134" t="str">
            <v>06/08/2025 - 08/08/2025</v>
          </cell>
          <cell r="J134" t="str">
            <v>3</v>
          </cell>
          <cell r="K134" t="str">
            <v>Flight One Way</v>
          </cell>
          <cell r="L134" t="str">
            <v>05-08-2025 18:21:01</v>
          </cell>
          <cell r="M134" t="str">
            <v>Garuda Indonesia Domestic UPG Hasanuddin GA-641 - Garuda Indonesia  CGK Soekarno Hatta International Airport GA-641</v>
          </cell>
          <cell r="N134" t="str">
            <v>MAN YAN PRIORITAS DAN PAE</v>
          </cell>
          <cell r="O134" t="str">
            <v>7411140</v>
          </cell>
          <cell r="P134" t="str">
            <v>06/08/2025 12:15:00 - 06/08/2025 13:40:00</v>
          </cell>
          <cell r="Q134">
            <v>2326500</v>
          </cell>
          <cell r="R134" t="str">
            <v>SUCCESS</v>
          </cell>
        </row>
        <row r="135">
          <cell r="A135">
            <v>1274757566</v>
          </cell>
          <cell r="B135" t="str">
            <v>94161766ZY</v>
          </cell>
          <cell r="C135" t="str">
            <v>ARIF INDRA WIBOWO</v>
          </cell>
          <cell r="D135">
            <v>94167614</v>
          </cell>
          <cell r="E135">
            <v>4120177021</v>
          </cell>
          <cell r="F135" t="str">
            <v>54</v>
          </cell>
          <cell r="G135" t="str">
            <v>Perjalanan Dinas Non-Diklat</v>
          </cell>
          <cell r="H135" t="str">
            <v>Kota Parepare - Kota Bandung</v>
          </cell>
          <cell r="I135" t="str">
            <v>06/08/2025 - 08/08/2025</v>
          </cell>
          <cell r="J135" t="str">
            <v>3</v>
          </cell>
          <cell r="K135" t="str">
            <v>Flight One Way</v>
          </cell>
          <cell r="L135" t="str">
            <v>05-08-2025 23:03:42</v>
          </cell>
          <cell r="M135" t="str">
            <v>Garuda Indonesia Domestic UPG Hasanuddin GA-641 - Garuda Indonesia  CGK Soekarno Hatta International Airport GA-641</v>
          </cell>
          <cell r="N135" t="str">
            <v>TL SALES RET</v>
          </cell>
          <cell r="O135" t="str">
            <v>7412223</v>
          </cell>
          <cell r="P135" t="str">
            <v>06/08/2025 12:15:00 - 06/08/2025 13:40:00</v>
          </cell>
          <cell r="Q135">
            <v>2350900</v>
          </cell>
          <cell r="R135" t="str">
            <v>SUCCESS</v>
          </cell>
        </row>
        <row r="136">
          <cell r="A136">
            <v>1275233760</v>
          </cell>
          <cell r="B136" t="str">
            <v>94161766ZY</v>
          </cell>
          <cell r="C136" t="str">
            <v>ARIF INDRA WIBOWO</v>
          </cell>
          <cell r="D136">
            <v>94167614</v>
          </cell>
          <cell r="E136">
            <v>4120177021</v>
          </cell>
          <cell r="F136" t="str">
            <v>54</v>
          </cell>
          <cell r="G136" t="str">
            <v>Perjalanan Dinas Non-Diklat</v>
          </cell>
          <cell r="H136" t="str">
            <v>Kota Parepare - Kota Bandung</v>
          </cell>
          <cell r="I136" t="str">
            <v>06/08/2025 - 08/08/2025</v>
          </cell>
          <cell r="J136" t="str">
            <v>3</v>
          </cell>
          <cell r="K136" t="str">
            <v>Hotel</v>
          </cell>
          <cell r="L136" t="str">
            <v>07-08-2025 19:00:22</v>
          </cell>
          <cell r="M136" t="str">
            <v xml:space="preserve">Horison Ultima Bandung - 4.0 Stars  - </v>
          </cell>
          <cell r="N136" t="str">
            <v>TL SALES RET</v>
          </cell>
          <cell r="O136" t="str">
            <v>7412223</v>
          </cell>
          <cell r="P136" t="str">
            <v>07/08/2025 14:00:00 - 08/08/2025 12:00:00</v>
          </cell>
          <cell r="Q136">
            <v>762818</v>
          </cell>
          <cell r="R136" t="str">
            <v>SUCCESS</v>
          </cell>
        </row>
        <row r="137">
          <cell r="A137">
            <v>1275445106</v>
          </cell>
          <cell r="B137" t="str">
            <v>94161766ZY</v>
          </cell>
          <cell r="C137" t="str">
            <v>ARIF INDRA WIBOWO</v>
          </cell>
          <cell r="D137">
            <v>94167614</v>
          </cell>
          <cell r="E137">
            <v>4120177021</v>
          </cell>
          <cell r="F137" t="str">
            <v>54</v>
          </cell>
          <cell r="G137" t="str">
            <v>Perjalanan Dinas Non-Diklat</v>
          </cell>
          <cell r="H137" t="str">
            <v>Kota Parepare - Kota Bandung</v>
          </cell>
          <cell r="I137" t="str">
            <v>06/08/2025 - 08/08/2025</v>
          </cell>
          <cell r="J137" t="str">
            <v>3</v>
          </cell>
          <cell r="K137" t="str">
            <v>Flight One Way</v>
          </cell>
          <cell r="L137" t="str">
            <v>08-08-2025 13:28:49</v>
          </cell>
          <cell r="M137" t="str">
            <v>Super Air Jet 2E CGK Soekarno Hatta International Airport IU-244 - Super Air Jet  UPG Hasanuddin IU-244</v>
          </cell>
          <cell r="N137" t="str">
            <v>TL SALES RET</v>
          </cell>
          <cell r="O137" t="str">
            <v>0007412223</v>
          </cell>
          <cell r="P137" t="str">
            <v>08/08/2025 21:00:00 - 09/08/2025 00:20:00</v>
          </cell>
          <cell r="Q137">
            <v>988000</v>
          </cell>
          <cell r="R137" t="str">
            <v>SUCCESS</v>
          </cell>
        </row>
        <row r="138">
          <cell r="A138">
            <v>1274916803</v>
          </cell>
          <cell r="B138" t="str">
            <v>94161766ZY</v>
          </cell>
          <cell r="C138" t="str">
            <v>ARIF INDRA WIBOWO</v>
          </cell>
          <cell r="D138">
            <v>94167614</v>
          </cell>
          <cell r="E138">
            <v>4120177021</v>
          </cell>
          <cell r="F138" t="str">
            <v>54</v>
          </cell>
          <cell r="G138" t="str">
            <v>Perjalanan Dinas Non-Diklat</v>
          </cell>
          <cell r="H138" t="str">
            <v>Kota Parepare - Kota Bandung</v>
          </cell>
          <cell r="I138" t="str">
            <v>06/08/2025 - 08/08/2025</v>
          </cell>
          <cell r="J138" t="str">
            <v>3</v>
          </cell>
          <cell r="K138" t="str">
            <v>Hotel</v>
          </cell>
          <cell r="L138" t="str">
            <v>06-08-2025 15:47:32</v>
          </cell>
          <cell r="M138" t="str">
            <v xml:space="preserve">Grand Hotel Preanger - 5.0 Stars  - </v>
          </cell>
          <cell r="N138" t="str">
            <v>TL SALES RET</v>
          </cell>
          <cell r="O138" t="str">
            <v>7412223</v>
          </cell>
          <cell r="P138" t="str">
            <v>06/08/2025 14:00:00 - 07/08/2025 12:00:00</v>
          </cell>
          <cell r="Q138">
            <v>807500</v>
          </cell>
          <cell r="R138" t="str">
            <v>SUCCESS</v>
          </cell>
        </row>
        <row r="139">
          <cell r="A139">
            <v>1275192064</v>
          </cell>
          <cell r="B139" t="str">
            <v>9114965ZY</v>
          </cell>
          <cell r="C139" t="str">
            <v>I WAYAN EDY PURNAMA ARSA</v>
          </cell>
          <cell r="D139">
            <v>91147609</v>
          </cell>
          <cell r="E139">
            <v>4120177038</v>
          </cell>
          <cell r="F139" t="str">
            <v>54</v>
          </cell>
          <cell r="G139" t="str">
            <v>Perjalanan Dinas Non-Diklat</v>
          </cell>
          <cell r="H139" t="str">
            <v>KotaMakassar-JakartaSelatan</v>
          </cell>
          <cell r="I139" t="str">
            <v>06/08/2025 - 08/08/2025</v>
          </cell>
          <cell r="J139" t="str">
            <v>3</v>
          </cell>
          <cell r="K139" t="str">
            <v>Flight One Way</v>
          </cell>
          <cell r="L139" t="str">
            <v>07-08-2025 16:11:41</v>
          </cell>
          <cell r="M139" t="str">
            <v>Batik Air 2D CGK Soekarno Hatta International Airport ID-6292 - Batik Air Domestic UPG Hasanuddin ID-6292</v>
          </cell>
          <cell r="N139" t="str">
            <v>OF PR AE</v>
          </cell>
          <cell r="O139" t="str">
            <v>0007411140</v>
          </cell>
          <cell r="P139" t="str">
            <v>08/08/2025 09:00:00 - 08/08/2025 12:20:00</v>
          </cell>
          <cell r="Q139">
            <v>2359400</v>
          </cell>
          <cell r="R139" t="str">
            <v>SUCCESS</v>
          </cell>
        </row>
        <row r="140">
          <cell r="A140">
            <v>1274636215</v>
          </cell>
          <cell r="B140" t="str">
            <v>9114965ZY</v>
          </cell>
          <cell r="C140" t="str">
            <v>I WAYAN EDY PURNAMA ARSA</v>
          </cell>
          <cell r="D140">
            <v>91147609</v>
          </cell>
          <cell r="E140">
            <v>4120177038</v>
          </cell>
          <cell r="F140" t="str">
            <v>54</v>
          </cell>
          <cell r="G140" t="str">
            <v>Perjalanan Dinas Non-Diklat</v>
          </cell>
          <cell r="H140" t="str">
            <v>Kota Makassar - Jakarta Selatan</v>
          </cell>
          <cell r="I140" t="str">
            <v>06/08/2025 - 08/08/2025</v>
          </cell>
          <cell r="J140" t="str">
            <v>3</v>
          </cell>
          <cell r="K140" t="str">
            <v>Hotel</v>
          </cell>
          <cell r="L140" t="str">
            <v>05-08-2025 14:53:23</v>
          </cell>
          <cell r="M140" t="str">
            <v xml:space="preserve">The Falatehan Hotel By Safin - 3.0 Stars  - </v>
          </cell>
          <cell r="N140" t="str">
            <v>OF PR AE</v>
          </cell>
          <cell r="O140" t="str">
            <v>7411140</v>
          </cell>
          <cell r="P140" t="str">
            <v>06/08/2025 14:00:00 - 08/08/2025 12:00:00</v>
          </cell>
          <cell r="Q140">
            <v>1090000</v>
          </cell>
          <cell r="R140" t="str">
            <v>SUCCESS</v>
          </cell>
        </row>
        <row r="141">
          <cell r="A141">
            <v>1274638704</v>
          </cell>
          <cell r="B141" t="str">
            <v>9114965ZY</v>
          </cell>
          <cell r="C141" t="str">
            <v>I WAYAN EDY PURNAMA ARSA</v>
          </cell>
          <cell r="D141">
            <v>91147609</v>
          </cell>
          <cell r="E141">
            <v>4120177038</v>
          </cell>
          <cell r="F141" t="str">
            <v>54</v>
          </cell>
          <cell r="G141" t="str">
            <v>Perjalanan Dinas Non-Diklat</v>
          </cell>
          <cell r="H141" t="str">
            <v>Kota Makassar - Jakarta Selatan</v>
          </cell>
          <cell r="I141" t="str">
            <v>06/08/2025 - 08/08/2025</v>
          </cell>
          <cell r="J141" t="str">
            <v>3</v>
          </cell>
          <cell r="K141" t="str">
            <v>Flight One Way</v>
          </cell>
          <cell r="L141" t="str">
            <v>05-08-2025 15:02:55</v>
          </cell>
          <cell r="M141" t="str">
            <v>Garuda Indonesia Domestic UPG Hasanuddin GA-641 - Garuda Indonesia  CGK Soekarno Hatta International Airport GA-641</v>
          </cell>
          <cell r="N141" t="str">
            <v>OF PR AE</v>
          </cell>
          <cell r="O141" t="str">
            <v>7411140</v>
          </cell>
          <cell r="P141" t="str">
            <v>06/08/2025 12:15:00 - 06/08/2025 13:40:00</v>
          </cell>
          <cell r="Q141">
            <v>1760000</v>
          </cell>
          <cell r="R141" t="str">
            <v>SUCCESS</v>
          </cell>
        </row>
        <row r="142">
          <cell r="A142">
            <v>1274646085</v>
          </cell>
          <cell r="B142" t="str">
            <v>7095015F</v>
          </cell>
          <cell r="C142" t="str">
            <v xml:space="preserve">EDYANSYAH </v>
          </cell>
          <cell r="D142">
            <v>70957602</v>
          </cell>
          <cell r="E142">
            <v>4120177035</v>
          </cell>
          <cell r="F142" t="str">
            <v>54</v>
          </cell>
          <cell r="G142" t="str">
            <v>Perjalanan Dinas Non-Diklat</v>
          </cell>
          <cell r="H142" t="str">
            <v>Kota Makassar - Jakarta Pusat</v>
          </cell>
          <cell r="I142" t="str">
            <v>06/08/2025 - 08/08/2025</v>
          </cell>
          <cell r="J142" t="str">
            <v>3</v>
          </cell>
          <cell r="K142" t="str">
            <v>Flight One Way</v>
          </cell>
          <cell r="L142" t="str">
            <v>05-08-2025 15:32:03</v>
          </cell>
          <cell r="M142" t="str">
            <v>Garuda Indonesia Domestic UPG Hasanuddin GA-619 - Garuda Indonesia  CGK Soekarno Hatta International Airport GA-619</v>
          </cell>
          <cell r="N142" t="str">
            <v>GM</v>
          </cell>
          <cell r="O142" t="str">
            <v>7412000</v>
          </cell>
          <cell r="P142" t="str">
            <v>06/08/2025 05:25:00 - 06/08/2025 06:55:00</v>
          </cell>
          <cell r="Q142">
            <v>1751500</v>
          </cell>
          <cell r="R142" t="str">
            <v>SUCCESS</v>
          </cell>
        </row>
        <row r="143">
          <cell r="A143">
            <v>1274641576</v>
          </cell>
          <cell r="B143" t="str">
            <v>8711130Z</v>
          </cell>
          <cell r="C143" t="str">
            <v>HADHI BAGUS SETYANTO</v>
          </cell>
          <cell r="D143">
            <v>87117602</v>
          </cell>
          <cell r="E143">
            <v>4120177032</v>
          </cell>
          <cell r="F143" t="str">
            <v>54</v>
          </cell>
          <cell r="G143" t="str">
            <v>Perjalanan Dinas Non-Diklat</v>
          </cell>
          <cell r="H143" t="str">
            <v>Kota Makassar - Kota Palopo</v>
          </cell>
          <cell r="I143" t="str">
            <v>06/08/2025 - 08/08/2025</v>
          </cell>
          <cell r="J143" t="str">
            <v>3</v>
          </cell>
          <cell r="K143" t="str">
            <v>Flight One Way</v>
          </cell>
          <cell r="L143" t="str">
            <v>05-08-2025 15:14:24</v>
          </cell>
          <cell r="M143" t="str">
            <v>Wings Air  LLO Lagaligo Airport IW-1351 - Wings Air Domestic UPG Hasanuddin IW-1351</v>
          </cell>
          <cell r="N143" t="str">
            <v>ASMAN MANJ BILLING</v>
          </cell>
          <cell r="O143" t="str">
            <v>7411141</v>
          </cell>
          <cell r="P143" t="str">
            <v>08/08/2025 09:40:00 - 08/08/2025 10:35:00</v>
          </cell>
          <cell r="Q143">
            <v>1355400</v>
          </cell>
          <cell r="R143" t="str">
            <v>SUCCESS</v>
          </cell>
        </row>
        <row r="144">
          <cell r="A144">
            <v>1274554476</v>
          </cell>
          <cell r="B144" t="str">
            <v>8812188ZY</v>
          </cell>
          <cell r="C144" t="str">
            <v>JULYANZAH PERDANA PUTRA</v>
          </cell>
          <cell r="D144">
            <v>88128002</v>
          </cell>
          <cell r="E144">
            <v>4120177033</v>
          </cell>
          <cell r="F144" t="str">
            <v>54</v>
          </cell>
          <cell r="G144" t="str">
            <v>Perjalanan Dinas Non-Diklat</v>
          </cell>
          <cell r="H144" t="str">
            <v>Kota Makassar - Kota Bandung</v>
          </cell>
          <cell r="I144" t="str">
            <v>06/08/2025 - 10/08/2025</v>
          </cell>
          <cell r="J144" t="str">
            <v>5</v>
          </cell>
          <cell r="K144" t="str">
            <v>Flight One Way</v>
          </cell>
          <cell r="L144" t="str">
            <v>05-08-2025 09:48:59</v>
          </cell>
          <cell r="M144" t="str">
            <v>Garuda Indonesia Domestic UPG Hasanuddin GA-617 - Garuda Indonesia  CGK Soekarno Hatta International Airport GA-617</v>
          </cell>
          <cell r="N144" t="str">
            <v>SOF REN SIS KELIST</v>
          </cell>
          <cell r="O144" t="str">
            <v>7412112</v>
          </cell>
          <cell r="P144" t="str">
            <v>06/08/2025 07:15:00 - 06/08/2025 08:45:00</v>
          </cell>
          <cell r="Q144">
            <v>2182800</v>
          </cell>
          <cell r="R144" t="str">
            <v>SUCCESS</v>
          </cell>
        </row>
        <row r="145">
          <cell r="A145">
            <v>1274935273</v>
          </cell>
          <cell r="B145" t="str">
            <v>8812188ZY</v>
          </cell>
          <cell r="C145" t="str">
            <v>JULYANZAH PERDANA PUTRA</v>
          </cell>
          <cell r="D145">
            <v>88128002</v>
          </cell>
          <cell r="E145">
            <v>4120177033</v>
          </cell>
          <cell r="F145" t="str">
            <v>54</v>
          </cell>
          <cell r="G145" t="str">
            <v>Perjalanan Dinas Non-Diklat</v>
          </cell>
          <cell r="H145" t="str">
            <v>Kota Makassar - Kota Bandung</v>
          </cell>
          <cell r="I145" t="str">
            <v>06/08/2025 - 10/08/2025</v>
          </cell>
          <cell r="J145" t="str">
            <v>5</v>
          </cell>
          <cell r="K145" t="str">
            <v>Hotel</v>
          </cell>
          <cell r="L145" t="str">
            <v>06-08-2025 17:00:10</v>
          </cell>
          <cell r="M145" t="str">
            <v xml:space="preserve">Tebu Hotel Bandung - 4.0 Stars  - </v>
          </cell>
          <cell r="N145" t="str">
            <v>SOF REN SIS KELIST</v>
          </cell>
          <cell r="O145" t="str">
            <v>7412112</v>
          </cell>
          <cell r="P145" t="str">
            <v>06/08/2025 14:00:00 - 09/08/2025 12:00:00</v>
          </cell>
          <cell r="Q145">
            <v>2726000</v>
          </cell>
          <cell r="R145" t="str">
            <v>SUCCESS</v>
          </cell>
        </row>
        <row r="146">
          <cell r="A146">
            <v>1275670805</v>
          </cell>
          <cell r="B146" t="str">
            <v>8812188ZY</v>
          </cell>
          <cell r="C146" t="str">
            <v>JULYANZAH PERDANA PUTRA</v>
          </cell>
          <cell r="D146">
            <v>88128002</v>
          </cell>
          <cell r="E146">
            <v>4120177033</v>
          </cell>
          <cell r="F146" t="str">
            <v>54</v>
          </cell>
          <cell r="G146" t="str">
            <v>Perjalanan Dinas Non-Diklat</v>
          </cell>
          <cell r="H146" t="str">
            <v>KotaMakassar-KotaBandung</v>
          </cell>
          <cell r="I146" t="str">
            <v>06/08/2025 - 10/08/2025</v>
          </cell>
          <cell r="J146" t="str">
            <v>5</v>
          </cell>
          <cell r="K146" t="str">
            <v>Flight One Way</v>
          </cell>
          <cell r="L146" t="str">
            <v>09-08-2025 09:30:36</v>
          </cell>
          <cell r="M146" t="str">
            <v>Garuda Indonesia  CGK Soekarno Hatta International Airport GA-610 - Garuda Indonesia Domestic UPG Hasanuddin GA-610</v>
          </cell>
          <cell r="N146" t="str">
            <v>SOF REN SIS KELIST</v>
          </cell>
          <cell r="O146" t="str">
            <v>0007412112</v>
          </cell>
          <cell r="P146" t="str">
            <v>10/08/2025 06:55:00 - 10/08/2025 10:30:00</v>
          </cell>
          <cell r="Q146">
            <v>1625400</v>
          </cell>
          <cell r="R146" t="str">
            <v>SUCCESS</v>
          </cell>
        </row>
        <row r="147">
          <cell r="A147">
            <v>1274936004</v>
          </cell>
          <cell r="B147" t="str">
            <v>8007053Z</v>
          </cell>
          <cell r="C147" t="str">
            <v>DALMASIUS NUGROHO ADI PUTRANTO</v>
          </cell>
          <cell r="D147">
            <v>80077601</v>
          </cell>
          <cell r="E147">
            <v>4120177029</v>
          </cell>
          <cell r="F147" t="str">
            <v>54</v>
          </cell>
          <cell r="G147" t="str">
            <v>Perjalanan Dinas Non-Diklat</v>
          </cell>
          <cell r="H147" t="str">
            <v>Kota Makassar - Kota Bogor</v>
          </cell>
          <cell r="I147" t="str">
            <v>05/08/2025 - 08/08/2025</v>
          </cell>
          <cell r="J147" t="str">
            <v>4</v>
          </cell>
          <cell r="K147" t="str">
            <v>Hotel</v>
          </cell>
          <cell r="L147" t="str">
            <v>06-08-2025 17:03:12</v>
          </cell>
          <cell r="M147" t="str">
            <v xml:space="preserve">Tebu Hotel Bandung - 4.0 Stars  - </v>
          </cell>
          <cell r="N147" t="str">
            <v>MAN REN SIS KELIST</v>
          </cell>
          <cell r="O147" t="str">
            <v>7412112</v>
          </cell>
          <cell r="P147" t="str">
            <v>06/08/2025 14:00:00 - 08/08/2025 12:00:00</v>
          </cell>
          <cell r="Q147">
            <v>1516000</v>
          </cell>
          <cell r="R147" t="str">
            <v>SUCCESS</v>
          </cell>
        </row>
        <row r="148">
          <cell r="A148">
            <v>1275798077</v>
          </cell>
          <cell r="B148" t="str">
            <v>8007053Z</v>
          </cell>
          <cell r="C148" t="str">
            <v>DALMASIUS NUGROHO ADI PUTRANTO</v>
          </cell>
          <cell r="D148">
            <v>80077601</v>
          </cell>
          <cell r="E148">
            <v>4120177029</v>
          </cell>
          <cell r="F148" t="str">
            <v>54</v>
          </cell>
          <cell r="G148" t="str">
            <v>Perjalanan Dinas Non-Diklat</v>
          </cell>
          <cell r="H148" t="str">
            <v>KotaMakassar-KotaBogor-KotaBandung</v>
          </cell>
          <cell r="I148" t="str">
            <v>05/08/2025 - 10/08/2025</v>
          </cell>
          <cell r="J148" t="str">
            <v>6</v>
          </cell>
          <cell r="K148" t="str">
            <v>Flight One Way</v>
          </cell>
          <cell r="L148" t="str">
            <v>09-08-2025 17:40:26</v>
          </cell>
          <cell r="M148" t="str">
            <v>Batik Air 2D CGK Soekarno Hatta International Airport ID-6182 - Batik Air Domestic UPG Hasanuddin ID-6182</v>
          </cell>
          <cell r="N148" t="str">
            <v>MAN REN SIS KELIST</v>
          </cell>
          <cell r="O148" t="str">
            <v>0007412112</v>
          </cell>
          <cell r="P148" t="str">
            <v>09/08/2025 23:00:00 - 10/08/2025 02:20:00</v>
          </cell>
          <cell r="Q148">
            <v>1242700</v>
          </cell>
          <cell r="R148" t="str">
            <v>SUCCESS</v>
          </cell>
        </row>
        <row r="149">
          <cell r="A149">
            <v>1275529840</v>
          </cell>
          <cell r="B149" t="str">
            <v>8007053Z</v>
          </cell>
          <cell r="C149" t="str">
            <v>DALMASIUS NUGROHO ADI PUTRANTO</v>
          </cell>
          <cell r="D149">
            <v>80077601</v>
          </cell>
          <cell r="E149">
            <v>4120177029</v>
          </cell>
          <cell r="F149" t="str">
            <v>54</v>
          </cell>
          <cell r="G149" t="str">
            <v>Perjalanan Dinas Non-Diklat</v>
          </cell>
          <cell r="H149" t="str">
            <v>KotaMakassar-KotaBogor-KotaBandung</v>
          </cell>
          <cell r="I149" t="str">
            <v>05/08/2025 - 10/08/2025</v>
          </cell>
          <cell r="J149" t="str">
            <v>6</v>
          </cell>
          <cell r="K149" t="str">
            <v>Hotel</v>
          </cell>
          <cell r="L149" t="str">
            <v>08-08-2025 18:19:58</v>
          </cell>
          <cell r="M149" t="str">
            <v xml:space="preserve">Harris Hotel &amp; Conventions Ciumbuleuit Bandung - 4.0 Stars  - </v>
          </cell>
          <cell r="N149" t="str">
            <v>MAN REN SIS KELIST</v>
          </cell>
          <cell r="O149" t="str">
            <v>0007412112</v>
          </cell>
          <cell r="P149" t="str">
            <v>08/08/2025 14:00:00 - 09/08/2025 12:00:00</v>
          </cell>
          <cell r="Q149">
            <v>760750</v>
          </cell>
          <cell r="R149" t="str">
            <v>SUCCESS</v>
          </cell>
        </row>
        <row r="150">
          <cell r="A150">
            <v>1274682030</v>
          </cell>
          <cell r="B150" t="str">
            <v>8007053Z</v>
          </cell>
          <cell r="C150" t="str">
            <v>DALMASIUS NUGROHO ADI PUTRANTO</v>
          </cell>
          <cell r="D150">
            <v>80077601</v>
          </cell>
          <cell r="E150">
            <v>4120177029</v>
          </cell>
          <cell r="F150" t="str">
            <v>54</v>
          </cell>
          <cell r="G150" t="str">
            <v>Perjalanan Dinas Non-Diklat</v>
          </cell>
          <cell r="H150" t="str">
            <v>Kota Makassar - Kota Bogor</v>
          </cell>
          <cell r="I150" t="str">
            <v>05/08/2025 - 08/08/2025</v>
          </cell>
          <cell r="J150" t="str">
            <v>4</v>
          </cell>
          <cell r="K150" t="str">
            <v>Hotel</v>
          </cell>
          <cell r="L150" t="str">
            <v>05-08-2025 17:57:09</v>
          </cell>
          <cell r="M150" t="str">
            <v xml:space="preserve">favehotel Padjadjaran Bogor - 2.0 Stars  - </v>
          </cell>
          <cell r="N150" t="str">
            <v>MAN REN SIS KELIST</v>
          </cell>
          <cell r="O150" t="str">
            <v>7412112</v>
          </cell>
          <cell r="P150" t="str">
            <v>05/08/2025 14:00:00 - 06/08/2025 12:00:00</v>
          </cell>
          <cell r="Q150">
            <v>610990</v>
          </cell>
          <cell r="R150" t="str">
            <v>SUCCESS</v>
          </cell>
        </row>
        <row r="151">
          <cell r="A151">
            <v>1274543962</v>
          </cell>
          <cell r="B151" t="str">
            <v>8007053Z</v>
          </cell>
          <cell r="C151" t="str">
            <v>DALMASIUS NUGROHO ADI PUTRANTO</v>
          </cell>
          <cell r="D151">
            <v>80077601</v>
          </cell>
          <cell r="E151">
            <v>4120177029</v>
          </cell>
          <cell r="F151" t="str">
            <v>54</v>
          </cell>
          <cell r="G151" t="str">
            <v>Perjalanan Dinas Non-Diklat</v>
          </cell>
          <cell r="H151" t="str">
            <v>Kota Makassar - Kota Bogor</v>
          </cell>
          <cell r="I151" t="str">
            <v>05/08/2025 - 08/08/2025</v>
          </cell>
          <cell r="J151" t="str">
            <v>4</v>
          </cell>
          <cell r="K151" t="str">
            <v>Flight One Way</v>
          </cell>
          <cell r="L151" t="str">
            <v>05-08-2025 09:03:40</v>
          </cell>
          <cell r="M151" t="str">
            <v>Pelita Air  UPG  IP-803 - Pelita Air 3 CGK Soekarno Hatta International Airport IP-803</v>
          </cell>
          <cell r="N151" t="str">
            <v>MAN REN SIS KELIST</v>
          </cell>
          <cell r="O151" t="str">
            <v>7412112</v>
          </cell>
          <cell r="P151" t="str">
            <v>05/08/2025 15:35:00 - 05/08/2025 16:55:00</v>
          </cell>
          <cell r="Q151">
            <v>1144000</v>
          </cell>
          <cell r="R151" t="str">
            <v>SUCCESS</v>
          </cell>
        </row>
        <row r="152">
          <cell r="A152">
            <v>1274411760</v>
          </cell>
          <cell r="B152" t="str">
            <v>8908085F</v>
          </cell>
          <cell r="C152" t="str">
            <v>ANDI ANGGA SAPUTRA BATARA</v>
          </cell>
          <cell r="D152">
            <v>89087603</v>
          </cell>
          <cell r="E152">
            <v>4120177022</v>
          </cell>
          <cell r="F152" t="str">
            <v>54</v>
          </cell>
          <cell r="G152" t="str">
            <v>Perjalanan Dinas Non-Diklat</v>
          </cell>
          <cell r="H152" t="str">
            <v>Kota Kendari - Kab. Kolaka</v>
          </cell>
          <cell r="I152" t="str">
            <v>05/08/2025 - 06/08/2025</v>
          </cell>
          <cell r="J152" t="str">
            <v>2</v>
          </cell>
          <cell r="K152" t="str">
            <v>Hotel</v>
          </cell>
          <cell r="L152" t="str">
            <v>04-08-2025 17:04:13</v>
          </cell>
          <cell r="M152" t="str">
            <v xml:space="preserve">Sutan Raja Hotel &amp; Convention Centre Kolaka - 4.0 Stars  - </v>
          </cell>
          <cell r="N152" t="str">
            <v>TL AGA DAN YAN GAN</v>
          </cell>
          <cell r="O152" t="str">
            <v>7412243</v>
          </cell>
          <cell r="P152" t="str">
            <v>05/08/2025 14:00:00 - 06/08/2025 12:00:00</v>
          </cell>
          <cell r="Q152">
            <v>828000</v>
          </cell>
          <cell r="R152" t="str">
            <v>SUCCESS</v>
          </cell>
        </row>
        <row r="153">
          <cell r="A153">
            <v>1276352750</v>
          </cell>
          <cell r="B153" t="str">
            <v>8914091ZY</v>
          </cell>
          <cell r="C153" t="str">
            <v>AKBAR KHASHEMI HAMZAH</v>
          </cell>
          <cell r="D153">
            <v>89145602</v>
          </cell>
          <cell r="E153">
            <v>4120177018</v>
          </cell>
          <cell r="F153" t="str">
            <v>54</v>
          </cell>
          <cell r="G153" t="str">
            <v>Perjalanan Dinas Non-Diklat</v>
          </cell>
          <cell r="H153" t="str">
            <v>KotaMakassar-KotaSurabaya</v>
          </cell>
          <cell r="I153" t="str">
            <v>10/08/2025 - 14/08/2025</v>
          </cell>
          <cell r="J153" t="str">
            <v>5</v>
          </cell>
          <cell r="K153" t="str">
            <v>Flight One Way</v>
          </cell>
          <cell r="L153" t="str">
            <v>12-08-2025 03:11:16</v>
          </cell>
          <cell r="M153" t="str">
            <v>Citilink 1A SUB Juanda QG-350 - Citilink Domestic UPG Hasanuddin QG-350</v>
          </cell>
          <cell r="N153" t="str">
            <v>SOF LOLA ESG DAN SAFEGUARD</v>
          </cell>
          <cell r="O153" t="str">
            <v>0007412111</v>
          </cell>
          <cell r="P153" t="str">
            <v>14/08/2025 10:20:00 - 14/08/2025 12:55:00</v>
          </cell>
          <cell r="Q153">
            <v>1065100</v>
          </cell>
          <cell r="R153" t="str">
            <v>SUCCESS</v>
          </cell>
        </row>
        <row r="154">
          <cell r="A154">
            <v>1274962965</v>
          </cell>
          <cell r="B154" t="str">
            <v>8914091ZY</v>
          </cell>
          <cell r="C154" t="str">
            <v>AKBAR KHASHEMI HAMZAH</v>
          </cell>
          <cell r="D154">
            <v>89145602</v>
          </cell>
          <cell r="E154">
            <v>4120177018</v>
          </cell>
          <cell r="F154" t="str">
            <v>54</v>
          </cell>
          <cell r="G154" t="str">
            <v>Perjalanan Dinas Non-Diklat</v>
          </cell>
          <cell r="H154" t="str">
            <v>Kota Makassar - Kota Surabaya</v>
          </cell>
          <cell r="I154" t="str">
            <v>10/08/2025 - 14/08/2025</v>
          </cell>
          <cell r="J154" t="str">
            <v>5</v>
          </cell>
          <cell r="K154" t="str">
            <v>Hotel</v>
          </cell>
          <cell r="L154" t="str">
            <v>06-08-2025 18:53:31</v>
          </cell>
          <cell r="M154" t="str">
            <v xml:space="preserve">Hotel Santika Premiere Gubeng - 4.0 Stars  - </v>
          </cell>
          <cell r="N154" t="str">
            <v>SOF LOLA ESG DAN SAFEGUARD</v>
          </cell>
          <cell r="O154" t="str">
            <v>7412111</v>
          </cell>
          <cell r="P154" t="str">
            <v>10/08/2025 14:00:00 - 14/08/2025 12:00:00</v>
          </cell>
          <cell r="Q154">
            <v>3656000</v>
          </cell>
          <cell r="R154" t="str">
            <v>SUCCESS</v>
          </cell>
        </row>
        <row r="155">
          <cell r="A155">
            <v>1275339590</v>
          </cell>
          <cell r="B155" t="str">
            <v>8914091ZY</v>
          </cell>
          <cell r="C155" t="str">
            <v>AKBAR KHASHEMI HAMZAH</v>
          </cell>
          <cell r="D155">
            <v>89145602</v>
          </cell>
          <cell r="E155">
            <v>4120177018</v>
          </cell>
          <cell r="F155" t="str">
            <v>54</v>
          </cell>
          <cell r="G155" t="str">
            <v>Perjalanan Dinas Non-Diklat</v>
          </cell>
          <cell r="H155" t="str">
            <v>KotaMakassar-KotaSurabaya</v>
          </cell>
          <cell r="I155" t="str">
            <v>10/08/2025 - 14/08/2025</v>
          </cell>
          <cell r="J155" t="str">
            <v>5</v>
          </cell>
          <cell r="K155" t="str">
            <v>Flight One Way</v>
          </cell>
          <cell r="L155" t="str">
            <v>08-08-2025 06:49:19</v>
          </cell>
          <cell r="M155" t="str">
            <v>Citilink Domestic UPG Hasanuddin QG-351 - Citilink 1A SUB Juanda QG-351</v>
          </cell>
          <cell r="N155" t="str">
            <v>SOF LOLA ESG DAN SAFEGUARD</v>
          </cell>
          <cell r="O155" t="str">
            <v>0007412111</v>
          </cell>
          <cell r="P155" t="str">
            <v>10/08/2025 09:05:00 - 10/08/2025 09:40:00</v>
          </cell>
          <cell r="Q155">
            <v>1151700</v>
          </cell>
          <cell r="R155" t="str">
            <v>SUCCESS</v>
          </cell>
        </row>
        <row r="156">
          <cell r="A156">
            <v>1275342506</v>
          </cell>
          <cell r="B156" t="str">
            <v>8006523Z</v>
          </cell>
          <cell r="C156" t="str">
            <v>M. FAUZAN</v>
          </cell>
          <cell r="D156">
            <v>80065602</v>
          </cell>
          <cell r="E156">
            <v>4120177013</v>
          </cell>
          <cell r="F156" t="str">
            <v>54</v>
          </cell>
          <cell r="G156" t="str">
            <v>Perjalanan Dinas Diklat</v>
          </cell>
          <cell r="H156" t="str">
            <v>Kab. Mamuju - Kota Makassar</v>
          </cell>
          <cell r="I156" t="str">
            <v>10/08/2025 - 13/08/2025</v>
          </cell>
          <cell r="J156" t="str">
            <v>4</v>
          </cell>
          <cell r="K156" t="str">
            <v>Flight One Way</v>
          </cell>
          <cell r="L156" t="str">
            <v>08-08-2025 07:10:53</v>
          </cell>
          <cell r="M156" t="str">
            <v>Batik Air Domestic UPG Hasanuddin ID-6788 - Batik Air  MJU Tampa Padang ID-6788</v>
          </cell>
          <cell r="N156" t="str">
            <v>MUP UP3 (MAMUJU)</v>
          </cell>
          <cell r="O156" t="str">
            <v>7412290</v>
          </cell>
          <cell r="P156" t="str">
            <v>13/08/2025 10:00:00 - 13/08/2025 10:55:00</v>
          </cell>
          <cell r="Q156">
            <v>873400</v>
          </cell>
          <cell r="R156" t="str">
            <v>FAILED</v>
          </cell>
        </row>
        <row r="157">
          <cell r="A157">
            <v>1275341177</v>
          </cell>
          <cell r="B157" t="str">
            <v>8006523Z</v>
          </cell>
          <cell r="C157" t="str">
            <v>M. FAUZAN</v>
          </cell>
          <cell r="D157">
            <v>80065602</v>
          </cell>
          <cell r="E157">
            <v>4120177013</v>
          </cell>
          <cell r="F157" t="str">
            <v>54</v>
          </cell>
          <cell r="G157" t="str">
            <v>Perjalanan Dinas Diklat</v>
          </cell>
          <cell r="H157" t="str">
            <v>Kab. Mamuju - Kota Makassar</v>
          </cell>
          <cell r="I157" t="str">
            <v>10/08/2025 - 13/08/2025</v>
          </cell>
          <cell r="J157" t="str">
            <v>4</v>
          </cell>
          <cell r="K157" t="str">
            <v>Flight One Way</v>
          </cell>
          <cell r="L157" t="str">
            <v>08-08-2025 07:02:06</v>
          </cell>
          <cell r="M157" t="str">
            <v>Batik Air  MJU Tampa Padang ID-6789 - Batik Air Domestic UPG Hasanuddin ID-6789</v>
          </cell>
          <cell r="N157" t="str">
            <v>MUP UP3 (MAMUJU)</v>
          </cell>
          <cell r="O157" t="str">
            <v>7412290</v>
          </cell>
          <cell r="P157" t="str">
            <v>10/08/2025 11:35:00 - 10/08/2025 12:30:00</v>
          </cell>
          <cell r="Q157">
            <v>935300</v>
          </cell>
          <cell r="R157" t="str">
            <v>FAILED</v>
          </cell>
        </row>
        <row r="158">
          <cell r="A158">
            <v>1275083272</v>
          </cell>
          <cell r="B158" t="str">
            <v>95191268ZY</v>
          </cell>
          <cell r="C158" t="str">
            <v>MUH. HUSHARDI HUSAIN</v>
          </cell>
          <cell r="D158">
            <v>95197608</v>
          </cell>
          <cell r="E158">
            <v>4120177011</v>
          </cell>
          <cell r="F158" t="str">
            <v>54</v>
          </cell>
          <cell r="G158" t="str">
            <v>Perjalanan Dinas Non-Diklat</v>
          </cell>
          <cell r="H158" t="str">
            <v>Kab. Mamuju - Kab. Bogor</v>
          </cell>
          <cell r="I158" t="str">
            <v>05/08/2025 - 08/08/2025</v>
          </cell>
          <cell r="J158" t="str">
            <v>4</v>
          </cell>
          <cell r="K158" t="str">
            <v>Flight One Way</v>
          </cell>
          <cell r="L158" t="str">
            <v>07-08-2025 09:28:28</v>
          </cell>
          <cell r="M158" t="str">
            <v>Batik Air 2D CGK Soekarno Hatta International Airport ID-6264 - Batik Air  MJU Tampa Padang ID-6264</v>
          </cell>
          <cell r="N158" t="str">
            <v>TL KONS LISDES</v>
          </cell>
          <cell r="O158" t="str">
            <v>7412290</v>
          </cell>
          <cell r="P158" t="str">
            <v>08/08/2025 02:20:00 - 08/08/2025 10:55:00</v>
          </cell>
          <cell r="Q158">
            <v>2503500</v>
          </cell>
          <cell r="R158" t="str">
            <v>SUCCESS</v>
          </cell>
        </row>
        <row r="159">
          <cell r="A159">
            <v>1274294338</v>
          </cell>
          <cell r="B159" t="str">
            <v>95191268ZY</v>
          </cell>
          <cell r="C159" t="str">
            <v>MUH. HUSHARDI HUSAIN</v>
          </cell>
          <cell r="D159">
            <v>95197608</v>
          </cell>
          <cell r="E159">
            <v>4120177011</v>
          </cell>
          <cell r="F159" t="str">
            <v>54</v>
          </cell>
          <cell r="G159" t="str">
            <v>Perjalanan Dinas Non-Diklat</v>
          </cell>
          <cell r="H159" t="str">
            <v>Kab. Mamuju - Kab. Bogor</v>
          </cell>
          <cell r="I159" t="str">
            <v>05/08/2025 - 08/08/2025</v>
          </cell>
          <cell r="J159" t="str">
            <v>4</v>
          </cell>
          <cell r="K159" t="str">
            <v>Flight One Way</v>
          </cell>
          <cell r="L159" t="str">
            <v>04-08-2025 09:35:49</v>
          </cell>
          <cell r="M159" t="str">
            <v>Wings Air  MJU Tampa Padang IW-1431 - Wings Air 2D CGK Soekarno Hatta International Airport IW-1431</v>
          </cell>
          <cell r="N159" t="str">
            <v>TL KONS LISDES</v>
          </cell>
          <cell r="O159" t="str">
            <v>7412290</v>
          </cell>
          <cell r="P159" t="str">
            <v>05/08/2025 11:05:00 - 05/08/2025 16:00:00</v>
          </cell>
          <cell r="Q159">
            <v>2555900</v>
          </cell>
          <cell r="R159" t="str">
            <v>SUCCESS</v>
          </cell>
        </row>
        <row r="160">
          <cell r="A160">
            <v>1274461008</v>
          </cell>
          <cell r="B160" t="str">
            <v>8309472Z</v>
          </cell>
          <cell r="C160" t="str">
            <v>WAWANG WIRATAMA</v>
          </cell>
          <cell r="D160">
            <v>83098401</v>
          </cell>
          <cell r="E160">
            <v>4120177000</v>
          </cell>
          <cell r="F160" t="str">
            <v>54</v>
          </cell>
          <cell r="G160" t="str">
            <v>Perjalanan Dinas Non-Diklat</v>
          </cell>
          <cell r="H160" t="str">
            <v>Kota Makassar - Kota Palopo</v>
          </cell>
          <cell r="I160" t="str">
            <v>04/08/2025 - 07/08/2025</v>
          </cell>
          <cell r="J160" t="str">
            <v>4</v>
          </cell>
          <cell r="K160" t="str">
            <v>Flight One Way</v>
          </cell>
          <cell r="L160" t="str">
            <v>04-08-2025 20:28:57</v>
          </cell>
          <cell r="M160" t="str">
            <v>Wings Air  LLO Lagaligo Airport IW-1351 - Wings Air Domestic UPG Hasanuddin IW-1351</v>
          </cell>
          <cell r="N160" t="str">
            <v>MAN PNGMANAN PDPT</v>
          </cell>
          <cell r="O160" t="str">
            <v>7411141</v>
          </cell>
          <cell r="P160" t="str">
            <v>07/08/2025 09:40:00 - 07/08/2025 10:35:00</v>
          </cell>
          <cell r="Q160">
            <v>1355400</v>
          </cell>
          <cell r="R160" t="str">
            <v>SUCCESS</v>
          </cell>
        </row>
        <row r="161">
          <cell r="A161">
            <v>1275206908</v>
          </cell>
          <cell r="B161" t="str">
            <v>8108240Z</v>
          </cell>
          <cell r="C161" t="str">
            <v>ANDI FITHRI ZAKIAH MULYADI</v>
          </cell>
          <cell r="D161">
            <v>81087404</v>
          </cell>
          <cell r="E161">
            <v>4120176974</v>
          </cell>
          <cell r="F161" t="str">
            <v>54</v>
          </cell>
          <cell r="G161" t="str">
            <v>Perjalanan Dinas Non-Diklat</v>
          </cell>
          <cell r="H161" t="str">
            <v>KotaMakassar-KotaKendari</v>
          </cell>
          <cell r="I161" t="str">
            <v>05/08/2025 - 09/08/2025</v>
          </cell>
          <cell r="J161" t="str">
            <v>5</v>
          </cell>
          <cell r="K161" t="str">
            <v>Hotel</v>
          </cell>
          <cell r="L161" t="str">
            <v>07-08-2025 17:11:04</v>
          </cell>
          <cell r="M161" t="str">
            <v xml:space="preserve">CLARO Kendari - 4.0 Stars  - </v>
          </cell>
          <cell r="N161" t="str">
            <v>SOF YAN GAN</v>
          </cell>
          <cell r="O161" t="str">
            <v>0007411140</v>
          </cell>
          <cell r="P161" t="str">
            <v>08/08/2025 14:00:00 - 09/08/2025 12:00:00</v>
          </cell>
          <cell r="Q161">
            <v>810737</v>
          </cell>
          <cell r="R161" t="str">
            <v>SUCCESS</v>
          </cell>
        </row>
        <row r="162">
          <cell r="A162">
            <v>1275208235</v>
          </cell>
          <cell r="B162" t="str">
            <v>8108240Z</v>
          </cell>
          <cell r="C162" t="str">
            <v>ANDI FITHRI ZAKIAH MULYADI</v>
          </cell>
          <cell r="D162">
            <v>81087404</v>
          </cell>
          <cell r="E162">
            <v>4120176974</v>
          </cell>
          <cell r="F162" t="str">
            <v>54</v>
          </cell>
          <cell r="G162" t="str">
            <v>Perjalanan Dinas Non-Diklat</v>
          </cell>
          <cell r="H162" t="str">
            <v>KotaMakassar-KotaKendari</v>
          </cell>
          <cell r="I162" t="str">
            <v>05/08/2025 - 09/08/2025</v>
          </cell>
          <cell r="J162" t="str">
            <v>5</v>
          </cell>
          <cell r="K162" t="str">
            <v>Flight One Way</v>
          </cell>
          <cell r="L162" t="str">
            <v>07-08-2025 17:16:29</v>
          </cell>
          <cell r="M162" t="str">
            <v>Garuda Indonesia  KDI Haluoleo GA-605 - Garuda Indonesia Domestic UPG Hasanuddin GA-605</v>
          </cell>
          <cell r="N162" t="str">
            <v>SOF YAN GAN</v>
          </cell>
          <cell r="O162" t="str">
            <v>0007411140</v>
          </cell>
          <cell r="P162" t="str">
            <v>09/08/2025 09:10:00 - 09/08/2025 10:10:00</v>
          </cell>
          <cell r="Q162">
            <v>967900</v>
          </cell>
          <cell r="R162" t="str">
            <v>SUCCESS</v>
          </cell>
        </row>
        <row r="163">
          <cell r="A163">
            <v>1274407050</v>
          </cell>
          <cell r="B163" t="str">
            <v>8108240Z</v>
          </cell>
          <cell r="C163" t="str">
            <v>ANDI FITHRI ZAKIAH MULYADI</v>
          </cell>
          <cell r="D163">
            <v>81087404</v>
          </cell>
          <cell r="E163">
            <v>4120176974</v>
          </cell>
          <cell r="F163" t="str">
            <v>54</v>
          </cell>
          <cell r="G163" t="str">
            <v>Perjalanan Dinas Non-Diklat</v>
          </cell>
          <cell r="H163" t="str">
            <v>Kota Makassar - Kota Kendari</v>
          </cell>
          <cell r="I163" t="str">
            <v>05/08/2025 - 09/08/2025</v>
          </cell>
          <cell r="J163" t="str">
            <v>5</v>
          </cell>
          <cell r="K163" t="str">
            <v>Hotel</v>
          </cell>
          <cell r="L163" t="str">
            <v>04-08-2025 16:45:28</v>
          </cell>
          <cell r="M163" t="str">
            <v xml:space="preserve">CLARO Kendari - 4.0 Stars  - </v>
          </cell>
          <cell r="N163" t="str">
            <v>SOF YAN GAN</v>
          </cell>
          <cell r="O163" t="str">
            <v>7411140</v>
          </cell>
          <cell r="P163" t="str">
            <v>05/08/2025 14:00:00 - 08/08/2025 12:00:00</v>
          </cell>
          <cell r="Q163">
            <v>2835000</v>
          </cell>
          <cell r="R163" t="str">
            <v>SUCCESS</v>
          </cell>
        </row>
        <row r="164">
          <cell r="A164">
            <v>1274277718</v>
          </cell>
          <cell r="B164" t="str">
            <v>8108240Z</v>
          </cell>
          <cell r="C164" t="str">
            <v>ANDI FITHRI ZAKIAH MULYADI</v>
          </cell>
          <cell r="D164">
            <v>81087404</v>
          </cell>
          <cell r="E164">
            <v>4120176974</v>
          </cell>
          <cell r="F164" t="str">
            <v>54</v>
          </cell>
          <cell r="G164" t="str">
            <v>Perjalanan Dinas Non-Diklat</v>
          </cell>
          <cell r="H164" t="str">
            <v>Kota Makassar - Kota Kendari</v>
          </cell>
          <cell r="I164" t="str">
            <v>05/08/2025 - 09/08/2025</v>
          </cell>
          <cell r="J164" t="str">
            <v>5</v>
          </cell>
          <cell r="K164" t="str">
            <v>Flight One Way</v>
          </cell>
          <cell r="L164" t="str">
            <v>04-08-2025 08:11:26</v>
          </cell>
          <cell r="M164" t="str">
            <v>Garuda Indonesia Domestic UPG Hasanuddin GA-604 - Garuda Indonesia  KDI Haluoleo GA-604</v>
          </cell>
          <cell r="N164" t="str">
            <v>SOF YAN GAN</v>
          </cell>
          <cell r="O164" t="str">
            <v>7411140</v>
          </cell>
          <cell r="P164" t="str">
            <v>05/08/2025 07:25:00 - 05/08/2025 08:25:00</v>
          </cell>
          <cell r="Q164">
            <v>907100</v>
          </cell>
          <cell r="R164" t="str">
            <v>SUCCESS</v>
          </cell>
        </row>
        <row r="165">
          <cell r="A165">
            <v>1274390018</v>
          </cell>
          <cell r="B165" t="str">
            <v>8808036F</v>
          </cell>
          <cell r="C165" t="str">
            <v xml:space="preserve">SYAHLAN </v>
          </cell>
          <cell r="D165">
            <v>88087602</v>
          </cell>
          <cell r="E165">
            <v>4120177009</v>
          </cell>
          <cell r="F165" t="str">
            <v>54</v>
          </cell>
          <cell r="G165" t="str">
            <v>Perjalanan Dinas Diklat</v>
          </cell>
          <cell r="H165" t="str">
            <v>Kota Makassar - Kota Yogyakarta</v>
          </cell>
          <cell r="I165" t="str">
            <v>05/08/2025 - 08/08/2025</v>
          </cell>
          <cell r="J165" t="str">
            <v>4</v>
          </cell>
          <cell r="K165" t="str">
            <v>Flight One Way</v>
          </cell>
          <cell r="L165" t="str">
            <v>04-08-2025 15:37:37</v>
          </cell>
          <cell r="M165" t="str">
            <v>Sriwijaya Air Domestic UPG Hasanuddin SJ-712 - Sriwijaya Air  YIA Yogyakarta International Airport SJ-712</v>
          </cell>
          <cell r="N165" t="str">
            <v>ASMAN TJSL</v>
          </cell>
          <cell r="O165" t="str">
            <v>7412163</v>
          </cell>
          <cell r="P165" t="str">
            <v>05/08/2025 18:20:00 - 05/08/2025 19:10:00</v>
          </cell>
          <cell r="Q165">
            <v>1276800</v>
          </cell>
          <cell r="R165" t="str">
            <v>SUCCESS</v>
          </cell>
        </row>
        <row r="166">
          <cell r="A166">
            <v>1275002914</v>
          </cell>
          <cell r="B166" t="str">
            <v>8808036F</v>
          </cell>
          <cell r="C166" t="str">
            <v xml:space="preserve">SYAHLAN </v>
          </cell>
          <cell r="D166">
            <v>88087602</v>
          </cell>
          <cell r="E166">
            <v>4120177009</v>
          </cell>
          <cell r="F166" t="str">
            <v>54</v>
          </cell>
          <cell r="G166" t="str">
            <v>Perjalanan Dinas Diklat</v>
          </cell>
          <cell r="H166" t="str">
            <v>Kota Makassar - Kota Yogyakarta</v>
          </cell>
          <cell r="I166" t="str">
            <v>05/08/2025 - 08/08/2025</v>
          </cell>
          <cell r="J166" t="str">
            <v>4</v>
          </cell>
          <cell r="K166" t="str">
            <v>Flight One Way</v>
          </cell>
          <cell r="L166" t="str">
            <v>06-08-2025 21:24:54</v>
          </cell>
          <cell r="M166" t="str">
            <v>Garuda Indonesia  YIA Yogyakarta International Airport GA-213 - Garuda Indonesia Domestic UPG Hasanuddin GA-213</v>
          </cell>
          <cell r="N166" t="str">
            <v>ASMAN TJSL</v>
          </cell>
          <cell r="O166" t="str">
            <v>7412163</v>
          </cell>
          <cell r="P166" t="str">
            <v>08/08/2025 16:50:00 - 08/08/2025 23:50:00</v>
          </cell>
          <cell r="Q166">
            <v>3150100</v>
          </cell>
          <cell r="R166" t="str">
            <v>SUCCESS</v>
          </cell>
        </row>
        <row r="167">
          <cell r="A167">
            <v>1275061530</v>
          </cell>
          <cell r="B167" t="str">
            <v>8403069F</v>
          </cell>
          <cell r="C167" t="str">
            <v>DEWI ARJUNI KUSNADI</v>
          </cell>
          <cell r="D167">
            <v>84037602</v>
          </cell>
          <cell r="E167">
            <v>4120177007</v>
          </cell>
          <cell r="F167" t="str">
            <v>54</v>
          </cell>
          <cell r="G167" t="str">
            <v>Perjalanan Dinas Non-Diklat</v>
          </cell>
          <cell r="H167" t="str">
            <v>KotaMakassar-KotaYogyakarta</v>
          </cell>
          <cell r="I167" t="str">
            <v>05/08/2025 - 08/08/2025</v>
          </cell>
          <cell r="J167" t="str">
            <v>4</v>
          </cell>
          <cell r="K167" t="str">
            <v>Flight One Way</v>
          </cell>
          <cell r="L167" t="str">
            <v>07-08-2025 07:40:24</v>
          </cell>
          <cell r="M167" t="str">
            <v>Lion Air  YIA Yogyakarta International Airport JT-664 - Lion Air Domestic UPG Hasanuddin JT-664</v>
          </cell>
          <cell r="N167" t="str">
            <v>OF TJSL</v>
          </cell>
          <cell r="O167" t="str">
            <v>0007412163</v>
          </cell>
          <cell r="P167" t="str">
            <v>08/08/2025 20:00:00 - 08/08/2025 22:55:00</v>
          </cell>
          <cell r="Q167">
            <v>1335100</v>
          </cell>
          <cell r="R167" t="str">
            <v>SUCCESS</v>
          </cell>
        </row>
        <row r="168">
          <cell r="A168">
            <v>1274282480</v>
          </cell>
          <cell r="B168" t="str">
            <v>8403069F</v>
          </cell>
          <cell r="C168" t="str">
            <v>DEWI ARJUNI KUSNADI</v>
          </cell>
          <cell r="D168">
            <v>84037602</v>
          </cell>
          <cell r="E168">
            <v>4120177007</v>
          </cell>
          <cell r="F168" t="str">
            <v>54</v>
          </cell>
          <cell r="G168" t="str">
            <v>Perjalanan Dinas Non-Diklat</v>
          </cell>
          <cell r="H168" t="str">
            <v>Kota Yogyakarta - Kota Yogyakarta</v>
          </cell>
          <cell r="I168" t="str">
            <v>05/08/2025 - 08/08/2025</v>
          </cell>
          <cell r="J168" t="str">
            <v>4</v>
          </cell>
          <cell r="K168" t="str">
            <v>Flight One Way</v>
          </cell>
          <cell r="L168" t="str">
            <v>04-08-2025 08:39:15</v>
          </cell>
          <cell r="M168" t="str">
            <v>Sriwijaya Air Domestic UPG Hasanuddin SJ-712 - Sriwijaya Air  YIA Yogyakarta International Airport SJ-712</v>
          </cell>
          <cell r="N168" t="str">
            <v>OF TJSL</v>
          </cell>
          <cell r="O168" t="str">
            <v>7412163</v>
          </cell>
          <cell r="P168" t="str">
            <v>05/08/2025 18:20:00 - 05/08/2025 19:10:00</v>
          </cell>
          <cell r="Q168">
            <v>1156900</v>
          </cell>
          <cell r="R168" t="str">
            <v>SUCCESS</v>
          </cell>
        </row>
        <row r="169">
          <cell r="A169">
            <v>1274278483</v>
          </cell>
          <cell r="B169" t="str">
            <v>93162777ZY</v>
          </cell>
          <cell r="C169" t="str">
            <v>KHAYRUNNISA B. MUHAMMADIA</v>
          </cell>
          <cell r="D169">
            <v>93167626</v>
          </cell>
          <cell r="E169">
            <v>4120177004</v>
          </cell>
          <cell r="F169" t="str">
            <v>54</v>
          </cell>
          <cell r="G169" t="str">
            <v>Perjalanan Dinas Diklat</v>
          </cell>
          <cell r="H169" t="str">
            <v>Kota Makassar - Kota Yogyakarta</v>
          </cell>
          <cell r="I169" t="str">
            <v>05/08/2025 - 08/08/2025</v>
          </cell>
          <cell r="J169" t="str">
            <v>4</v>
          </cell>
          <cell r="K169" t="str">
            <v>Flight One Way</v>
          </cell>
          <cell r="L169" t="str">
            <v>04-08-2025 08:16:37</v>
          </cell>
          <cell r="M169" t="str">
            <v>Sriwijaya Air Domestic UPG Hasanuddin SJ-712 - Sriwijaya Air  YIA Yogyakarta International Airport SJ-712</v>
          </cell>
          <cell r="N169" t="str">
            <v>OF TJSL</v>
          </cell>
          <cell r="O169" t="str">
            <v>7412163</v>
          </cell>
          <cell r="P169" t="str">
            <v>05/08/2025 18:20:00 - 05/08/2025 19:10:00</v>
          </cell>
          <cell r="Q169">
            <v>1156900</v>
          </cell>
          <cell r="R169" t="str">
            <v>SUCCESS</v>
          </cell>
        </row>
        <row r="170">
          <cell r="A170">
            <v>1274781981</v>
          </cell>
          <cell r="B170" t="str">
            <v>8509300Z</v>
          </cell>
          <cell r="C170" t="str">
            <v>AGUS HARI WIBOWO</v>
          </cell>
          <cell r="D170">
            <v>85097602</v>
          </cell>
          <cell r="E170">
            <v>4120177008</v>
          </cell>
          <cell r="F170" t="str">
            <v>54</v>
          </cell>
          <cell r="G170" t="str">
            <v>Perjalanan Dinas Diklat</v>
          </cell>
          <cell r="H170" t="str">
            <v>Kota Makassar - Kab. Bogor</v>
          </cell>
          <cell r="I170" t="str">
            <v>04/08/2025 - 08/08/2025</v>
          </cell>
          <cell r="J170" t="str">
            <v>5</v>
          </cell>
          <cell r="K170" t="str">
            <v>Hotel</v>
          </cell>
          <cell r="L170" t="str">
            <v>06-08-2025 05:49:42</v>
          </cell>
          <cell r="M170" t="str">
            <v xml:space="preserve">favehotel Padjadjaran Bogor - 2.0 Stars  - </v>
          </cell>
          <cell r="N170" t="str">
            <v>SOF REN SIS KELIST</v>
          </cell>
          <cell r="O170" t="str">
            <v>7412112</v>
          </cell>
          <cell r="P170" t="str">
            <v>06/08/2025 14:00:00 - 07/08/2025 12:00:00</v>
          </cell>
          <cell r="Q170">
            <v>664940</v>
          </cell>
          <cell r="R170" t="str">
            <v>SUCCESS</v>
          </cell>
        </row>
        <row r="171">
          <cell r="A171">
            <v>1274076790</v>
          </cell>
          <cell r="B171" t="str">
            <v>8509300Z</v>
          </cell>
          <cell r="C171" t="str">
            <v>AGUS HARI WIBOWO</v>
          </cell>
          <cell r="D171">
            <v>85097602</v>
          </cell>
          <cell r="E171">
            <v>4120177008</v>
          </cell>
          <cell r="F171" t="str">
            <v>54</v>
          </cell>
          <cell r="G171" t="str">
            <v>Perjalanan Dinas Diklat</v>
          </cell>
          <cell r="H171" t="str">
            <v>Kota Makassar - Kab. Bogor</v>
          </cell>
          <cell r="I171" t="str">
            <v>04/08/2025 - 08/08/2025</v>
          </cell>
          <cell r="J171" t="str">
            <v>5</v>
          </cell>
          <cell r="K171" t="str">
            <v>Flight One Way</v>
          </cell>
          <cell r="L171" t="str">
            <v>03-08-2025 10:04:07</v>
          </cell>
          <cell r="M171" t="str">
            <v>Citilink Domestic UPG Hasanuddin QG-213 - Citilink 1B CGK Soekarno Hatta International Airport QG-213</v>
          </cell>
          <cell r="N171" t="str">
            <v>SOF REN SIS KELIST</v>
          </cell>
          <cell r="O171" t="str">
            <v>7412112</v>
          </cell>
          <cell r="P171" t="str">
            <v>04/08/2025 13:35:00 - 04/08/2025 15:00:00</v>
          </cell>
          <cell r="Q171">
            <v>1276600</v>
          </cell>
          <cell r="R171" t="str">
            <v>SUCCESS</v>
          </cell>
        </row>
        <row r="172">
          <cell r="A172">
            <v>1275123562</v>
          </cell>
          <cell r="B172" t="str">
            <v>8509300Z</v>
          </cell>
          <cell r="C172" t="str">
            <v>AGUS HARI WIBOWO</v>
          </cell>
          <cell r="D172">
            <v>85097602</v>
          </cell>
          <cell r="E172">
            <v>4120177008</v>
          </cell>
          <cell r="F172" t="str">
            <v>54</v>
          </cell>
          <cell r="G172" t="str">
            <v>Perjalanan Dinas Diklat</v>
          </cell>
          <cell r="H172" t="str">
            <v>Kota Makassar - Kab. Bogor</v>
          </cell>
          <cell r="I172" t="str">
            <v>04/08/2025 - 08/08/2025</v>
          </cell>
          <cell r="J172" t="str">
            <v>5</v>
          </cell>
          <cell r="K172" t="str">
            <v>Flight One Way</v>
          </cell>
          <cell r="L172" t="str">
            <v>07-08-2025 11:55:57</v>
          </cell>
          <cell r="M172" t="str">
            <v>Citilink 1B CGK Soekarno Hatta International Airport QG-426 - Citilink Domestic UPG Hasanuddin QG-426</v>
          </cell>
          <cell r="N172" t="str">
            <v>SOF REN SIS KELIST</v>
          </cell>
          <cell r="O172" t="str">
            <v>7412112</v>
          </cell>
          <cell r="P172" t="str">
            <v>08/08/2025 15:35:00 - 08/08/2025 19:00:00</v>
          </cell>
          <cell r="Q172">
            <v>1722900</v>
          </cell>
          <cell r="R172" t="str">
            <v>SUCCESS</v>
          </cell>
        </row>
        <row r="173">
          <cell r="A173">
            <v>1275045550</v>
          </cell>
          <cell r="B173" t="str">
            <v>8509300Z</v>
          </cell>
          <cell r="C173" t="str">
            <v>AGUS HARI WIBOWO</v>
          </cell>
          <cell r="D173">
            <v>85097602</v>
          </cell>
          <cell r="E173">
            <v>4120177008</v>
          </cell>
          <cell r="F173" t="str">
            <v>54</v>
          </cell>
          <cell r="G173" t="str">
            <v>Perjalanan Dinas Diklat</v>
          </cell>
          <cell r="H173" t="str">
            <v>Kota Makassar - Kab. Bogor</v>
          </cell>
          <cell r="I173" t="str">
            <v>04/08/2025 - 08/08/2025</v>
          </cell>
          <cell r="J173" t="str">
            <v>5</v>
          </cell>
          <cell r="K173" t="str">
            <v>Hotel</v>
          </cell>
          <cell r="L173" t="str">
            <v>07-08-2025 04:19:21</v>
          </cell>
          <cell r="M173" t="str">
            <v xml:space="preserve">Hotel Santika Bogor - 3.0 Stars  - </v>
          </cell>
          <cell r="N173" t="str">
            <v>SOF REN SIS KELIST</v>
          </cell>
          <cell r="O173" t="str">
            <v>7412112</v>
          </cell>
          <cell r="P173" t="str">
            <v>07/08/2025 14:00:00 - 08/08/2025 12:00:00</v>
          </cell>
          <cell r="Q173">
            <v>935000</v>
          </cell>
          <cell r="R173" t="str">
            <v>SUCCESS</v>
          </cell>
        </row>
        <row r="174">
          <cell r="A174">
            <v>1274422164</v>
          </cell>
          <cell r="B174" t="str">
            <v>8509300Z</v>
          </cell>
          <cell r="C174" t="str">
            <v>AGUS HARI WIBOWO</v>
          </cell>
          <cell r="D174">
            <v>85097602</v>
          </cell>
          <cell r="E174">
            <v>4120177008</v>
          </cell>
          <cell r="F174" t="str">
            <v>54</v>
          </cell>
          <cell r="G174" t="str">
            <v>Perjalanan Dinas Diklat</v>
          </cell>
          <cell r="H174" t="str">
            <v>Kota Makassar - Kab. Bogor</v>
          </cell>
          <cell r="I174" t="str">
            <v>04/08/2025 - 08/08/2025</v>
          </cell>
          <cell r="J174" t="str">
            <v>5</v>
          </cell>
          <cell r="K174" t="str">
            <v>Hotel</v>
          </cell>
          <cell r="L174" t="str">
            <v>04-08-2025 17:48:13</v>
          </cell>
          <cell r="M174" t="str">
            <v xml:space="preserve">favehotel Padjadjaran Bogor - 2.0 Stars  - </v>
          </cell>
          <cell r="N174" t="str">
            <v>SOF REN SIS KELIST</v>
          </cell>
          <cell r="O174" t="str">
            <v>7412112</v>
          </cell>
          <cell r="P174" t="str">
            <v>04/08/2025 14:00:00 - 06/08/2025 12:00:00</v>
          </cell>
          <cell r="Q174">
            <v>1329880</v>
          </cell>
          <cell r="R174" t="str">
            <v>SUCCESS</v>
          </cell>
        </row>
        <row r="175">
          <cell r="A175">
            <v>1274422992</v>
          </cell>
          <cell r="B175" t="str">
            <v>8812175ZY</v>
          </cell>
          <cell r="C175" t="str">
            <v>MUHAMMAD YUNUS</v>
          </cell>
          <cell r="D175">
            <v>88128001</v>
          </cell>
          <cell r="E175">
            <v>4120177006</v>
          </cell>
          <cell r="F175" t="str">
            <v>54</v>
          </cell>
          <cell r="G175" t="str">
            <v>Perjalanan Dinas Non-Diklat</v>
          </cell>
          <cell r="H175" t="str">
            <v>Kota Makassar - Kab. Bogor</v>
          </cell>
          <cell r="I175" t="str">
            <v>04/08/2025 - 08/08/2025</v>
          </cell>
          <cell r="J175" t="str">
            <v>5</v>
          </cell>
          <cell r="K175" t="str">
            <v>Hotel</v>
          </cell>
          <cell r="L175" t="str">
            <v>04-08-2025 17:51:50</v>
          </cell>
          <cell r="M175" t="str">
            <v xml:space="preserve">favehotel Padjadjaran Bogor - 2.0 Stars  - </v>
          </cell>
          <cell r="N175" t="str">
            <v>TL REN LISDES</v>
          </cell>
          <cell r="O175" t="str">
            <v>7412000</v>
          </cell>
          <cell r="P175" t="str">
            <v>04/08/2025 14:00:00 - 06/08/2025 12:00:00</v>
          </cell>
          <cell r="Q175">
            <v>1329880</v>
          </cell>
          <cell r="R175" t="str">
            <v>SUCCESS</v>
          </cell>
        </row>
        <row r="176">
          <cell r="A176">
            <v>1275165844</v>
          </cell>
          <cell r="B176" t="str">
            <v>8812175ZY</v>
          </cell>
          <cell r="C176" t="str">
            <v>MUHAMMAD YUNUS</v>
          </cell>
          <cell r="D176">
            <v>88128001</v>
          </cell>
          <cell r="E176">
            <v>4120177006</v>
          </cell>
          <cell r="F176" t="str">
            <v>54</v>
          </cell>
          <cell r="G176" t="str">
            <v>Perjalanan Dinas Non-Diklat</v>
          </cell>
          <cell r="H176" t="str">
            <v>Kota Makassar - Kab. Bogor</v>
          </cell>
          <cell r="I176" t="str">
            <v>04/08/2025 - 08/08/2025</v>
          </cell>
          <cell r="J176" t="str">
            <v>5</v>
          </cell>
          <cell r="K176" t="str">
            <v>Flight One Way</v>
          </cell>
          <cell r="L176" t="str">
            <v>07-08-2025 14:30:46</v>
          </cell>
          <cell r="M176" t="str">
            <v>Batik Air 2D CGK Soekarno Hatta International Airport ID-6264 - Batik Air Domestic UPG Hasanuddin ID-6264</v>
          </cell>
          <cell r="N176" t="str">
            <v>TL REN LISDES</v>
          </cell>
          <cell r="O176" t="str">
            <v>0007412000</v>
          </cell>
          <cell r="P176" t="str">
            <v>08/08/2025 02:20:00 - 08/08/2025 05:40:00</v>
          </cell>
          <cell r="Q176">
            <v>1953100</v>
          </cell>
          <cell r="R176" t="str">
            <v>SUCCESS</v>
          </cell>
        </row>
        <row r="177">
          <cell r="A177">
            <v>1274790566</v>
          </cell>
          <cell r="B177" t="str">
            <v>8812175ZY</v>
          </cell>
          <cell r="C177" t="str">
            <v>MUHAMMAD YUNUS</v>
          </cell>
          <cell r="D177">
            <v>88128001</v>
          </cell>
          <cell r="E177">
            <v>4120177006</v>
          </cell>
          <cell r="F177" t="str">
            <v>54</v>
          </cell>
          <cell r="G177" t="str">
            <v>Perjalanan Dinas Non-Diklat</v>
          </cell>
          <cell r="H177" t="str">
            <v>Kota Makassar - Kab. Bogor</v>
          </cell>
          <cell r="I177" t="str">
            <v>04/08/2025 - 08/08/2025</v>
          </cell>
          <cell r="J177" t="str">
            <v>5</v>
          </cell>
          <cell r="K177" t="str">
            <v>Hotel</v>
          </cell>
          <cell r="L177" t="str">
            <v>06-08-2025 07:17:25</v>
          </cell>
          <cell r="M177" t="str">
            <v xml:space="preserve">favehotel Padjadjaran Bogor - 2.0 Stars  - </v>
          </cell>
          <cell r="N177" t="str">
            <v>TL REN LISDES</v>
          </cell>
          <cell r="O177" t="str">
            <v>7412000</v>
          </cell>
          <cell r="P177" t="str">
            <v>06/08/2025 14:00:00 - 07/08/2025 12:00:00</v>
          </cell>
          <cell r="Q177">
            <v>671590</v>
          </cell>
          <cell r="R177" t="str">
            <v>SUCCESS</v>
          </cell>
        </row>
        <row r="178">
          <cell r="A178">
            <v>1274105099</v>
          </cell>
          <cell r="B178" t="str">
            <v>8812175ZY</v>
          </cell>
          <cell r="C178" t="str">
            <v>MUHAMMAD YUNUS</v>
          </cell>
          <cell r="D178">
            <v>88128001</v>
          </cell>
          <cell r="E178">
            <v>4120177006</v>
          </cell>
          <cell r="F178" t="str">
            <v>54</v>
          </cell>
          <cell r="G178" t="str">
            <v>Perjalanan Dinas Non-Diklat</v>
          </cell>
          <cell r="H178" t="str">
            <v>Kota Makassar - Kab. Bogor</v>
          </cell>
          <cell r="I178" t="str">
            <v>04/08/2025 - 08/08/2025</v>
          </cell>
          <cell r="J178" t="str">
            <v>5</v>
          </cell>
          <cell r="K178" t="str">
            <v>Flight One Way</v>
          </cell>
          <cell r="L178" t="str">
            <v>03-08-2025 12:06:48</v>
          </cell>
          <cell r="M178" t="str">
            <v>Garuda Indonesia Domestic UPG Hasanuddin GA-613 - Garuda Indonesia  CGK Soekarno Hatta International Airport GA-613</v>
          </cell>
          <cell r="N178" t="str">
            <v>TL REN LISDES</v>
          </cell>
          <cell r="O178" t="str">
            <v>7412000</v>
          </cell>
          <cell r="P178" t="str">
            <v>04/08/2025 13:00:00 - 04/08/2025 14:25:00</v>
          </cell>
          <cell r="Q178">
            <v>1753500</v>
          </cell>
          <cell r="R178" t="str">
            <v>SUCCESS</v>
          </cell>
        </row>
        <row r="179">
          <cell r="A179">
            <v>1274161474</v>
          </cell>
          <cell r="B179" t="str">
            <v>94191264ZY</v>
          </cell>
          <cell r="C179" t="str">
            <v>OLIVER KEVIN NDOEN</v>
          </cell>
          <cell r="D179">
            <v>94197611</v>
          </cell>
          <cell r="E179">
            <v>4120177005</v>
          </cell>
          <cell r="F179" t="str">
            <v>54</v>
          </cell>
          <cell r="G179" t="str">
            <v>Perjalanan Dinas Non-Diklat</v>
          </cell>
          <cell r="H179" t="str">
            <v>Kota Kendari - Kab. Bogor</v>
          </cell>
          <cell r="I179" t="str">
            <v>04/08/2025 - 08/08/2025</v>
          </cell>
          <cell r="J179" t="str">
            <v>5</v>
          </cell>
          <cell r="K179" t="str">
            <v>Hotel</v>
          </cell>
          <cell r="L179" t="str">
            <v>03-08-2025 16:20:13</v>
          </cell>
          <cell r="M179" t="str">
            <v xml:space="preserve">BIGLAND Hotel &amp; Convention Sentul - 4.0 Stars  - </v>
          </cell>
          <cell r="N179" t="str">
            <v>TL REN LISDES</v>
          </cell>
          <cell r="O179" t="str">
            <v>7412240</v>
          </cell>
          <cell r="P179" t="str">
            <v>04/08/2025 14:00:00 - 08/08/2025 12:00:00</v>
          </cell>
          <cell r="Q179">
            <v>2820000</v>
          </cell>
          <cell r="R179" t="str">
            <v>SUCCESS</v>
          </cell>
        </row>
        <row r="180">
          <cell r="A180">
            <v>1274110381</v>
          </cell>
          <cell r="B180" t="str">
            <v>94191264ZY</v>
          </cell>
          <cell r="C180" t="str">
            <v>OLIVER KEVIN NDOEN</v>
          </cell>
          <cell r="D180">
            <v>94197611</v>
          </cell>
          <cell r="E180">
            <v>4120177005</v>
          </cell>
          <cell r="F180" t="str">
            <v>54</v>
          </cell>
          <cell r="G180" t="str">
            <v>Perjalanan Dinas Non-Diklat</v>
          </cell>
          <cell r="H180" t="str">
            <v>Kota Kendari - Kab. Bogor</v>
          </cell>
          <cell r="I180" t="str">
            <v>04/08/2025 - 08/08/2025</v>
          </cell>
          <cell r="J180" t="str">
            <v>5</v>
          </cell>
          <cell r="K180" t="str">
            <v>Flight One Way</v>
          </cell>
          <cell r="L180" t="str">
            <v>03-08-2025 12:28:58</v>
          </cell>
          <cell r="M180" t="str">
            <v>Pelita Air  KDI Haluoleo IP-811 - Pelita Air 3 CGK Soekarno Hatta International Airport IP-811</v>
          </cell>
          <cell r="N180" t="str">
            <v>TL REN LISDES</v>
          </cell>
          <cell r="O180" t="str">
            <v>7412240</v>
          </cell>
          <cell r="P180" t="str">
            <v>04/08/2025 10:35:00 - 04/08/2025 12:20:00</v>
          </cell>
          <cell r="Q180">
            <v>2119000</v>
          </cell>
          <cell r="R180" t="str">
            <v>SUCCESS</v>
          </cell>
        </row>
        <row r="181">
          <cell r="A181">
            <v>1274422960</v>
          </cell>
          <cell r="B181" t="str">
            <v>7905002N</v>
          </cell>
          <cell r="C181" t="str">
            <v>RULI RIZALUDDIN</v>
          </cell>
          <cell r="D181">
            <v>79055400</v>
          </cell>
          <cell r="E181">
            <v>4120177003</v>
          </cell>
          <cell r="F181" t="str">
            <v>54</v>
          </cell>
          <cell r="G181" t="str">
            <v>Perjalanan Dinas Non-Diklat</v>
          </cell>
          <cell r="H181" t="str">
            <v>Kota Makassar - Kota Bogor</v>
          </cell>
          <cell r="I181" t="str">
            <v>04/08/2025 - 08/08/2025</v>
          </cell>
          <cell r="J181" t="str">
            <v>5</v>
          </cell>
          <cell r="K181" t="str">
            <v>Hotel</v>
          </cell>
          <cell r="L181" t="str">
            <v>04-08-2025 17:51:40</v>
          </cell>
          <cell r="M181" t="str">
            <v xml:space="preserve">Luminor Hotel Padjadjaran Bogor by WH - 4.0 Stars  - </v>
          </cell>
          <cell r="N181" t="str">
            <v>MUP UP2K (PROV SULSEL)</v>
          </cell>
          <cell r="O181" t="str">
            <v>7412000</v>
          </cell>
          <cell r="P181" t="str">
            <v>04/08/2025 14:00:00 - 06/08/2025 12:00:00</v>
          </cell>
          <cell r="Q181">
            <v>2315250</v>
          </cell>
          <cell r="R181" t="str">
            <v>SUCCESS</v>
          </cell>
        </row>
        <row r="182">
          <cell r="A182">
            <v>1274103651</v>
          </cell>
          <cell r="B182" t="str">
            <v>7905002N</v>
          </cell>
          <cell r="C182" t="str">
            <v>RULI RIZALUDDIN</v>
          </cell>
          <cell r="D182">
            <v>79055400</v>
          </cell>
          <cell r="E182">
            <v>4120177003</v>
          </cell>
          <cell r="F182" t="str">
            <v>54</v>
          </cell>
          <cell r="G182" t="str">
            <v>Perjalanan Dinas Non-Diklat</v>
          </cell>
          <cell r="H182" t="str">
            <v>Kota Makassar - Kota Bogor</v>
          </cell>
          <cell r="I182" t="str">
            <v>04/08/2025 - 08/08/2025</v>
          </cell>
          <cell r="J182" t="str">
            <v>5</v>
          </cell>
          <cell r="K182" t="str">
            <v>Flight One Way</v>
          </cell>
          <cell r="L182" t="str">
            <v>03-08-2025 12:00:59</v>
          </cell>
          <cell r="M182" t="str">
            <v>Garuda Indonesia Domestic UPG Hasanuddin GA-613 - Garuda Indonesia  CGK Soekarno Hatta International Airport GA-613</v>
          </cell>
          <cell r="N182" t="str">
            <v>MUP UP2K (PROV SULSEL)</v>
          </cell>
          <cell r="O182" t="str">
            <v>7412000</v>
          </cell>
          <cell r="P182" t="str">
            <v>04/08/2025 13:00:00 - 04/08/2025 14:25:00</v>
          </cell>
          <cell r="Q182">
            <v>1753500</v>
          </cell>
          <cell r="R182" t="str">
            <v>SUCCESS</v>
          </cell>
        </row>
        <row r="183">
          <cell r="A183">
            <v>1274783002</v>
          </cell>
          <cell r="B183" t="str">
            <v>7905002N</v>
          </cell>
          <cell r="C183" t="str">
            <v>RULI RIZALUDDIN</v>
          </cell>
          <cell r="D183">
            <v>79055400</v>
          </cell>
          <cell r="E183">
            <v>4120177003</v>
          </cell>
          <cell r="F183" t="str">
            <v>54</v>
          </cell>
          <cell r="G183" t="str">
            <v>Perjalanan Dinas Non-Diklat</v>
          </cell>
          <cell r="H183" t="str">
            <v>Kota Makassar - Kota Bogor</v>
          </cell>
          <cell r="I183" t="str">
            <v>04/08/2025 - 08/08/2025</v>
          </cell>
          <cell r="J183" t="str">
            <v>5</v>
          </cell>
          <cell r="K183" t="str">
            <v>Hotel</v>
          </cell>
          <cell r="L183" t="str">
            <v>06-08-2025 06:03:19</v>
          </cell>
          <cell r="M183" t="str">
            <v xml:space="preserve">Luminor Hotel Padjadjaran Bogor by WH - 4.0 Stars  - </v>
          </cell>
          <cell r="N183" t="str">
            <v>MUP UP2K (PROV SULSEL)</v>
          </cell>
          <cell r="O183" t="str">
            <v>7412000</v>
          </cell>
          <cell r="P183" t="str">
            <v>06/08/2025 14:00:00 - 07/08/2025 12:00:00</v>
          </cell>
          <cell r="Q183">
            <v>1058400</v>
          </cell>
          <cell r="R183" t="str">
            <v>SUCCESS</v>
          </cell>
        </row>
        <row r="184">
          <cell r="A184">
            <v>1275337993</v>
          </cell>
          <cell r="B184" t="str">
            <v>7905002N</v>
          </cell>
          <cell r="C184" t="str">
            <v>RULI RIZALUDDIN</v>
          </cell>
          <cell r="D184">
            <v>79055400</v>
          </cell>
          <cell r="E184">
            <v>4120177003</v>
          </cell>
          <cell r="F184" t="str">
            <v>54</v>
          </cell>
          <cell r="G184" t="str">
            <v>Perjalanan Dinas Non-Diklat</v>
          </cell>
          <cell r="H184" t="str">
            <v>KotaMakassar-KotaBogor</v>
          </cell>
          <cell r="I184" t="str">
            <v>04/08/2025 - 08/08/2025</v>
          </cell>
          <cell r="J184" t="str">
            <v>5</v>
          </cell>
          <cell r="K184" t="str">
            <v>Flight One Way</v>
          </cell>
          <cell r="L184" t="str">
            <v>08-08-2025 06:35:40</v>
          </cell>
          <cell r="M184" t="str">
            <v>Garuda Indonesia  CGK Soekarno Hatta International Airport GA-618 - Garuda Indonesia Domestic UPG Hasanuddin GA-618</v>
          </cell>
          <cell r="N184" t="str">
            <v>MUP UP2K (PROV SULSEL)</v>
          </cell>
          <cell r="O184" t="str">
            <v>0007412000</v>
          </cell>
          <cell r="P184" t="str">
            <v>08/08/2025 20:15:00 - 08/08/2025 23:50:00</v>
          </cell>
          <cell r="Q184">
            <v>2396800</v>
          </cell>
          <cell r="R184" t="str">
            <v>SUCCESS</v>
          </cell>
        </row>
        <row r="185">
          <cell r="A185">
            <v>1274754190</v>
          </cell>
          <cell r="B185" t="str">
            <v>8307221Z</v>
          </cell>
          <cell r="C185" t="str">
            <v>JONI ALEXANDER HEYT SITORUS</v>
          </cell>
          <cell r="D185">
            <v>83075800</v>
          </cell>
          <cell r="E185">
            <v>4120177001</v>
          </cell>
          <cell r="F185" t="str">
            <v>54</v>
          </cell>
          <cell r="G185" t="str">
            <v>Perjalanan Dinas Non-Diklat</v>
          </cell>
          <cell r="H185" t="str">
            <v>Kota Kendari - Kota Bogor</v>
          </cell>
          <cell r="I185" t="str">
            <v>04/08/2025 - 08/08/2025</v>
          </cell>
          <cell r="J185" t="str">
            <v>5</v>
          </cell>
          <cell r="K185" t="str">
            <v>Hotel</v>
          </cell>
          <cell r="L185" t="str">
            <v>05-08-2025 22:45:36</v>
          </cell>
          <cell r="M185" t="str">
            <v xml:space="preserve">Amaroossa Royal Hotel Bogor - 4.0 Stars  - </v>
          </cell>
          <cell r="N185" t="str">
            <v>MUP UP2K (PROV SULTRA)</v>
          </cell>
          <cell r="O185" t="str">
            <v>7412240</v>
          </cell>
          <cell r="P185" t="str">
            <v>06/08/2025 14:00:00 - 07/08/2025 12:00:00</v>
          </cell>
          <cell r="Q185">
            <v>992792</v>
          </cell>
          <cell r="R185" t="str">
            <v>SUCCESS</v>
          </cell>
        </row>
        <row r="186">
          <cell r="A186">
            <v>1274526238</v>
          </cell>
          <cell r="B186" t="str">
            <v>8307221Z</v>
          </cell>
          <cell r="C186" t="str">
            <v>JONI ALEXANDER HEYT SITORUS</v>
          </cell>
          <cell r="D186">
            <v>83075800</v>
          </cell>
          <cell r="E186">
            <v>4120177001</v>
          </cell>
          <cell r="F186" t="str">
            <v>54</v>
          </cell>
          <cell r="G186" t="str">
            <v>Perjalanan Dinas Non-Diklat</v>
          </cell>
          <cell r="H186" t="str">
            <v>Kota Kendari - Kota Bogor</v>
          </cell>
          <cell r="I186" t="str">
            <v>04/08/2025 - 08/08/2025</v>
          </cell>
          <cell r="J186" t="str">
            <v>5</v>
          </cell>
          <cell r="K186" t="str">
            <v>Hotel</v>
          </cell>
          <cell r="L186" t="str">
            <v>05-08-2025 07:17:38</v>
          </cell>
          <cell r="M186" t="str">
            <v xml:space="preserve">Beth Kasegaran Theresia Hotel - 4.0 Stars  - </v>
          </cell>
          <cell r="N186" t="str">
            <v>MUP UP2K (PROV SULTRA)</v>
          </cell>
          <cell r="O186" t="str">
            <v>7412240</v>
          </cell>
          <cell r="P186" t="str">
            <v>05/08/2025 14:00:00 - 06/08/2025 12:00:00</v>
          </cell>
          <cell r="Q186">
            <v>1062500</v>
          </cell>
          <cell r="R186" t="str">
            <v>SUCCESS</v>
          </cell>
        </row>
        <row r="187">
          <cell r="A187">
            <v>1274248716</v>
          </cell>
          <cell r="B187" t="str">
            <v>8307221Z</v>
          </cell>
          <cell r="C187" t="str">
            <v>JONI ALEXANDER HEYT SITORUS</v>
          </cell>
          <cell r="D187">
            <v>83075800</v>
          </cell>
          <cell r="E187">
            <v>4120177001</v>
          </cell>
          <cell r="F187" t="str">
            <v>54</v>
          </cell>
          <cell r="G187" t="str">
            <v>Perjalanan Dinas Non-Diklat</v>
          </cell>
          <cell r="H187" t="str">
            <v>Kota Kendari - Kota Bogor</v>
          </cell>
          <cell r="I187" t="str">
            <v>04/08/2025 - 08/08/2025</v>
          </cell>
          <cell r="J187" t="str">
            <v>5</v>
          </cell>
          <cell r="K187" t="str">
            <v>Hotel</v>
          </cell>
          <cell r="L187" t="str">
            <v>03-08-2025 23:47:07</v>
          </cell>
          <cell r="M187" t="str">
            <v xml:space="preserve">Beth Kasegaran Theresia Hotel - 4.0 Stars  - </v>
          </cell>
          <cell r="N187" t="str">
            <v>MUP UP2K (PROV SULTRA)</v>
          </cell>
          <cell r="O187" t="str">
            <v>7412240</v>
          </cell>
          <cell r="P187" t="str">
            <v>04/08/2025 14:00:00 - 05/08/2025 12:00:00</v>
          </cell>
          <cell r="Q187">
            <v>1062500</v>
          </cell>
          <cell r="R187" t="str">
            <v>SUCCESS</v>
          </cell>
        </row>
        <row r="188">
          <cell r="A188">
            <v>1274161008</v>
          </cell>
          <cell r="B188" t="str">
            <v>8307221Z</v>
          </cell>
          <cell r="C188" t="str">
            <v>JONI ALEXANDER HEYT SITORUS</v>
          </cell>
          <cell r="D188">
            <v>83075800</v>
          </cell>
          <cell r="E188">
            <v>4120177001</v>
          </cell>
          <cell r="F188" t="str">
            <v>54</v>
          </cell>
          <cell r="G188" t="str">
            <v>Perjalanan Dinas Non-Diklat</v>
          </cell>
          <cell r="H188" t="str">
            <v>Kota Kendari - Kota Bogor</v>
          </cell>
          <cell r="I188" t="str">
            <v>04/08/2025 - 08/08/2025</v>
          </cell>
          <cell r="J188" t="str">
            <v>5</v>
          </cell>
          <cell r="K188" t="str">
            <v>Flight One Way</v>
          </cell>
          <cell r="L188" t="str">
            <v>03-08-2025 16:18:07</v>
          </cell>
          <cell r="M188" t="str">
            <v>Garuda Indonesia  KDI Haluoleo GA-605 - Garuda Indonesia  CGK Soekarno Hatta International Airport GA-605</v>
          </cell>
          <cell r="N188" t="str">
            <v>MUP UP2K (PROV SULTRA)</v>
          </cell>
          <cell r="O188" t="str">
            <v>7412240</v>
          </cell>
          <cell r="P188" t="str">
            <v>04/08/2025 09:10:00 - 04/08/2025 12:25:00</v>
          </cell>
          <cell r="Q188">
            <v>2670500</v>
          </cell>
          <cell r="R188" t="str">
            <v>SUCCESS</v>
          </cell>
        </row>
        <row r="189">
          <cell r="A189">
            <v>1275025183</v>
          </cell>
          <cell r="B189" t="str">
            <v>8307221Z</v>
          </cell>
          <cell r="C189" t="str">
            <v>JONI ALEXANDER HEYT SITORUS</v>
          </cell>
          <cell r="D189">
            <v>83075800</v>
          </cell>
          <cell r="E189">
            <v>4120177001</v>
          </cell>
          <cell r="F189" t="str">
            <v>54</v>
          </cell>
          <cell r="G189" t="str">
            <v>Perjalanan Dinas Non-Diklat</v>
          </cell>
          <cell r="H189" t="str">
            <v>Kota Kendari - Kota Bogor</v>
          </cell>
          <cell r="I189" t="str">
            <v>04/08/2025 - 08/08/2025</v>
          </cell>
          <cell r="J189" t="str">
            <v>5</v>
          </cell>
          <cell r="K189" t="str">
            <v>Flight One Way</v>
          </cell>
          <cell r="L189" t="str">
            <v>06-08-2025 23:03:16</v>
          </cell>
          <cell r="M189" t="str">
            <v>Garuda Indonesia  CGK Soekarno Hatta International Airport GA-604 - Garuda Indonesia  KDI Haluoleo GA-604</v>
          </cell>
          <cell r="N189" t="str">
            <v>MUP UP2K (PROV SULTRA)</v>
          </cell>
          <cell r="O189" t="str">
            <v>7412240</v>
          </cell>
          <cell r="P189" t="str">
            <v>08/08/2025 02:50:00 - 08/08/2025 08:25:00</v>
          </cell>
          <cell r="Q189">
            <v>2780700</v>
          </cell>
          <cell r="R189" t="str">
            <v>SUCCESS</v>
          </cell>
        </row>
        <row r="190">
          <cell r="A190">
            <v>1275082850</v>
          </cell>
          <cell r="B190" t="str">
            <v>96191903ZY</v>
          </cell>
          <cell r="C190" t="str">
            <v>MANSYUR FAHMI</v>
          </cell>
          <cell r="D190">
            <v>96197639</v>
          </cell>
          <cell r="E190">
            <v>4120177002</v>
          </cell>
          <cell r="F190" t="str">
            <v>54</v>
          </cell>
          <cell r="G190" t="str">
            <v>Perjalanan Dinas Non-Diklat</v>
          </cell>
          <cell r="H190" t="str">
            <v>Kab. Mamuju - Kab. Bogor</v>
          </cell>
          <cell r="I190" t="str">
            <v>04/08/2025 - 08/08/2025</v>
          </cell>
          <cell r="J190" t="str">
            <v>5</v>
          </cell>
          <cell r="K190" t="str">
            <v>Flight One Way</v>
          </cell>
          <cell r="L190" t="str">
            <v>07-08-2025 09:26:49</v>
          </cell>
          <cell r="M190" t="str">
            <v>Batik Air 2D CGK Soekarno Hatta International Airport ID-6264 - Batik Air  MJU Tampa Padang ID-6264</v>
          </cell>
          <cell r="N190" t="str">
            <v>TL REN LISDES</v>
          </cell>
          <cell r="O190" t="str">
            <v>7412290</v>
          </cell>
          <cell r="P190" t="str">
            <v>08/08/2025 02:20:00 - 08/08/2025 10:55:00</v>
          </cell>
          <cell r="Q190">
            <v>2503500</v>
          </cell>
          <cell r="R190" t="str">
            <v>SUCCESS</v>
          </cell>
        </row>
        <row r="191">
          <cell r="A191">
            <v>1273997420</v>
          </cell>
          <cell r="B191" t="str">
            <v>96191903ZY</v>
          </cell>
          <cell r="C191" t="str">
            <v>MANSYUR FAHMI</v>
          </cell>
          <cell r="D191">
            <v>96197639</v>
          </cell>
          <cell r="E191">
            <v>4120177002</v>
          </cell>
          <cell r="F191" t="str">
            <v>54</v>
          </cell>
          <cell r="G191" t="str">
            <v>Perjalanan Dinas Non-Diklat</v>
          </cell>
          <cell r="H191" t="str">
            <v>Kab. Mamuju - Kab. Bogor</v>
          </cell>
          <cell r="I191" t="str">
            <v>04/08/2025 - 08/08/2025</v>
          </cell>
          <cell r="J191" t="str">
            <v>5</v>
          </cell>
          <cell r="K191" t="str">
            <v>Flight One Way</v>
          </cell>
          <cell r="L191" t="str">
            <v>02-08-2025 21:27:53</v>
          </cell>
          <cell r="M191" t="str">
            <v>Garuda Indonesia Domestic UPG Hasanuddin GA-611 - Garuda Indonesia  CGK Soekarno Hatta International Airport GA-611</v>
          </cell>
          <cell r="N191" t="str">
            <v>TL REN LISDES</v>
          </cell>
          <cell r="O191" t="str">
            <v>7412290</v>
          </cell>
          <cell r="P191" t="str">
            <v>04/08/2025 11:20:00 - 04/08/2025 12:45:00</v>
          </cell>
          <cell r="Q191">
            <v>1752500</v>
          </cell>
          <cell r="R191" t="str">
            <v>SUCCESS</v>
          </cell>
        </row>
        <row r="192">
          <cell r="A192">
            <v>1274061976</v>
          </cell>
          <cell r="B192" t="str">
            <v>96191903ZY</v>
          </cell>
          <cell r="C192" t="str">
            <v>MANSYUR FAHMI</v>
          </cell>
          <cell r="D192">
            <v>96197639</v>
          </cell>
          <cell r="E192">
            <v>4120177002</v>
          </cell>
          <cell r="F192" t="str">
            <v>54</v>
          </cell>
          <cell r="G192" t="str">
            <v>Perjalanan Dinas Non-Diklat</v>
          </cell>
          <cell r="H192" t="str">
            <v>Kab. Mamuju - Kab. Bogor</v>
          </cell>
          <cell r="I192" t="str">
            <v>04/08/2025 - 08/08/2025</v>
          </cell>
          <cell r="J192" t="str">
            <v>5</v>
          </cell>
          <cell r="K192" t="str">
            <v>Hotel</v>
          </cell>
          <cell r="L192" t="str">
            <v>03-08-2025 08:49:30</v>
          </cell>
          <cell r="M192" t="str">
            <v xml:space="preserve">ibis Styles Bogor Pajajaran - 3.0 Stars  - </v>
          </cell>
          <cell r="N192" t="str">
            <v>TL REN LISDES</v>
          </cell>
          <cell r="O192" t="str">
            <v>7412290</v>
          </cell>
          <cell r="P192" t="str">
            <v>04/08/2025 14:00:00 - 08/08/2025 12:00:00</v>
          </cell>
          <cell r="Q192">
            <v>2898000</v>
          </cell>
          <cell r="R192" t="str">
            <v>SUCCESS</v>
          </cell>
        </row>
        <row r="193">
          <cell r="A193">
            <v>1273953504</v>
          </cell>
          <cell r="B193" t="str">
            <v>9009030F</v>
          </cell>
          <cell r="C193" t="str">
            <v>MUH. RENALDI</v>
          </cell>
          <cell r="D193">
            <v>90097605</v>
          </cell>
          <cell r="E193">
            <v>4120176990</v>
          </cell>
          <cell r="F193" t="str">
            <v>54</v>
          </cell>
          <cell r="G193" t="str">
            <v>Perjalanan Dinas Non-Diklat</v>
          </cell>
          <cell r="H193" t="str">
            <v>Kab. Mamuju - Kab. Pasangkayu</v>
          </cell>
          <cell r="I193" t="str">
            <v>02/08/2025 - 04/08/2025</v>
          </cell>
          <cell r="J193" t="str">
            <v>3</v>
          </cell>
          <cell r="K193" t="str">
            <v>Hotel</v>
          </cell>
          <cell r="L193" t="str">
            <v>02-08-2025 18:21:59</v>
          </cell>
          <cell r="M193" t="str">
            <v xml:space="preserve">Devonder Hotel - 2.0 Stars  - </v>
          </cell>
          <cell r="N193" t="str">
            <v>TL HAR MTR TRANSAKSI</v>
          </cell>
          <cell r="O193" t="str">
            <v>7411292</v>
          </cell>
          <cell r="P193" t="str">
            <v>02/08/2025 14:00:00 - 03/08/2025 12:00:00</v>
          </cell>
          <cell r="Q193">
            <v>330000</v>
          </cell>
          <cell r="R193" t="str">
            <v>SUCCESS</v>
          </cell>
        </row>
        <row r="194">
          <cell r="A194">
            <v>1274787128</v>
          </cell>
          <cell r="B194" t="str">
            <v>8710673Z</v>
          </cell>
          <cell r="C194" t="str">
            <v>ERWIN LERI</v>
          </cell>
          <cell r="D194">
            <v>87102007</v>
          </cell>
          <cell r="E194">
            <v>4120176995</v>
          </cell>
          <cell r="F194" t="str">
            <v>54</v>
          </cell>
          <cell r="G194" t="str">
            <v>Perjalanan Dinas Diklat</v>
          </cell>
          <cell r="H194" t="str">
            <v>Kota Makassar - Jakarta Pusat</v>
          </cell>
          <cell r="I194" t="str">
            <v>03/08/2025 - 08/08/2025</v>
          </cell>
          <cell r="J194" t="str">
            <v>6</v>
          </cell>
          <cell r="K194" t="str">
            <v>Hotel</v>
          </cell>
          <cell r="L194" t="str">
            <v>06-08-2025 06:47:53</v>
          </cell>
          <cell r="M194" t="str">
            <v>favehotel Padjadjaran Bogor - 2.0 Stars  - Standard</v>
          </cell>
          <cell r="N194" t="str">
            <v>OF REN SIS KELIST</v>
          </cell>
          <cell r="O194" t="str">
            <v>7412112</v>
          </cell>
          <cell r="P194" t="str">
            <v>06/08/2025 14:00:00 - 07/08/2025 12:00:00</v>
          </cell>
          <cell r="Q194">
            <v>649972</v>
          </cell>
          <cell r="R194" t="str">
            <v>SUCCESS</v>
          </cell>
        </row>
        <row r="195">
          <cell r="A195">
            <v>1273909653</v>
          </cell>
          <cell r="B195" t="str">
            <v>8710673Z</v>
          </cell>
          <cell r="C195" t="str">
            <v>ERWIN LERI</v>
          </cell>
          <cell r="D195">
            <v>87102007</v>
          </cell>
          <cell r="E195">
            <v>4120176995</v>
          </cell>
          <cell r="F195" t="str">
            <v>54</v>
          </cell>
          <cell r="G195" t="str">
            <v>Perjalanan Dinas Diklat</v>
          </cell>
          <cell r="H195" t="str">
            <v>Kota Makassar - Jakarta Pusat</v>
          </cell>
          <cell r="I195" t="str">
            <v>03/08/2025 - 06/08/2025</v>
          </cell>
          <cell r="J195" t="str">
            <v>4</v>
          </cell>
          <cell r="K195" t="str">
            <v>Flight One Way</v>
          </cell>
          <cell r="L195" t="str">
            <v>02-08-2025 15:17:45</v>
          </cell>
          <cell r="M195" t="str">
            <v>Garuda Indonesia Domestic UPG Hasanuddin GA-605 - Garuda Indonesia  CGK Soekarno Hatta International Airport GA-605</v>
          </cell>
          <cell r="N195" t="str">
            <v>OF REN SIS KELIST</v>
          </cell>
          <cell r="O195" t="str">
            <v>7412112</v>
          </cell>
          <cell r="P195" t="str">
            <v>03/08/2025 10:55:00 - 03/08/2025 12:25:00</v>
          </cell>
          <cell r="Q195">
            <v>2352900</v>
          </cell>
          <cell r="R195" t="str">
            <v>SUCCESS</v>
          </cell>
        </row>
        <row r="196">
          <cell r="A196">
            <v>1274137016</v>
          </cell>
          <cell r="B196" t="str">
            <v>8710673Z</v>
          </cell>
          <cell r="C196" t="str">
            <v>ERWIN LERI</v>
          </cell>
          <cell r="D196">
            <v>87102007</v>
          </cell>
          <cell r="E196">
            <v>4120176995</v>
          </cell>
          <cell r="F196" t="str">
            <v>54</v>
          </cell>
          <cell r="G196" t="str">
            <v>Perjalanan Dinas Diklat</v>
          </cell>
          <cell r="H196" t="str">
            <v>Kota Makassar - Jakarta Pusat</v>
          </cell>
          <cell r="I196" t="str">
            <v>03/08/2025 - 06/08/2025</v>
          </cell>
          <cell r="J196" t="str">
            <v>4</v>
          </cell>
          <cell r="K196" t="str">
            <v>Hotel</v>
          </cell>
          <cell r="L196" t="str">
            <v>03-08-2025 14:27:20</v>
          </cell>
          <cell r="M196" t="str">
            <v xml:space="preserve">Swiss-Belresidences Rasuna Epicentrum - 4.0 Stars  - </v>
          </cell>
          <cell r="N196" t="str">
            <v>OF REN SIS KELIST</v>
          </cell>
          <cell r="O196" t="str">
            <v>7412112</v>
          </cell>
          <cell r="P196" t="str">
            <v>03/08/2025 14:00:00 - 04/08/2025 12:00:00</v>
          </cell>
          <cell r="Q196">
            <v>805000</v>
          </cell>
          <cell r="R196" t="str">
            <v>SUCCESS</v>
          </cell>
        </row>
        <row r="197">
          <cell r="A197">
            <v>1274424879</v>
          </cell>
          <cell r="B197" t="str">
            <v>8710673Z</v>
          </cell>
          <cell r="C197" t="str">
            <v>ERWIN LERI</v>
          </cell>
          <cell r="D197">
            <v>87102007</v>
          </cell>
          <cell r="E197">
            <v>4120176995</v>
          </cell>
          <cell r="F197" t="str">
            <v>54</v>
          </cell>
          <cell r="G197" t="str">
            <v>Perjalanan Dinas Diklat</v>
          </cell>
          <cell r="H197" t="str">
            <v>Kota Makassar - Jakarta Pusat</v>
          </cell>
          <cell r="I197" t="str">
            <v>03/08/2025 - 06/08/2025</v>
          </cell>
          <cell r="J197" t="str">
            <v>4</v>
          </cell>
          <cell r="K197" t="str">
            <v>Hotel</v>
          </cell>
          <cell r="L197" t="str">
            <v>04-08-2025 17:59:46</v>
          </cell>
          <cell r="M197" t="str">
            <v xml:space="preserve">favehotel Padjadjaran Bogor - 2.0 Stars  - </v>
          </cell>
          <cell r="N197" t="str">
            <v>OF REN SIS KELIST</v>
          </cell>
          <cell r="O197" t="str">
            <v>7412112</v>
          </cell>
          <cell r="P197" t="str">
            <v>04/08/2025 14:00:00 - 06/08/2025 12:00:00</v>
          </cell>
          <cell r="Q197">
            <v>1336530</v>
          </cell>
          <cell r="R197" t="str">
            <v>SUCCESS</v>
          </cell>
        </row>
        <row r="198">
          <cell r="A198">
            <v>1275255196</v>
          </cell>
          <cell r="B198" t="str">
            <v>8710673Z</v>
          </cell>
          <cell r="C198" t="str">
            <v>ERWIN LERI</v>
          </cell>
          <cell r="D198">
            <v>87102007</v>
          </cell>
          <cell r="E198">
            <v>4120176995</v>
          </cell>
          <cell r="F198" t="str">
            <v>54</v>
          </cell>
          <cell r="G198" t="str">
            <v>Perjalanan Dinas Diklat</v>
          </cell>
          <cell r="H198" t="str">
            <v>KotaMakassar-JakartaPusat</v>
          </cell>
          <cell r="I198" t="str">
            <v>03/08/2025 - 08/08/2025</v>
          </cell>
          <cell r="J198" t="str">
            <v>6</v>
          </cell>
          <cell r="K198" t="str">
            <v>Hotel</v>
          </cell>
          <cell r="L198" t="str">
            <v>07-08-2025 20:18:08</v>
          </cell>
          <cell r="M198" t="str">
            <v xml:space="preserve">Hotel Gren Alia Cikini - 3.0 Stars  - </v>
          </cell>
          <cell r="N198" t="str">
            <v>OF REN SIS KELIST</v>
          </cell>
          <cell r="O198" t="str">
            <v>0007412112</v>
          </cell>
          <cell r="P198" t="str">
            <v>07/08/2025 14:00:00 - 08/08/2025 12:00:00</v>
          </cell>
          <cell r="Q198">
            <v>750000</v>
          </cell>
          <cell r="R198" t="str">
            <v>SUCCESS</v>
          </cell>
        </row>
        <row r="199">
          <cell r="A199">
            <v>1275060786</v>
          </cell>
          <cell r="B199" t="str">
            <v>8710673Z</v>
          </cell>
          <cell r="C199" t="str">
            <v>ERWIN LERI</v>
          </cell>
          <cell r="D199">
            <v>87102007</v>
          </cell>
          <cell r="E199">
            <v>4120176995</v>
          </cell>
          <cell r="F199" t="str">
            <v>54</v>
          </cell>
          <cell r="G199" t="str">
            <v>Perjalanan Dinas Diklat</v>
          </cell>
          <cell r="H199" t="str">
            <v>Kota Makassar - Jakarta Pusat</v>
          </cell>
          <cell r="I199" t="str">
            <v>03/08/2025 - 08/08/2025</v>
          </cell>
          <cell r="J199" t="str">
            <v>6</v>
          </cell>
          <cell r="K199" t="str">
            <v>Flight One Way</v>
          </cell>
          <cell r="L199" t="str">
            <v>07-08-2025 07:35:44</v>
          </cell>
          <cell r="M199" t="str">
            <v>Garuda Indonesia  CGK Soekarno Hatta International Airport GA-610 - Garuda Indonesia Domestic UPG Hasanuddin GA-610</v>
          </cell>
          <cell r="N199" t="str">
            <v>OF REN SIS KELIST</v>
          </cell>
          <cell r="O199" t="str">
            <v>7412112</v>
          </cell>
          <cell r="P199" t="str">
            <v>08/08/2025 06:55:00 - 08/08/2025 10:30:00</v>
          </cell>
          <cell r="Q199">
            <v>2399800</v>
          </cell>
          <cell r="R199" t="str">
            <v>SUCCESS</v>
          </cell>
        </row>
        <row r="200">
          <cell r="A200">
            <v>1275058931</v>
          </cell>
          <cell r="B200" t="str">
            <v>7190010F</v>
          </cell>
          <cell r="C200" t="str">
            <v>HUSLAN HUSAIN</v>
          </cell>
          <cell r="D200">
            <v>71907601</v>
          </cell>
          <cell r="E200">
            <v>4120176994</v>
          </cell>
          <cell r="F200" t="str">
            <v>54</v>
          </cell>
          <cell r="G200" t="str">
            <v>Perjalanan Dinas Non-Diklat</v>
          </cell>
          <cell r="H200" t="str">
            <v>Kota Makassar - Jakarta Selatan - Kota Bandung</v>
          </cell>
          <cell r="I200" t="str">
            <v>03/08/2025 - 08/08/2025</v>
          </cell>
          <cell r="J200" t="str">
            <v>6</v>
          </cell>
          <cell r="K200" t="str">
            <v>Flight One Way</v>
          </cell>
          <cell r="L200" t="str">
            <v>07-08-2025 07:22:35</v>
          </cell>
          <cell r="M200" t="str">
            <v>Garuda Indonesia  CGK Soekarno Hatta International Airport GA-610 - Garuda Indonesia Domestic UPG Hasanuddin GA-610</v>
          </cell>
          <cell r="N200" t="str">
            <v>SM REN</v>
          </cell>
          <cell r="O200" t="str">
            <v>7412110</v>
          </cell>
          <cell r="P200" t="str">
            <v>08/08/2025 06:55:00 - 08/08/2025 10:30:00</v>
          </cell>
          <cell r="Q200">
            <v>2399800</v>
          </cell>
          <cell r="R200" t="str">
            <v>SUCCESS</v>
          </cell>
        </row>
        <row r="201">
          <cell r="A201">
            <v>1273907393</v>
          </cell>
          <cell r="B201" t="str">
            <v>7190010F</v>
          </cell>
          <cell r="C201" t="str">
            <v>HUSLAN HUSAIN</v>
          </cell>
          <cell r="D201">
            <v>71907601</v>
          </cell>
          <cell r="E201">
            <v>4120176994</v>
          </cell>
          <cell r="F201" t="str">
            <v>54</v>
          </cell>
          <cell r="G201" t="str">
            <v>Perjalanan Dinas Non-Diklat</v>
          </cell>
          <cell r="H201" t="str">
            <v>Kota Makassar - Jakarta Selatan - Kota Bandung</v>
          </cell>
          <cell r="I201" t="str">
            <v>03/08/2025 - 06/08/2025</v>
          </cell>
          <cell r="J201" t="str">
            <v>4</v>
          </cell>
          <cell r="K201" t="str">
            <v>Flight One Way</v>
          </cell>
          <cell r="L201" t="str">
            <v>02-08-2025 15:09:10</v>
          </cell>
          <cell r="M201" t="str">
            <v>Garuda Indonesia Domestic UPG Hasanuddin GA-605 - Garuda Indonesia  CGK Soekarno Hatta International Airport GA-605</v>
          </cell>
          <cell r="N201" t="str">
            <v>SM REN</v>
          </cell>
          <cell r="O201" t="str">
            <v>7412110</v>
          </cell>
          <cell r="P201" t="str">
            <v>03/08/2025 10:55:00 - 03/08/2025 12:25:00</v>
          </cell>
          <cell r="Q201">
            <v>2352900</v>
          </cell>
          <cell r="R201" t="str">
            <v>SUCCESS</v>
          </cell>
        </row>
        <row r="202">
          <cell r="A202">
            <v>1274141563</v>
          </cell>
          <cell r="B202" t="str">
            <v>7190010F</v>
          </cell>
          <cell r="C202" t="str">
            <v>HUSLAN HUSAIN</v>
          </cell>
          <cell r="D202">
            <v>71907601</v>
          </cell>
          <cell r="E202">
            <v>4120176994</v>
          </cell>
          <cell r="F202" t="str">
            <v>54</v>
          </cell>
          <cell r="G202" t="str">
            <v>Perjalanan Dinas Non-Diklat</v>
          </cell>
          <cell r="H202" t="str">
            <v>Kota Makassar - Jakarta Selatan - Kota Bandung</v>
          </cell>
          <cell r="I202" t="str">
            <v>03/08/2025 - 06/08/2025</v>
          </cell>
          <cell r="J202" t="str">
            <v>4</v>
          </cell>
          <cell r="K202" t="str">
            <v>Hotel</v>
          </cell>
          <cell r="L202" t="str">
            <v>03-08-2025 14:48:37</v>
          </cell>
          <cell r="M202" t="str">
            <v xml:space="preserve">Swiss-Belresidences Rasuna Epicentrum - 4.0 Stars  - </v>
          </cell>
          <cell r="N202" t="str">
            <v>SM REN</v>
          </cell>
          <cell r="O202" t="str">
            <v>7412110</v>
          </cell>
          <cell r="P202" t="str">
            <v>03/08/2025 14:00:00 - 04/08/2025 12:00:00</v>
          </cell>
          <cell r="Q202">
            <v>1271000</v>
          </cell>
          <cell r="R202" t="str">
            <v>SUCCESS</v>
          </cell>
        </row>
        <row r="203">
          <cell r="A203">
            <v>1274436869</v>
          </cell>
          <cell r="B203" t="str">
            <v>7190010F</v>
          </cell>
          <cell r="C203" t="str">
            <v>HUSLAN HUSAIN</v>
          </cell>
          <cell r="D203">
            <v>71907601</v>
          </cell>
          <cell r="E203">
            <v>4120176994</v>
          </cell>
          <cell r="F203" t="str">
            <v>54</v>
          </cell>
          <cell r="G203" t="str">
            <v>Perjalanan Dinas Non-Diklat</v>
          </cell>
          <cell r="H203" t="str">
            <v>Kota Makassar - Jakarta Selatan - Kota Bandung</v>
          </cell>
          <cell r="I203" t="str">
            <v>03/08/2025 - 06/08/2025</v>
          </cell>
          <cell r="J203" t="str">
            <v>4</v>
          </cell>
          <cell r="K203" t="str">
            <v>Hotel</v>
          </cell>
          <cell r="L203" t="str">
            <v>04-08-2025 18:51:33</v>
          </cell>
          <cell r="M203" t="str">
            <v xml:space="preserve">Luminor Hotel Padjadjaran Bogor by WH - 4.0 Stars  - </v>
          </cell>
          <cell r="N203" t="str">
            <v>SM REN</v>
          </cell>
          <cell r="O203" t="str">
            <v>7412110</v>
          </cell>
          <cell r="P203" t="str">
            <v>04/08/2025 14:00:00 - 06/08/2025 12:00:00</v>
          </cell>
          <cell r="Q203">
            <v>3402000</v>
          </cell>
          <cell r="R203" t="str">
            <v>SUCCESS</v>
          </cell>
        </row>
        <row r="204">
          <cell r="A204">
            <v>1274790920</v>
          </cell>
          <cell r="B204" t="str">
            <v>7190010F</v>
          </cell>
          <cell r="C204" t="str">
            <v>HUSLAN HUSAIN</v>
          </cell>
          <cell r="D204">
            <v>71907601</v>
          </cell>
          <cell r="E204">
            <v>4120176994</v>
          </cell>
          <cell r="F204" t="str">
            <v>54</v>
          </cell>
          <cell r="G204" t="str">
            <v>Perjalanan Dinas Non-Diklat</v>
          </cell>
          <cell r="H204" t="str">
            <v>Kota Makassar - Jakarta Selatan - Kota Bandung</v>
          </cell>
          <cell r="I204" t="str">
            <v>03/08/2025 - 08/08/2025</v>
          </cell>
          <cell r="J204" t="str">
            <v>6</v>
          </cell>
          <cell r="K204" t="str">
            <v>Hotel</v>
          </cell>
          <cell r="L204" t="str">
            <v>06-08-2025 07:20:18</v>
          </cell>
          <cell r="M204" t="str">
            <v xml:space="preserve">Luminor Hotel Padjadjaran Bogor by WH - 4.0 Stars  - </v>
          </cell>
          <cell r="N204" t="str">
            <v>SM REN</v>
          </cell>
          <cell r="O204" t="str">
            <v>7412110</v>
          </cell>
          <cell r="P204" t="str">
            <v>06/08/2025 14:00:00 - 07/08/2025 12:00:00</v>
          </cell>
          <cell r="Q204">
            <v>1701000</v>
          </cell>
          <cell r="R204" t="str">
            <v>SUCCESS</v>
          </cell>
        </row>
        <row r="205">
          <cell r="A205">
            <v>1275214025</v>
          </cell>
          <cell r="B205" t="str">
            <v>7190010F</v>
          </cell>
          <cell r="C205" t="str">
            <v>HUSLAN HUSAIN</v>
          </cell>
          <cell r="D205">
            <v>71907601</v>
          </cell>
          <cell r="E205">
            <v>4120176994</v>
          </cell>
          <cell r="F205" t="str">
            <v>54</v>
          </cell>
          <cell r="G205" t="str">
            <v>Perjalanan Dinas Non-Diklat</v>
          </cell>
          <cell r="H205" t="str">
            <v>KotaMakassar-JakartaSelatan-KotaBandung</v>
          </cell>
          <cell r="I205" t="str">
            <v>03/08/2025 - 08/08/2025</v>
          </cell>
          <cell r="J205" t="str">
            <v>6</v>
          </cell>
          <cell r="K205" t="str">
            <v>Hotel</v>
          </cell>
          <cell r="L205" t="str">
            <v>07-08-2025 17:40:37</v>
          </cell>
          <cell r="M205" t="str">
            <v xml:space="preserve">Mercure Jakarta Sabang - 4.0 Stars  - </v>
          </cell>
          <cell r="N205" t="str">
            <v>SM REN</v>
          </cell>
          <cell r="O205" t="str">
            <v>0007412110</v>
          </cell>
          <cell r="P205" t="str">
            <v>07/08/2025 14:00:00 - 08/08/2025 12:00:00</v>
          </cell>
          <cell r="Q205">
            <v>1427999</v>
          </cell>
          <cell r="R205" t="str">
            <v>SUCCESS</v>
          </cell>
        </row>
        <row r="206">
          <cell r="A206">
            <v>1273683047</v>
          </cell>
          <cell r="B206" t="str">
            <v>8908044F</v>
          </cell>
          <cell r="C206" t="str">
            <v>IKHWANUL AKBAR AS'AD</v>
          </cell>
          <cell r="D206">
            <v>89087621</v>
          </cell>
          <cell r="E206">
            <v>4120176996</v>
          </cell>
          <cell r="F206" t="str">
            <v>54</v>
          </cell>
          <cell r="G206" t="str">
            <v>Perjalanan Dinas Non-Diklat</v>
          </cell>
          <cell r="H206" t="str">
            <v>Kota Baubau - Kota Makassar</v>
          </cell>
          <cell r="I206" t="str">
            <v>03/08/2025 - 05/08/2025</v>
          </cell>
          <cell r="J206" t="str">
            <v>3</v>
          </cell>
          <cell r="K206" t="str">
            <v>Flight One Way</v>
          </cell>
          <cell r="L206" t="str">
            <v>01-08-2025 18:58:48</v>
          </cell>
          <cell r="M206" t="str">
            <v>Super Air Jet  BUW Betoambari IU-573 - Super Air Jet  UPG Hasanuddin IU-573</v>
          </cell>
          <cell r="N206" t="str">
            <v>TL ADM DAN MUM</v>
          </cell>
          <cell r="O206" t="str">
            <v>7412280</v>
          </cell>
          <cell r="P206" t="str">
            <v>03/08/2025 15:35:00 - 03/08/2025 16:20:00</v>
          </cell>
          <cell r="Q206">
            <v>744200</v>
          </cell>
          <cell r="R206" t="str">
            <v>SUCCESS</v>
          </cell>
        </row>
        <row r="207">
          <cell r="A207">
            <v>1273710954</v>
          </cell>
          <cell r="B207" t="str">
            <v>8908044F</v>
          </cell>
          <cell r="C207" t="str">
            <v>IKHWANUL AKBAR AS'AD</v>
          </cell>
          <cell r="D207">
            <v>89087621</v>
          </cell>
          <cell r="E207">
            <v>4120176996</v>
          </cell>
          <cell r="F207" t="str">
            <v>54</v>
          </cell>
          <cell r="G207" t="str">
            <v>Perjalanan Dinas Non-Diklat</v>
          </cell>
          <cell r="H207" t="str">
            <v>Kota Baubau - Kota Makassar</v>
          </cell>
          <cell r="I207" t="str">
            <v>03/08/2025 - 05/08/2025</v>
          </cell>
          <cell r="J207" t="str">
            <v>3</v>
          </cell>
          <cell r="K207" t="str">
            <v>Hotel</v>
          </cell>
          <cell r="L207" t="str">
            <v>01-08-2025 20:37:32</v>
          </cell>
          <cell r="M207" t="str">
            <v xml:space="preserve">Swiss-Belinn Panakkukang - 4.0 Stars  - </v>
          </cell>
          <cell r="N207" t="str">
            <v>TL ADM DAN MUM</v>
          </cell>
          <cell r="O207" t="str">
            <v>7412280</v>
          </cell>
          <cell r="P207" t="str">
            <v>03/08/2025 14:00:00 - 05/08/2025 12:00:00</v>
          </cell>
          <cell r="Q207">
            <v>1400000</v>
          </cell>
          <cell r="R207" t="str">
            <v>SUCCESS</v>
          </cell>
        </row>
        <row r="208">
          <cell r="A208">
            <v>1274625113</v>
          </cell>
          <cell r="B208" t="str">
            <v>8908044F</v>
          </cell>
          <cell r="C208" t="str">
            <v>IKHWANUL AKBAR AS'AD</v>
          </cell>
          <cell r="D208">
            <v>89087621</v>
          </cell>
          <cell r="E208">
            <v>4120176996</v>
          </cell>
          <cell r="F208" t="str">
            <v>54</v>
          </cell>
          <cell r="G208" t="str">
            <v>Perjalanan Dinas Non-Diklat</v>
          </cell>
          <cell r="H208" t="str">
            <v>Kota Baubau - Kota Makassar</v>
          </cell>
          <cell r="I208" t="str">
            <v>03/08/2025 - 06/08/2025</v>
          </cell>
          <cell r="J208" t="str">
            <v>4</v>
          </cell>
          <cell r="K208" t="str">
            <v>Flight One Way</v>
          </cell>
          <cell r="L208" t="str">
            <v>05-08-2025 14:12:07</v>
          </cell>
          <cell r="M208" t="str">
            <v>Wings Air Domestic UPG Hasanuddin IW-1306 - Wings Air  BUW Betoambari IW-1306</v>
          </cell>
          <cell r="N208" t="str">
            <v>TL ADM DAN MUM</v>
          </cell>
          <cell r="O208" t="str">
            <v>7412280</v>
          </cell>
          <cell r="P208" t="str">
            <v>06/08/2025 15:45:00 - 06/08/2025 17:00:00</v>
          </cell>
          <cell r="Q208">
            <v>1557100</v>
          </cell>
          <cell r="R208" t="str">
            <v>SUCCESS</v>
          </cell>
        </row>
        <row r="209">
          <cell r="A209">
            <v>1274354660</v>
          </cell>
          <cell r="B209" t="str">
            <v>7095015F</v>
          </cell>
          <cell r="C209" t="str">
            <v xml:space="preserve">EDYANSYAH </v>
          </cell>
          <cell r="D209">
            <v>70957602</v>
          </cell>
          <cell r="E209">
            <v>4120176991</v>
          </cell>
          <cell r="F209" t="str">
            <v>54</v>
          </cell>
          <cell r="G209" t="str">
            <v>Perjalanan Dinas Non-Diklat</v>
          </cell>
          <cell r="H209" t="str">
            <v>Kota Makassar - Jakarta Pusat</v>
          </cell>
          <cell r="I209" t="str">
            <v>04/08/2025 - 05/08/2025</v>
          </cell>
          <cell r="J209" t="str">
            <v>2</v>
          </cell>
          <cell r="K209" t="str">
            <v>Flight One Way</v>
          </cell>
          <cell r="L209" t="str">
            <v>04-08-2025 13:24:14</v>
          </cell>
          <cell r="M209" t="str">
            <v>Citilink 1B CGK Soekarno Hatta International Airport QG-212 - Citilink Domestic UPG Hasanuddin QG-212</v>
          </cell>
          <cell r="N209" t="str">
            <v>GM</v>
          </cell>
          <cell r="O209" t="str">
            <v>7412000</v>
          </cell>
          <cell r="P209" t="str">
            <v>05/08/2025 05:00:00 - 05/08/2025 08:25:00</v>
          </cell>
          <cell r="Q209">
            <v>1166800</v>
          </cell>
          <cell r="R209" t="str">
            <v>SUCCESS</v>
          </cell>
        </row>
        <row r="210">
          <cell r="A210">
            <v>1273955899</v>
          </cell>
          <cell r="B210" t="str">
            <v>9616024FY</v>
          </cell>
          <cell r="C210" t="str">
            <v>RISWAN AHMAD NURSALAM</v>
          </cell>
          <cell r="D210">
            <v>96167878</v>
          </cell>
          <cell r="E210">
            <v>4120176988</v>
          </cell>
          <cell r="F210" t="str">
            <v>54</v>
          </cell>
          <cell r="G210" t="str">
            <v>Perjalanan Dinas Non-Diklat</v>
          </cell>
          <cell r="H210" t="str">
            <v>Kab. Mamuju - Kab. Pasangkayu</v>
          </cell>
          <cell r="I210" t="str">
            <v>02/08/2025 - 04/08/2025</v>
          </cell>
          <cell r="J210" t="str">
            <v>3</v>
          </cell>
          <cell r="K210" t="str">
            <v>Hotel</v>
          </cell>
          <cell r="L210" t="str">
            <v>02-08-2025 18:32:23</v>
          </cell>
          <cell r="M210" t="str">
            <v xml:space="preserve">Devonder Hotel - 2.0 Stars  - </v>
          </cell>
          <cell r="N210" t="str">
            <v>JTC HAR MTR TRANSAKSI</v>
          </cell>
          <cell r="O210" t="str">
            <v>7411292</v>
          </cell>
          <cell r="P210" t="str">
            <v>02/08/2025 14:00:00 - 03/08/2025 12:00:00</v>
          </cell>
          <cell r="Q210">
            <v>365000</v>
          </cell>
          <cell r="R210" t="str">
            <v>SUCCESS</v>
          </cell>
        </row>
        <row r="211">
          <cell r="A211">
            <v>1273577655</v>
          </cell>
          <cell r="B211" t="str">
            <v>9513010FY</v>
          </cell>
          <cell r="C211" t="str">
            <v>MUHAMMAD ZULFIKAR</v>
          </cell>
          <cell r="D211">
            <v>95137640</v>
          </cell>
          <cell r="E211">
            <v>4120176921</v>
          </cell>
          <cell r="F211" t="str">
            <v>54</v>
          </cell>
          <cell r="G211" t="str">
            <v>Perjalanan Dinas Non-Diklat</v>
          </cell>
          <cell r="H211" t="str">
            <v>Kota Parepare - Kota Semarang</v>
          </cell>
          <cell r="I211" t="str">
            <v>03/08/2025 - 06/08/2025</v>
          </cell>
          <cell r="J211" t="str">
            <v>4</v>
          </cell>
          <cell r="K211" t="str">
            <v>Flight One Way</v>
          </cell>
          <cell r="L211" t="str">
            <v>01-08-2025 12:40:49</v>
          </cell>
          <cell r="M211" t="str">
            <v>Lion Air Domestic UPG Hasanuddin JT-909 - Lion Air Domestic SRG Achmad Yani JT-909</v>
          </cell>
          <cell r="N211" t="str">
            <v>TC PDKB</v>
          </cell>
          <cell r="O211" t="str">
            <v>7409221</v>
          </cell>
          <cell r="P211" t="str">
            <v>03/08/2025 14:05:00 - 03/08/2025 14:50:00</v>
          </cell>
          <cell r="Q211">
            <v>1519300</v>
          </cell>
          <cell r="R211" t="str">
            <v>SUCCESS</v>
          </cell>
        </row>
        <row r="212">
          <cell r="A212">
            <v>1274423874</v>
          </cell>
          <cell r="B212" t="str">
            <v>9513010FY</v>
          </cell>
          <cell r="C212" t="str">
            <v>MUHAMMAD ZULFIKAR</v>
          </cell>
          <cell r="D212">
            <v>95137640</v>
          </cell>
          <cell r="E212">
            <v>4120176921</v>
          </cell>
          <cell r="F212" t="str">
            <v>54</v>
          </cell>
          <cell r="G212" t="str">
            <v>Perjalanan Dinas Non-Diklat</v>
          </cell>
          <cell r="H212" t="str">
            <v>Kota Parepare - Kota Semarang</v>
          </cell>
          <cell r="I212" t="str">
            <v>03/08/2025 - 06/08/2025</v>
          </cell>
          <cell r="J212" t="str">
            <v>4</v>
          </cell>
          <cell r="K212" t="str">
            <v>Flight One Way</v>
          </cell>
          <cell r="L212" t="str">
            <v>04-08-2025 17:55:35</v>
          </cell>
          <cell r="M212" t="str">
            <v>Lion Air Domestic SRG Achmad Yani JT-908 - Lion Air Domestic UPG Hasanuddin JT-908</v>
          </cell>
          <cell r="N212" t="str">
            <v>TC PDKB</v>
          </cell>
          <cell r="O212" t="str">
            <v>7409221</v>
          </cell>
          <cell r="P212" t="str">
            <v>06/08/2025 16:25:00 - 06/08/2025 19:10:00</v>
          </cell>
          <cell r="Q212">
            <v>1450600</v>
          </cell>
          <cell r="R212" t="str">
            <v>SUCCESS</v>
          </cell>
        </row>
        <row r="213">
          <cell r="A213">
            <v>1273954444</v>
          </cell>
          <cell r="B213" t="str">
            <v>9513010FY</v>
          </cell>
          <cell r="C213" t="str">
            <v>MUHAMMAD ZULFIKAR</v>
          </cell>
          <cell r="D213">
            <v>95137640</v>
          </cell>
          <cell r="E213">
            <v>4120176921</v>
          </cell>
          <cell r="F213" t="str">
            <v>54</v>
          </cell>
          <cell r="G213" t="str">
            <v>Perjalanan Dinas Non-Diklat</v>
          </cell>
          <cell r="H213" t="str">
            <v>Kota Parepare - Kota Semarang</v>
          </cell>
          <cell r="I213" t="str">
            <v>03/08/2025 - 06/08/2025</v>
          </cell>
          <cell r="J213" t="str">
            <v>4</v>
          </cell>
          <cell r="K213" t="str">
            <v>Hotel</v>
          </cell>
          <cell r="L213" t="str">
            <v>02-08-2025 18:26:06</v>
          </cell>
          <cell r="M213" t="str">
            <v xml:space="preserve">Aston Inn Pandanaran - Semarang - 4.0 Stars  - </v>
          </cell>
          <cell r="N213" t="str">
            <v>TC PDKB</v>
          </cell>
          <cell r="O213" t="str">
            <v>7409221</v>
          </cell>
          <cell r="P213" t="str">
            <v>03/08/2025 14:00:00 - 06/08/2025 12:00:00</v>
          </cell>
          <cell r="Q213">
            <v>2392014</v>
          </cell>
          <cell r="R213" t="str">
            <v>SUCCESS</v>
          </cell>
        </row>
        <row r="214">
          <cell r="A214">
            <v>1275583231</v>
          </cell>
          <cell r="B214" t="str">
            <v>9111023FY</v>
          </cell>
          <cell r="C214" t="str">
            <v xml:space="preserve">ISMAIL </v>
          </cell>
          <cell r="D214">
            <v>91117611</v>
          </cell>
          <cell r="E214">
            <v>4120176953</v>
          </cell>
          <cell r="F214" t="str">
            <v>54</v>
          </cell>
          <cell r="G214" t="str">
            <v>Perjalanan Dinas Diklat</v>
          </cell>
          <cell r="H214" t="str">
            <v>Kota Palopo - Jakarta Barat</v>
          </cell>
          <cell r="I214" t="str">
            <v>04/08/2025 - 10/08/2025</v>
          </cell>
          <cell r="J214" t="str">
            <v>7</v>
          </cell>
          <cell r="K214" t="str">
            <v>Flight One Way</v>
          </cell>
          <cell r="L214" t="str">
            <v>08-08-2025 21:24:49</v>
          </cell>
          <cell r="M214" t="str">
            <v>Lion Air 1A CGK Soekarno Hatta International Airport JT-898 - Lion Air  LLO Lagaligo Airport JT-898</v>
          </cell>
          <cell r="N214" t="str">
            <v>TC TE LIST</v>
          </cell>
          <cell r="O214" t="str">
            <v>7411262</v>
          </cell>
          <cell r="P214" t="str">
            <v>10/08/2025 01:30:00 - 10/08/2025 09:05:00</v>
          </cell>
          <cell r="Q214">
            <v>2303400</v>
          </cell>
          <cell r="R214" t="str">
            <v>SUCCESS</v>
          </cell>
        </row>
        <row r="215">
          <cell r="A215">
            <v>1273548610</v>
          </cell>
          <cell r="B215" t="str">
            <v>9111023FY</v>
          </cell>
          <cell r="C215" t="str">
            <v xml:space="preserve">ISMAIL </v>
          </cell>
          <cell r="D215">
            <v>91117611</v>
          </cell>
          <cell r="E215">
            <v>4120176953</v>
          </cell>
          <cell r="F215" t="str">
            <v>54</v>
          </cell>
          <cell r="G215" t="str">
            <v>Perjalanan Dinas Diklat</v>
          </cell>
          <cell r="H215" t="str">
            <v>Kota Palopo - Jakarta Barat</v>
          </cell>
          <cell r="I215" t="str">
            <v>04/08/2025 - 10/08/2025</v>
          </cell>
          <cell r="J215" t="str">
            <v>7</v>
          </cell>
          <cell r="K215" t="str">
            <v>Flight One Way</v>
          </cell>
          <cell r="L215" t="str">
            <v>01-08-2025 10:57:58</v>
          </cell>
          <cell r="M215" t="str">
            <v>Wings Air  LLO Lagaligo Airport IW-1351 - Wings Air 2D CGK Soekarno Hatta International Airport IW-1351</v>
          </cell>
          <cell r="N215" t="str">
            <v>TC TE LIST</v>
          </cell>
          <cell r="O215" t="str">
            <v>7411262</v>
          </cell>
          <cell r="P215" t="str">
            <v>04/08/2025 09:40:00 - 04/08/2025 13:20:00</v>
          </cell>
          <cell r="Q215">
            <v>2478200</v>
          </cell>
          <cell r="R215" t="str">
            <v>SUCCESS</v>
          </cell>
        </row>
        <row r="216">
          <cell r="A216">
            <v>1273603302</v>
          </cell>
          <cell r="B216" t="str">
            <v>7293060F</v>
          </cell>
          <cell r="C216" t="str">
            <v xml:space="preserve">LALLA </v>
          </cell>
          <cell r="D216">
            <v>72937616</v>
          </cell>
          <cell r="E216">
            <v>4120176954</v>
          </cell>
          <cell r="F216" t="str">
            <v>54</v>
          </cell>
          <cell r="G216" t="str">
            <v>Perjalanan Dinas Non-Diklat</v>
          </cell>
          <cell r="H216" t="str">
            <v>Kota Makassar - Kota Tangerang</v>
          </cell>
          <cell r="I216" t="str">
            <v>31/07/2025 - 02/08/2025</v>
          </cell>
          <cell r="J216" t="str">
            <v>3</v>
          </cell>
          <cell r="K216" t="str">
            <v>Flight One Way</v>
          </cell>
          <cell r="L216" t="str">
            <v>01-08-2025 14:08:22</v>
          </cell>
          <cell r="M216" t="str">
            <v>Garuda Indonesia  CGK Soekarno Hatta International Airport GA-618 - Garuda Indonesia Domestic UPG Hasanuddin GA-618</v>
          </cell>
          <cell r="N216" t="str">
            <v>MUP UP2D (MAKASSAR)</v>
          </cell>
          <cell r="O216" t="str">
            <v>7412340</v>
          </cell>
          <cell r="P216" t="str">
            <v>02/08/2025 20:15:00 - 02/08/2025 23:50:00</v>
          </cell>
          <cell r="Q216">
            <v>1594500</v>
          </cell>
          <cell r="R216" t="str">
            <v>SUCCESS</v>
          </cell>
        </row>
        <row r="217">
          <cell r="A217">
            <v>1273569862</v>
          </cell>
          <cell r="B217" t="str">
            <v>9008037F</v>
          </cell>
          <cell r="C217" t="str">
            <v>HADI YUSRAN ZAENAL ABIDIN</v>
          </cell>
          <cell r="D217">
            <v>90087600</v>
          </cell>
          <cell r="E217">
            <v>4120176957</v>
          </cell>
          <cell r="F217" t="str">
            <v>54</v>
          </cell>
          <cell r="G217" t="str">
            <v>Perjalanan Dinas Non-Diklat</v>
          </cell>
          <cell r="H217" t="str">
            <v>Kota Kendari - Kota Makassar</v>
          </cell>
          <cell r="I217" t="str">
            <v>03/08/2025 - 05/08/2025</v>
          </cell>
          <cell r="J217" t="str">
            <v>3</v>
          </cell>
          <cell r="K217" t="str">
            <v>Hotel</v>
          </cell>
          <cell r="L217" t="str">
            <v>01-08-2025 12:12:09</v>
          </cell>
          <cell r="M217" t="str">
            <v xml:space="preserve">CLARO Makassar - 4.0 Stars  - </v>
          </cell>
          <cell r="N217" t="str">
            <v>ASMAN KEU DAN MUM</v>
          </cell>
          <cell r="O217" t="str">
            <v>7412240</v>
          </cell>
          <cell r="P217" t="str">
            <v>03/08/2025 14:00:00 - 05/08/2025 12:00:00</v>
          </cell>
          <cell r="Q217">
            <v>1739686</v>
          </cell>
          <cell r="R217" t="str">
            <v>SUCCESS</v>
          </cell>
        </row>
        <row r="218">
          <cell r="A218">
            <v>1274613070</v>
          </cell>
          <cell r="B218" t="str">
            <v>9008037F</v>
          </cell>
          <cell r="C218" t="str">
            <v>HADI YUSRAN ZAENAL ABIDIN</v>
          </cell>
          <cell r="D218">
            <v>90087600</v>
          </cell>
          <cell r="E218">
            <v>4120176957</v>
          </cell>
          <cell r="F218" t="str">
            <v>54</v>
          </cell>
          <cell r="G218" t="str">
            <v>Perjalanan Dinas Non-Diklat</v>
          </cell>
          <cell r="H218" t="str">
            <v>Kota Kendari - Kota Makassar</v>
          </cell>
          <cell r="I218" t="str">
            <v>03/08/2025 - 06/08/2025</v>
          </cell>
          <cell r="J218" t="str">
            <v>4</v>
          </cell>
          <cell r="K218" t="str">
            <v>Hotel</v>
          </cell>
          <cell r="L218" t="str">
            <v>05-08-2025 13:27:08</v>
          </cell>
          <cell r="M218" t="str">
            <v xml:space="preserve">CLARO Makassar - 4.0 Stars  - </v>
          </cell>
          <cell r="N218" t="str">
            <v>ASMAN KEU DAN MUM</v>
          </cell>
          <cell r="O218" t="str">
            <v>7412240</v>
          </cell>
          <cell r="P218" t="str">
            <v>05/08/2025 14:00:00 - 06/08/2025 12:00:00</v>
          </cell>
          <cell r="Q218">
            <v>869842</v>
          </cell>
          <cell r="R218" t="str">
            <v>SUCCESS</v>
          </cell>
        </row>
        <row r="219">
          <cell r="A219">
            <v>1274620627</v>
          </cell>
          <cell r="B219" t="str">
            <v>9008037F</v>
          </cell>
          <cell r="C219" t="str">
            <v>HADI YUSRAN ZAENAL ABIDIN</v>
          </cell>
          <cell r="D219">
            <v>90087600</v>
          </cell>
          <cell r="E219">
            <v>4120176957</v>
          </cell>
          <cell r="F219" t="str">
            <v>54</v>
          </cell>
          <cell r="G219" t="str">
            <v>Perjalanan Dinas Non-Diklat</v>
          </cell>
          <cell r="H219" t="str">
            <v>Kota Kendari - Kota Makassar</v>
          </cell>
          <cell r="I219" t="str">
            <v>03/08/2025 - 06/08/2025</v>
          </cell>
          <cell r="J219" t="str">
            <v>4</v>
          </cell>
          <cell r="K219" t="str">
            <v>Flight One Way</v>
          </cell>
          <cell r="L219" t="str">
            <v>05-08-2025 13:55:50</v>
          </cell>
          <cell r="M219" t="str">
            <v>Lion Air Domestic UPG Hasanuddin JT-994 - Lion Air  KDI Haluoleo JT-994</v>
          </cell>
          <cell r="N219" t="str">
            <v>ASMAN KEU DAN MUM</v>
          </cell>
          <cell r="O219" t="str">
            <v>7412240</v>
          </cell>
          <cell r="P219" t="str">
            <v>06/08/2025 13:50:00 - 06/08/2025 14:55:00</v>
          </cell>
          <cell r="Q219">
            <v>893000</v>
          </cell>
          <cell r="R219" t="str">
            <v>SUCCESS</v>
          </cell>
        </row>
        <row r="220">
          <cell r="A220">
            <v>1273548554</v>
          </cell>
          <cell r="B220" t="str">
            <v>9419381ZY</v>
          </cell>
          <cell r="C220" t="str">
            <v>DIAN VERONICA</v>
          </cell>
          <cell r="D220">
            <v>94196205</v>
          </cell>
          <cell r="E220">
            <v>4120176956</v>
          </cell>
          <cell r="F220" t="str">
            <v>54</v>
          </cell>
          <cell r="G220" t="str">
            <v>Perjalanan Dinas Non-Diklat</v>
          </cell>
          <cell r="H220" t="str">
            <v>Kota Kendari - Kota Makassar</v>
          </cell>
          <cell r="I220" t="str">
            <v>03/08/2025 - 05/08/2025</v>
          </cell>
          <cell r="J220" t="str">
            <v>3</v>
          </cell>
          <cell r="K220" t="str">
            <v>Flight One Way</v>
          </cell>
          <cell r="L220" t="str">
            <v>01-08-2025 10:57:24</v>
          </cell>
          <cell r="M220" t="str">
            <v>Batik Air  KDI Haluoleo ID-6750 - Batik Air Domestic UPG Hasanuddin ID-6750</v>
          </cell>
          <cell r="N220" t="str">
            <v>TL ADM DAN MUM</v>
          </cell>
          <cell r="O220" t="str">
            <v>7412240</v>
          </cell>
          <cell r="P220" t="str">
            <v>03/08/2025 10:15:00 - 03/08/2025 11:10:00</v>
          </cell>
          <cell r="Q220">
            <v>857400</v>
          </cell>
          <cell r="R220" t="str">
            <v>SUCCESS</v>
          </cell>
        </row>
        <row r="221">
          <cell r="A221">
            <v>1274613410</v>
          </cell>
          <cell r="B221" t="str">
            <v>9419381ZY</v>
          </cell>
          <cell r="C221" t="str">
            <v>DIAN VERONICA</v>
          </cell>
          <cell r="D221">
            <v>94196205</v>
          </cell>
          <cell r="E221">
            <v>4120176956</v>
          </cell>
          <cell r="F221" t="str">
            <v>54</v>
          </cell>
          <cell r="G221" t="str">
            <v>Perjalanan Dinas Non-Diklat</v>
          </cell>
          <cell r="H221" t="str">
            <v>Kota Kendari - Kota Makassar</v>
          </cell>
          <cell r="I221" t="str">
            <v>03/08/2025 - 06/08/2025</v>
          </cell>
          <cell r="J221" t="str">
            <v>4</v>
          </cell>
          <cell r="K221" t="str">
            <v>Flight One Way</v>
          </cell>
          <cell r="L221" t="str">
            <v>05-08-2025 13:28:40</v>
          </cell>
          <cell r="M221" t="str">
            <v>Batik Air Domestic UPG Hasanuddin ID-6751 - Batik Air  KDI Haluoleo ID-6751</v>
          </cell>
          <cell r="N221" t="str">
            <v>TL ADM DAN MUM</v>
          </cell>
          <cell r="O221" t="str">
            <v>7412240</v>
          </cell>
          <cell r="P221" t="str">
            <v>06/08/2025 08:30:00 - 06/08/2025 09:35:00</v>
          </cell>
          <cell r="Q221">
            <v>946300</v>
          </cell>
          <cell r="R221" t="str">
            <v>SUCCESS</v>
          </cell>
        </row>
        <row r="222">
          <cell r="A222">
            <v>1273599476</v>
          </cell>
          <cell r="B222" t="str">
            <v>9419381ZY</v>
          </cell>
          <cell r="C222" t="str">
            <v>DIAN VERONICA</v>
          </cell>
          <cell r="D222">
            <v>94196205</v>
          </cell>
          <cell r="E222">
            <v>4120176956</v>
          </cell>
          <cell r="F222" t="str">
            <v>54</v>
          </cell>
          <cell r="G222" t="str">
            <v>Perjalanan Dinas Non-Diklat</v>
          </cell>
          <cell r="H222" t="str">
            <v>Kota Kendari - Kota Makassar</v>
          </cell>
          <cell r="I222" t="str">
            <v>03/08/2025 - 05/08/2025</v>
          </cell>
          <cell r="J222" t="str">
            <v>3</v>
          </cell>
          <cell r="K222" t="str">
            <v>Hotel</v>
          </cell>
          <cell r="L222" t="str">
            <v>01-08-2025 13:55:13</v>
          </cell>
          <cell r="M222" t="str">
            <v xml:space="preserve">Mercure Makassar Nexa Pettarani - 4.0 Stars  - </v>
          </cell>
          <cell r="N222" t="str">
            <v>TL ADM DAN MUM</v>
          </cell>
          <cell r="O222" t="str">
            <v>7412240</v>
          </cell>
          <cell r="P222" t="str">
            <v>03/08/2025 14:00:00 - 05/08/2025 12:00:00</v>
          </cell>
          <cell r="Q222">
            <v>1447160</v>
          </cell>
          <cell r="R222" t="str">
            <v>SUCCESS</v>
          </cell>
        </row>
        <row r="223">
          <cell r="A223">
            <v>1273878212</v>
          </cell>
          <cell r="B223" t="str">
            <v>92191254ZY</v>
          </cell>
          <cell r="C223" t="str">
            <v>MUCHAMAD PAMUNGKAS</v>
          </cell>
          <cell r="D223">
            <v>92197600</v>
          </cell>
          <cell r="E223">
            <v>4120176944</v>
          </cell>
          <cell r="F223" t="str">
            <v>54</v>
          </cell>
          <cell r="G223" t="str">
            <v>Perjalanan Dinas Non-Diklat</v>
          </cell>
          <cell r="H223" t="str">
            <v>Kota Makassar - Kota Baubau</v>
          </cell>
          <cell r="I223" t="str">
            <v>04/08/2025 - 11/08/2025</v>
          </cell>
          <cell r="J223" t="str">
            <v>8</v>
          </cell>
          <cell r="K223" t="str">
            <v>Flight One Way</v>
          </cell>
          <cell r="L223" t="str">
            <v>02-08-2025 13:17:59</v>
          </cell>
          <cell r="M223" t="str">
            <v>Super Air Jet  UPG Hasanuddin IU-572 - Super Air Jet  BUW Betoambari IU-572</v>
          </cell>
          <cell r="N223" t="str">
            <v>TL PROTEK DAN MTR</v>
          </cell>
          <cell r="O223" t="str">
            <v>7409342</v>
          </cell>
          <cell r="P223" t="str">
            <v>04/08/2025 14:10:00 - 04/08/2025 14:55:00</v>
          </cell>
          <cell r="Q223">
            <v>844100</v>
          </cell>
          <cell r="R223" t="str">
            <v>SUCCESS</v>
          </cell>
        </row>
        <row r="224">
          <cell r="A224">
            <v>1275343399</v>
          </cell>
          <cell r="B224" t="str">
            <v>92191254ZY</v>
          </cell>
          <cell r="C224" t="str">
            <v>MUCHAMAD PAMUNGKAS</v>
          </cell>
          <cell r="D224">
            <v>92197600</v>
          </cell>
          <cell r="E224">
            <v>4120176944</v>
          </cell>
          <cell r="F224" t="str">
            <v>54</v>
          </cell>
          <cell r="G224" t="str">
            <v>Perjalanan Dinas Non-Diklat</v>
          </cell>
          <cell r="H224" t="str">
            <v>Kota Makassar - Kota Baubau</v>
          </cell>
          <cell r="I224" t="str">
            <v>04/08/2025 - 11/08/2025</v>
          </cell>
          <cell r="J224" t="str">
            <v>8</v>
          </cell>
          <cell r="K224" t="str">
            <v>Flight One Way</v>
          </cell>
          <cell r="L224" t="str">
            <v>08-08-2025 07:17:28</v>
          </cell>
          <cell r="M224" t="str">
            <v>Super Air Jet  BUW Betoambari IU-573 - Super Air Jet  UPG Hasanuddin IU-573</v>
          </cell>
          <cell r="N224" t="str">
            <v>TL PROTEK DAN MTR</v>
          </cell>
          <cell r="O224" t="str">
            <v>7409342</v>
          </cell>
          <cell r="P224" t="str">
            <v>09/08/2025 15:35:00 - 09/08/2025 16:20:00</v>
          </cell>
          <cell r="Q224">
            <v>744200</v>
          </cell>
          <cell r="R224" t="str">
            <v>SUCCESS</v>
          </cell>
        </row>
        <row r="225">
          <cell r="A225">
            <v>1274935128</v>
          </cell>
          <cell r="B225" t="str">
            <v>92191254ZY</v>
          </cell>
          <cell r="C225" t="str">
            <v>MUCHAMAD PAMUNGKAS</v>
          </cell>
          <cell r="D225">
            <v>92197600</v>
          </cell>
          <cell r="E225">
            <v>4120176944</v>
          </cell>
          <cell r="F225" t="str">
            <v>54</v>
          </cell>
          <cell r="G225" t="str">
            <v>Perjalanan Dinas Non-Diklat</v>
          </cell>
          <cell r="H225" t="str">
            <v>Kota Makassar - Kota Baubau</v>
          </cell>
          <cell r="I225" t="str">
            <v>04/08/2025 - 11/08/2025</v>
          </cell>
          <cell r="J225" t="str">
            <v>8</v>
          </cell>
          <cell r="K225" t="str">
            <v>Hotel</v>
          </cell>
          <cell r="L225" t="str">
            <v>06-08-2025 16:59:33</v>
          </cell>
          <cell r="M225" t="str">
            <v xml:space="preserve">Zenith Premiere Hotel Baubau - 3.0 Stars  - </v>
          </cell>
          <cell r="N225" t="str">
            <v>TL PROTEK DAN MTR</v>
          </cell>
          <cell r="O225" t="str">
            <v>7409342</v>
          </cell>
          <cell r="P225" t="str">
            <v>07/08/2025 14:00:00 - 09/08/2025 12:00:00</v>
          </cell>
          <cell r="Q225">
            <v>1386300</v>
          </cell>
          <cell r="R225" t="str">
            <v>SUCCESS</v>
          </cell>
        </row>
        <row r="226">
          <cell r="A226">
            <v>1274623047</v>
          </cell>
          <cell r="B226" t="str">
            <v>92191254ZY</v>
          </cell>
          <cell r="C226" t="str">
            <v>MUCHAMAD PAMUNGKAS</v>
          </cell>
          <cell r="D226">
            <v>92197600</v>
          </cell>
          <cell r="E226">
            <v>4120176944</v>
          </cell>
          <cell r="F226" t="str">
            <v>54</v>
          </cell>
          <cell r="G226" t="str">
            <v>Perjalanan Dinas Non-Diklat</v>
          </cell>
          <cell r="H226" t="str">
            <v>Kota Makassar - Kota Baubau</v>
          </cell>
          <cell r="I226" t="str">
            <v>04/08/2025 - 11/08/2025</v>
          </cell>
          <cell r="J226" t="str">
            <v>8</v>
          </cell>
          <cell r="K226" t="str">
            <v>Hotel</v>
          </cell>
          <cell r="L226" t="str">
            <v>05-08-2025 14:04:37</v>
          </cell>
          <cell r="M226" t="str">
            <v xml:space="preserve">Zenith Premiere Hotel Baubau - 3.0 Stars  - </v>
          </cell>
          <cell r="N226" t="str">
            <v>TL PROTEK DAN MTR</v>
          </cell>
          <cell r="O226" t="str">
            <v>7409342</v>
          </cell>
          <cell r="P226" t="str">
            <v>06/08/2025 14:00:00 - 07/08/2025 12:00:00</v>
          </cell>
          <cell r="Q226">
            <v>820150</v>
          </cell>
          <cell r="R226" t="str">
            <v>SUCCESS</v>
          </cell>
        </row>
        <row r="227">
          <cell r="A227">
            <v>1274226045</v>
          </cell>
          <cell r="B227" t="str">
            <v>92191254ZY</v>
          </cell>
          <cell r="C227" t="str">
            <v>MUCHAMAD PAMUNGKAS</v>
          </cell>
          <cell r="D227">
            <v>92197600</v>
          </cell>
          <cell r="E227">
            <v>4120176944</v>
          </cell>
          <cell r="F227" t="str">
            <v>54</v>
          </cell>
          <cell r="G227" t="str">
            <v>Perjalanan Dinas Non-Diklat</v>
          </cell>
          <cell r="H227" t="str">
            <v>Kota Makassar - Kota Baubau</v>
          </cell>
          <cell r="I227" t="str">
            <v>04/08/2025 - 11/08/2025</v>
          </cell>
          <cell r="J227" t="str">
            <v>8</v>
          </cell>
          <cell r="K227" t="str">
            <v>Hotel</v>
          </cell>
          <cell r="L227" t="str">
            <v>03-08-2025 21:26:49</v>
          </cell>
          <cell r="M227" t="str">
            <v xml:space="preserve">Zenith Premiere Hotel Baubau - 3.0 Stars  - </v>
          </cell>
          <cell r="N227" t="str">
            <v>TL PROTEK DAN MTR</v>
          </cell>
          <cell r="O227" t="str">
            <v>7409342</v>
          </cell>
          <cell r="P227" t="str">
            <v>04/08/2025 14:00:00 - 06/08/2025 12:00:00</v>
          </cell>
          <cell r="Q227">
            <v>1640300</v>
          </cell>
          <cell r="R227" t="str">
            <v>SUCCESS</v>
          </cell>
        </row>
        <row r="228">
          <cell r="A228">
            <v>1274654211</v>
          </cell>
          <cell r="B228" t="str">
            <v>9213081FY</v>
          </cell>
          <cell r="C228" t="str">
            <v>KRESKY YULIANTO</v>
          </cell>
          <cell r="D228">
            <v>96137676</v>
          </cell>
          <cell r="E228">
            <v>4120176943</v>
          </cell>
          <cell r="F228" t="str">
            <v>54</v>
          </cell>
          <cell r="G228" t="str">
            <v>Perjalanan Dinas Non-Diklat</v>
          </cell>
          <cell r="H228" t="str">
            <v>Kota Makassar - Kab. Tana Toraja</v>
          </cell>
          <cell r="I228" t="str">
            <v>03/08/2025 - 07/08/2025</v>
          </cell>
          <cell r="J228" t="str">
            <v>5</v>
          </cell>
          <cell r="K228" t="str">
            <v>Hotel</v>
          </cell>
          <cell r="L228" t="str">
            <v>05-08-2025 16:03:59</v>
          </cell>
          <cell r="M228" t="str">
            <v xml:space="preserve">HOTEL LALLANGAN - 3.0 Stars  - </v>
          </cell>
          <cell r="N228" t="str">
            <v>TC HAR ELEKTRO</v>
          </cell>
          <cell r="O228" t="str">
            <v>7412340</v>
          </cell>
          <cell r="P228" t="str">
            <v>05/08/2025 14:00:00 - 06/08/2025 12:00:00</v>
          </cell>
          <cell r="Q228">
            <v>513257</v>
          </cell>
          <cell r="R228" t="str">
            <v>SUCCESS</v>
          </cell>
        </row>
        <row r="229">
          <cell r="A229">
            <v>1274530744</v>
          </cell>
          <cell r="B229" t="str">
            <v>93151397ZY</v>
          </cell>
          <cell r="C229" t="str">
            <v>KIKI RESKI ANDRIANI</v>
          </cell>
          <cell r="D229">
            <v>93153811</v>
          </cell>
          <cell r="E229">
            <v>4120176946</v>
          </cell>
          <cell r="F229" t="str">
            <v>54</v>
          </cell>
          <cell r="G229" t="str">
            <v>Perjalanan Dinas Non-Diklat</v>
          </cell>
          <cell r="H229" t="str">
            <v>Kota Makassar - Kab. Kolaka - Kota Kendari</v>
          </cell>
          <cell r="I229" t="str">
            <v>05/08/2025 - 09/08/2025</v>
          </cell>
          <cell r="J229" t="str">
            <v>5</v>
          </cell>
          <cell r="K229" t="str">
            <v>Hotel</v>
          </cell>
          <cell r="L229" t="str">
            <v>05-08-2025 07:50:52</v>
          </cell>
          <cell r="M229" t="str">
            <v xml:space="preserve">CLARO Kendari - 4.0 Stars  - </v>
          </cell>
          <cell r="N229" t="str">
            <v>ASMAN ADM GAN</v>
          </cell>
          <cell r="O229" t="str">
            <v>7411140</v>
          </cell>
          <cell r="P229" t="str">
            <v>06/08/2025 14:00:00 - 08/08/2025 12:00:00</v>
          </cell>
          <cell r="Q229">
            <v>1685000</v>
          </cell>
          <cell r="R229" t="str">
            <v>SUCCESS</v>
          </cell>
        </row>
        <row r="230">
          <cell r="A230">
            <v>1274137395</v>
          </cell>
          <cell r="B230" t="str">
            <v>93151397ZY</v>
          </cell>
          <cell r="C230" t="str">
            <v>KIKI RESKI ANDRIANI</v>
          </cell>
          <cell r="D230">
            <v>93153811</v>
          </cell>
          <cell r="E230">
            <v>4120176946</v>
          </cell>
          <cell r="F230" t="str">
            <v>54</v>
          </cell>
          <cell r="G230" t="str">
            <v>Perjalanan Dinas Non-Diklat</v>
          </cell>
          <cell r="H230" t="str">
            <v>Kota Makassar - Kab. Kolaka - Kota Kendari</v>
          </cell>
          <cell r="I230" t="str">
            <v>05/08/2025 - 09/08/2025</v>
          </cell>
          <cell r="J230" t="str">
            <v>5</v>
          </cell>
          <cell r="K230" t="str">
            <v>Flight One Way</v>
          </cell>
          <cell r="L230" t="str">
            <v>03-08-2025 14:29:38</v>
          </cell>
          <cell r="M230" t="str">
            <v>Wings Air Domestic UPG Hasanuddin IW-1206 - Wings Air  KXB Sangia Nibandera IW-1206</v>
          </cell>
          <cell r="N230" t="str">
            <v>ASMAN ADM GAN</v>
          </cell>
          <cell r="O230" t="str">
            <v>7411140</v>
          </cell>
          <cell r="P230" t="str">
            <v>06/08/2025 07:00:00 - 06/08/2025 08:00:00</v>
          </cell>
          <cell r="Q230">
            <v>1415700</v>
          </cell>
          <cell r="R230" t="str">
            <v>SUCCESS</v>
          </cell>
        </row>
        <row r="231">
          <cell r="A231">
            <v>1275218510</v>
          </cell>
          <cell r="B231" t="str">
            <v>93151397ZY</v>
          </cell>
          <cell r="C231" t="str">
            <v>KIKI RESKI ANDRIANI</v>
          </cell>
          <cell r="D231">
            <v>93153811</v>
          </cell>
          <cell r="E231">
            <v>4120176946</v>
          </cell>
          <cell r="F231" t="str">
            <v>54</v>
          </cell>
          <cell r="G231" t="str">
            <v>Perjalanan Dinas Non-Diklat</v>
          </cell>
          <cell r="H231" t="str">
            <v>KotaMakassar-Kab.Kolaka-KotaKendari</v>
          </cell>
          <cell r="I231" t="str">
            <v>05/08/2025 - 09/08/2025</v>
          </cell>
          <cell r="J231" t="str">
            <v>5</v>
          </cell>
          <cell r="K231" t="str">
            <v>Flight One Way</v>
          </cell>
          <cell r="L231" t="str">
            <v>07-08-2025 17:58:20</v>
          </cell>
          <cell r="M231" t="str">
            <v>Garuda Indonesia  KDI Haluoleo GA-605 - Garuda Indonesia Domestic UPG Hasanuddin GA-605</v>
          </cell>
          <cell r="N231" t="str">
            <v>ASMAN ADM GAN</v>
          </cell>
          <cell r="O231" t="str">
            <v>0007411140</v>
          </cell>
          <cell r="P231" t="str">
            <v>09/08/2025 09:10:00 - 09/08/2025 10:10:00</v>
          </cell>
          <cell r="Q231">
            <v>967900</v>
          </cell>
          <cell r="R231" t="str">
            <v>SUCCESS</v>
          </cell>
        </row>
        <row r="232">
          <cell r="A232">
            <v>1275175194</v>
          </cell>
          <cell r="B232" t="str">
            <v>93151397ZY</v>
          </cell>
          <cell r="C232" t="str">
            <v>KIKI RESKI ANDRIANI</v>
          </cell>
          <cell r="D232">
            <v>93153811</v>
          </cell>
          <cell r="E232">
            <v>4120176946</v>
          </cell>
          <cell r="F232" t="str">
            <v>54</v>
          </cell>
          <cell r="G232" t="str">
            <v>Perjalanan Dinas Non-Diklat</v>
          </cell>
          <cell r="H232" t="str">
            <v>KotaMakassar-Kab.Kolaka-KotaKendari</v>
          </cell>
          <cell r="I232" t="str">
            <v>05/08/2025 - 09/08/2025</v>
          </cell>
          <cell r="J232" t="str">
            <v>5</v>
          </cell>
          <cell r="K232" t="str">
            <v>Hotel</v>
          </cell>
          <cell r="L232" t="str">
            <v>07-08-2025 15:05:40</v>
          </cell>
          <cell r="M232" t="str">
            <v xml:space="preserve">CLARO Kendari - 4.0 Stars  - </v>
          </cell>
          <cell r="N232" t="str">
            <v>ASMAN ADM GAN</v>
          </cell>
          <cell r="O232" t="str">
            <v>0007411140</v>
          </cell>
          <cell r="P232" t="str">
            <v>08/08/2025 14:00:00 - 09/08/2025 12:00:00</v>
          </cell>
          <cell r="Q232">
            <v>800000</v>
          </cell>
          <cell r="R232" t="str">
            <v>SUCCESS</v>
          </cell>
        </row>
        <row r="233">
          <cell r="A233">
            <v>1274319441</v>
          </cell>
          <cell r="B233" t="str">
            <v>8712617ZY</v>
          </cell>
          <cell r="C233" t="str">
            <v>M. LUKMAN HAKIM</v>
          </cell>
          <cell r="D233">
            <v>87127603</v>
          </cell>
          <cell r="E233">
            <v>4120176937</v>
          </cell>
          <cell r="F233" t="str">
            <v>54</v>
          </cell>
          <cell r="G233" t="str">
            <v>Perjalanan Dinas Non-Diklat</v>
          </cell>
          <cell r="H233" t="str">
            <v>Kota Makassar - Kab. Mamuju - Kab. Polewali Mandar - Kab. Mamasa</v>
          </cell>
          <cell r="I233" t="str">
            <v>03/08/2025 - 07/08/2025</v>
          </cell>
          <cell r="J233" t="str">
            <v>5</v>
          </cell>
          <cell r="K233" t="str">
            <v>Hotel</v>
          </cell>
          <cell r="L233" t="str">
            <v>04-08-2025 11:13:26</v>
          </cell>
          <cell r="M233" t="str">
            <v xml:space="preserve">Grand Maleo Hotel &amp; Convention - 4.0 Stars  - </v>
          </cell>
          <cell r="N233" t="str">
            <v>ASMAN DIG SERVICE DAN CUST EX</v>
          </cell>
          <cell r="O233" t="str">
            <v>7411140</v>
          </cell>
          <cell r="P233" t="str">
            <v>04/08/2025 14:00:00 - 05/08/2025 12:00:00</v>
          </cell>
          <cell r="Q233">
            <v>902500</v>
          </cell>
          <cell r="R233" t="str">
            <v>SUCCESS</v>
          </cell>
        </row>
        <row r="234">
          <cell r="A234">
            <v>1273556097</v>
          </cell>
          <cell r="B234" t="str">
            <v>92162583ZY</v>
          </cell>
          <cell r="C234" t="str">
            <v xml:space="preserve">SUNARTI </v>
          </cell>
          <cell r="D234">
            <v>92168019</v>
          </cell>
          <cell r="E234">
            <v>4120176941</v>
          </cell>
          <cell r="F234" t="str">
            <v>54</v>
          </cell>
          <cell r="G234" t="str">
            <v>Perjalanan Dinas Non-Diklat</v>
          </cell>
          <cell r="H234" t="str">
            <v>Kota Makassar - Kota Baubau</v>
          </cell>
          <cell r="I234" t="str">
            <v>03/08/2025 - 05/08/2025</v>
          </cell>
          <cell r="J234" t="str">
            <v>3</v>
          </cell>
          <cell r="K234" t="str">
            <v>Flight One Way</v>
          </cell>
          <cell r="L234" t="str">
            <v>01-08-2025 11:23:10</v>
          </cell>
          <cell r="M234" t="str">
            <v>Super Air Jet  UPG Hasanuddin IU-572 - Super Air Jet  BUW Betoambari IU-572</v>
          </cell>
          <cell r="N234" t="str">
            <v>OF PR AE</v>
          </cell>
          <cell r="O234" t="str">
            <v>7411140</v>
          </cell>
          <cell r="P234" t="str">
            <v>03/08/2025 14:10:00 - 03/08/2025 14:55:00</v>
          </cell>
          <cell r="Q234">
            <v>844100</v>
          </cell>
          <cell r="R234" t="str">
            <v>SUCCESS</v>
          </cell>
        </row>
        <row r="235">
          <cell r="A235">
            <v>1273560318</v>
          </cell>
          <cell r="B235" t="str">
            <v>92162583ZY</v>
          </cell>
          <cell r="C235" t="str">
            <v xml:space="preserve">SUNARTI </v>
          </cell>
          <cell r="D235">
            <v>92168019</v>
          </cell>
          <cell r="E235">
            <v>4120176941</v>
          </cell>
          <cell r="F235" t="str">
            <v>54</v>
          </cell>
          <cell r="G235" t="str">
            <v>Perjalanan Dinas Non-Diklat</v>
          </cell>
          <cell r="H235" t="str">
            <v>Kota Makassar - Kota Baubau</v>
          </cell>
          <cell r="I235" t="str">
            <v>03/08/2025 - 05/08/2025</v>
          </cell>
          <cell r="J235" t="str">
            <v>3</v>
          </cell>
          <cell r="K235" t="str">
            <v>Flight One Way</v>
          </cell>
          <cell r="L235" t="str">
            <v>01-08-2025 11:37:37</v>
          </cell>
          <cell r="M235" t="str">
            <v>Super Air Jet  BUW Betoambari IU-573 - Super Air Jet  UPG Hasanuddin IU-573</v>
          </cell>
          <cell r="N235" t="str">
            <v>OF PR AE</v>
          </cell>
          <cell r="O235" t="str">
            <v>7411140</v>
          </cell>
          <cell r="P235" t="str">
            <v>05/08/2025 15:35:00 - 05/08/2025 16:20:00</v>
          </cell>
          <cell r="Q235">
            <v>744200</v>
          </cell>
          <cell r="R235" t="str">
            <v>SUCCESS</v>
          </cell>
        </row>
        <row r="236">
          <cell r="A236">
            <v>1273558162</v>
          </cell>
          <cell r="B236" t="str">
            <v>92162583ZY</v>
          </cell>
          <cell r="C236" t="str">
            <v xml:space="preserve">SUNARTI </v>
          </cell>
          <cell r="D236">
            <v>92168019</v>
          </cell>
          <cell r="E236">
            <v>4120176941</v>
          </cell>
          <cell r="F236" t="str">
            <v>54</v>
          </cell>
          <cell r="G236" t="str">
            <v>Perjalanan Dinas Non-Diklat</v>
          </cell>
          <cell r="H236" t="str">
            <v>Kota Makassar - Kota Baubau</v>
          </cell>
          <cell r="I236" t="str">
            <v>03/08/2025 - 05/08/2025</v>
          </cell>
          <cell r="J236" t="str">
            <v>3</v>
          </cell>
          <cell r="K236" t="str">
            <v>Hotel</v>
          </cell>
          <cell r="L236" t="str">
            <v>01-08-2025 11:30:05</v>
          </cell>
          <cell r="M236" t="str">
            <v xml:space="preserve">Zenith Premiere Hotel Baubau - 3.0 Stars  - </v>
          </cell>
          <cell r="N236" t="str">
            <v>OF PR AE</v>
          </cell>
          <cell r="O236" t="str">
            <v>7411140</v>
          </cell>
          <cell r="P236" t="str">
            <v>03/08/2025 14:00:00 - 05/08/2025 12:00:00</v>
          </cell>
          <cell r="Q236">
            <v>1386300</v>
          </cell>
          <cell r="R236" t="str">
            <v>SUCCESS</v>
          </cell>
        </row>
        <row r="237">
          <cell r="A237">
            <v>1274622070</v>
          </cell>
          <cell r="B237" t="str">
            <v>9413103FY</v>
          </cell>
          <cell r="C237" t="str">
            <v xml:space="preserve">AMRIADI </v>
          </cell>
          <cell r="D237">
            <v>96137675</v>
          </cell>
          <cell r="E237">
            <v>4120176930</v>
          </cell>
          <cell r="F237" t="str">
            <v>54</v>
          </cell>
          <cell r="G237" t="str">
            <v>Perjalanan Dinas Non-Diklat</v>
          </cell>
          <cell r="H237" t="str">
            <v>Kota Makassar - Kota Baubau</v>
          </cell>
          <cell r="I237" t="str">
            <v>04/08/2025 - 11/08/2025</v>
          </cell>
          <cell r="J237" t="str">
            <v>8</v>
          </cell>
          <cell r="K237" t="str">
            <v>Hotel</v>
          </cell>
          <cell r="L237" t="str">
            <v>05-08-2025 14:00:59</v>
          </cell>
          <cell r="M237" t="str">
            <v xml:space="preserve">Zenith Premiere Hotel Baubau - 3.0 Stars  - </v>
          </cell>
          <cell r="N237" t="str">
            <v>TC PROTEK DAN MTR</v>
          </cell>
          <cell r="O237" t="str">
            <v>7409342</v>
          </cell>
          <cell r="P237" t="str">
            <v>06/08/2025 14:00:00 - 07/08/2025 12:00:00</v>
          </cell>
          <cell r="Q237">
            <v>820150</v>
          </cell>
          <cell r="R237" t="str">
            <v>SUCCESS</v>
          </cell>
        </row>
        <row r="238">
          <cell r="A238">
            <v>1274057917</v>
          </cell>
          <cell r="B238" t="str">
            <v>9413103FY</v>
          </cell>
          <cell r="C238" t="str">
            <v xml:space="preserve">AMRIADI </v>
          </cell>
          <cell r="D238">
            <v>96137675</v>
          </cell>
          <cell r="E238">
            <v>4120176930</v>
          </cell>
          <cell r="F238" t="str">
            <v>54</v>
          </cell>
          <cell r="G238" t="str">
            <v>Perjalanan Dinas Non-Diklat</v>
          </cell>
          <cell r="H238" t="str">
            <v>Kota Makassar - Kota Baubau</v>
          </cell>
          <cell r="I238" t="str">
            <v>04/08/2025 - 11/08/2025</v>
          </cell>
          <cell r="J238" t="str">
            <v>8</v>
          </cell>
          <cell r="K238" t="str">
            <v>Hotel</v>
          </cell>
          <cell r="L238" t="str">
            <v>03-08-2025 08:24:13</v>
          </cell>
          <cell r="M238" t="str">
            <v xml:space="preserve">Zenith Premiere Hotel Baubau - 3.0 Stars  - </v>
          </cell>
          <cell r="N238" t="str">
            <v>TC PROTEK DAN MTR</v>
          </cell>
          <cell r="O238" t="str">
            <v>7409342</v>
          </cell>
          <cell r="P238" t="str">
            <v>05/08/2025 14:00:00 - 06/08/2025 12:00:00</v>
          </cell>
          <cell r="Q238">
            <v>824610</v>
          </cell>
          <cell r="R238" t="str">
            <v>SUCCESS</v>
          </cell>
        </row>
        <row r="239">
          <cell r="A239">
            <v>1273961448</v>
          </cell>
          <cell r="B239" t="str">
            <v>9413103FY</v>
          </cell>
          <cell r="C239" t="str">
            <v xml:space="preserve">AMRIADI </v>
          </cell>
          <cell r="D239">
            <v>96137675</v>
          </cell>
          <cell r="E239">
            <v>4120176930</v>
          </cell>
          <cell r="F239" t="str">
            <v>54</v>
          </cell>
          <cell r="G239" t="str">
            <v>Perjalanan Dinas Non-Diklat</v>
          </cell>
          <cell r="H239" t="str">
            <v>Kota Makassar - Kota Baubau</v>
          </cell>
          <cell r="I239" t="str">
            <v>04/08/2025 - 11/08/2025</v>
          </cell>
          <cell r="J239" t="str">
            <v>8</v>
          </cell>
          <cell r="K239" t="str">
            <v>Hotel</v>
          </cell>
          <cell r="L239" t="str">
            <v>02-08-2025 18:55:37</v>
          </cell>
          <cell r="M239" t="str">
            <v xml:space="preserve">Zenith Premiere Hotel Baubau - 3.0 Stars  - </v>
          </cell>
          <cell r="N239" t="str">
            <v>TC PROTEK DAN MTR</v>
          </cell>
          <cell r="O239" t="str">
            <v>7409342</v>
          </cell>
          <cell r="P239" t="str">
            <v>04/08/2025 14:00:00 - 05/08/2025 12:00:00</v>
          </cell>
          <cell r="Q239">
            <v>820150</v>
          </cell>
          <cell r="R239" t="str">
            <v>SUCCESS</v>
          </cell>
        </row>
        <row r="240">
          <cell r="A240">
            <v>1273960002</v>
          </cell>
          <cell r="B240" t="str">
            <v>9413103FY</v>
          </cell>
          <cell r="C240" t="str">
            <v xml:space="preserve">AMRIADI </v>
          </cell>
          <cell r="D240">
            <v>96137675</v>
          </cell>
          <cell r="E240">
            <v>4120176930</v>
          </cell>
          <cell r="F240" t="str">
            <v>54</v>
          </cell>
          <cell r="G240" t="str">
            <v>Perjalanan Dinas Non-Diklat</v>
          </cell>
          <cell r="H240" t="str">
            <v>Kota Makassar - Kota Baubau</v>
          </cell>
          <cell r="I240" t="str">
            <v>04/08/2025 - 11/08/2025</v>
          </cell>
          <cell r="J240" t="str">
            <v>8</v>
          </cell>
          <cell r="K240" t="str">
            <v>Flight One Way</v>
          </cell>
          <cell r="L240" t="str">
            <v>02-08-2025 18:49:57</v>
          </cell>
          <cell r="M240" t="str">
            <v>Super Air Jet  UPG Hasanuddin IU-572 - Super Air Jet  BUW Betoambari IU-572</v>
          </cell>
          <cell r="N240" t="str">
            <v>TC PROTEK DAN MTR</v>
          </cell>
          <cell r="O240" t="str">
            <v>7409342</v>
          </cell>
          <cell r="P240" t="str">
            <v>04/08/2025 14:10:00 - 04/08/2025 14:55:00</v>
          </cell>
          <cell r="Q240">
            <v>844100</v>
          </cell>
          <cell r="R240" t="str">
            <v>SUCCESS</v>
          </cell>
        </row>
        <row r="241">
          <cell r="A241">
            <v>1275332121</v>
          </cell>
          <cell r="B241" t="str">
            <v>9413103FY</v>
          </cell>
          <cell r="C241" t="str">
            <v xml:space="preserve">AMRIADI </v>
          </cell>
          <cell r="D241">
            <v>96137675</v>
          </cell>
          <cell r="E241">
            <v>4120176930</v>
          </cell>
          <cell r="F241" t="str">
            <v>54</v>
          </cell>
          <cell r="G241" t="str">
            <v>Perjalanan Dinas Non-Diklat</v>
          </cell>
          <cell r="H241" t="str">
            <v>Kota Makassar - Kota Baubau</v>
          </cell>
          <cell r="I241" t="str">
            <v>04/08/2025 - 11/08/2025</v>
          </cell>
          <cell r="J241" t="str">
            <v>8</v>
          </cell>
          <cell r="K241" t="str">
            <v>Flight One Way</v>
          </cell>
          <cell r="L241" t="str">
            <v>08-08-2025 05:31:12</v>
          </cell>
          <cell r="M241" t="str">
            <v>Super Air Jet  BUW Betoambari IU-573 - Super Air Jet  UPG Hasanuddin IU-573</v>
          </cell>
          <cell r="N241" t="str">
            <v>TC PROTEK DAN MTR</v>
          </cell>
          <cell r="O241" t="str">
            <v>7409342</v>
          </cell>
          <cell r="P241" t="str">
            <v>09/08/2025 15:35:00 - 09/08/2025 16:20:00</v>
          </cell>
          <cell r="Q241">
            <v>744200</v>
          </cell>
          <cell r="R241" t="str">
            <v>SUCCESS</v>
          </cell>
        </row>
        <row r="242">
          <cell r="A242">
            <v>1274934409</v>
          </cell>
          <cell r="B242" t="str">
            <v>9413103FY</v>
          </cell>
          <cell r="C242" t="str">
            <v xml:space="preserve">AMRIADI </v>
          </cell>
          <cell r="D242">
            <v>96137675</v>
          </cell>
          <cell r="E242">
            <v>4120176930</v>
          </cell>
          <cell r="F242" t="str">
            <v>54</v>
          </cell>
          <cell r="G242" t="str">
            <v>Perjalanan Dinas Non-Diklat</v>
          </cell>
          <cell r="H242" t="str">
            <v>Kota Makassar - Kota Baubau</v>
          </cell>
          <cell r="I242" t="str">
            <v>04/08/2025 - 11/08/2025</v>
          </cell>
          <cell r="J242" t="str">
            <v>8</v>
          </cell>
          <cell r="K242" t="str">
            <v>Hotel</v>
          </cell>
          <cell r="L242" t="str">
            <v>06-08-2025 16:56:32</v>
          </cell>
          <cell r="M242" t="str">
            <v xml:space="preserve">Zenith Premiere Hotel Baubau - 3.0 Stars  - </v>
          </cell>
          <cell r="N242" t="str">
            <v>TC PROTEK DAN MTR</v>
          </cell>
          <cell r="O242" t="str">
            <v>7409342</v>
          </cell>
          <cell r="P242" t="str">
            <v>07/08/2025 14:00:00 - 09/08/2025 12:00:00</v>
          </cell>
          <cell r="Q242">
            <v>1640300</v>
          </cell>
          <cell r="R242" t="str">
            <v>SUCCESS</v>
          </cell>
        </row>
        <row r="243">
          <cell r="A243">
            <v>1273481940</v>
          </cell>
          <cell r="B243" t="str">
            <v>84111259Z</v>
          </cell>
          <cell r="C243" t="str">
            <v xml:space="preserve">ARDIANTO </v>
          </cell>
          <cell r="D243">
            <v>84117600</v>
          </cell>
          <cell r="E243">
            <v>4120176928</v>
          </cell>
          <cell r="F243" t="str">
            <v>54</v>
          </cell>
          <cell r="G243" t="str">
            <v>Perjalanan Dinas Non-Diklat</v>
          </cell>
          <cell r="H243" t="str">
            <v>Kota Makassar - Kota Tangerang</v>
          </cell>
          <cell r="I243" t="str">
            <v>31/07/2025 - 02/08/2025</v>
          </cell>
          <cell r="J243" t="str">
            <v>3</v>
          </cell>
          <cell r="K243" t="str">
            <v>Hotel</v>
          </cell>
          <cell r="L243" t="str">
            <v>01-08-2025 05:17:16</v>
          </cell>
          <cell r="M243" t="str">
            <v xml:space="preserve">Trembesi Hotel - 4.0 Stars  - </v>
          </cell>
          <cell r="N243" t="str">
            <v>ASMAN HAR</v>
          </cell>
          <cell r="O243" t="str">
            <v>7412340</v>
          </cell>
          <cell r="P243" t="str">
            <v>01/08/2025 14:00:00 - 02/08/2025 12:00:00</v>
          </cell>
          <cell r="Q243">
            <v>1420031</v>
          </cell>
          <cell r="R243" t="str">
            <v>SUCCESS</v>
          </cell>
        </row>
        <row r="244">
          <cell r="A244">
            <v>1273592833</v>
          </cell>
          <cell r="B244" t="str">
            <v>84111259Z</v>
          </cell>
          <cell r="C244" t="str">
            <v xml:space="preserve">ARDIANTO </v>
          </cell>
          <cell r="D244">
            <v>84117600</v>
          </cell>
          <cell r="E244">
            <v>4120176928</v>
          </cell>
          <cell r="F244" t="str">
            <v>54</v>
          </cell>
          <cell r="G244" t="str">
            <v>Perjalanan Dinas Non-Diklat</v>
          </cell>
          <cell r="H244" t="str">
            <v>Kota Makassar - Kota Tangerang</v>
          </cell>
          <cell r="I244" t="str">
            <v>31/07/2025 - 02/08/2025</v>
          </cell>
          <cell r="J244" t="str">
            <v>3</v>
          </cell>
          <cell r="K244" t="str">
            <v>Flight One Way</v>
          </cell>
          <cell r="L244" t="str">
            <v>01-08-2025 13:32:41</v>
          </cell>
          <cell r="M244" t="str">
            <v>Garuda Indonesia  CGK Soekarno Hatta International Airport GA-618 - Garuda Indonesia Domestic UPG Hasanuddin GA-618</v>
          </cell>
          <cell r="N244" t="str">
            <v>ASMAN HAR</v>
          </cell>
          <cell r="O244" t="str">
            <v>7412340</v>
          </cell>
          <cell r="P244" t="str">
            <v>02/08/2025 20:15:00 - 02/08/2025 23:50:00</v>
          </cell>
          <cell r="Q244">
            <v>1594500</v>
          </cell>
          <cell r="R244" t="str">
            <v>SUCCESS</v>
          </cell>
        </row>
        <row r="245">
          <cell r="A245">
            <v>1273481941</v>
          </cell>
          <cell r="B245" t="str">
            <v>84111259Z</v>
          </cell>
          <cell r="C245" t="str">
            <v xml:space="preserve">ARDIANTO </v>
          </cell>
          <cell r="D245">
            <v>84117600</v>
          </cell>
          <cell r="E245">
            <v>4120176928</v>
          </cell>
          <cell r="F245" t="str">
            <v>54</v>
          </cell>
          <cell r="G245" t="str">
            <v>Perjalanan Dinas Non-Diklat</v>
          </cell>
          <cell r="H245" t="str">
            <v>Kota Makassar - Kota Tangerang</v>
          </cell>
          <cell r="I245" t="str">
            <v>31/07/2025 - 02/08/2025</v>
          </cell>
          <cell r="J245" t="str">
            <v>3</v>
          </cell>
          <cell r="K245" t="str">
            <v>Hotel</v>
          </cell>
          <cell r="L245" t="str">
            <v>01-08-2025 05:17:16</v>
          </cell>
          <cell r="M245" t="str">
            <v xml:space="preserve">Trembesi Hotel - 4.0 Stars  - </v>
          </cell>
          <cell r="N245" t="str">
            <v>ASMAN HAR</v>
          </cell>
          <cell r="O245" t="str">
            <v>7412340</v>
          </cell>
          <cell r="P245" t="str">
            <v>01/08/2025 14:00:00 - 02/08/2025 12:00:00</v>
          </cell>
          <cell r="Q245">
            <v>1420031</v>
          </cell>
          <cell r="R245" t="str">
            <v>SUCCESS</v>
          </cell>
        </row>
        <row r="246">
          <cell r="A246">
            <v>1273112842</v>
          </cell>
          <cell r="B246" t="str">
            <v>88111108Z</v>
          </cell>
          <cell r="C246" t="str">
            <v>EKA MAYASARI RACHMAN</v>
          </cell>
          <cell r="D246">
            <v>88117600</v>
          </cell>
          <cell r="E246">
            <v>4120176912</v>
          </cell>
          <cell r="F246" t="str">
            <v>54</v>
          </cell>
          <cell r="G246" t="str">
            <v>Perjalanan Dinas Non-Diklat</v>
          </cell>
          <cell r="H246" t="str">
            <v>Kota Makassar - Jakarta Selatan</v>
          </cell>
          <cell r="I246" t="str">
            <v>29/07/2025 - 01/08/2025</v>
          </cell>
          <cell r="J246" t="str">
            <v>4</v>
          </cell>
          <cell r="K246" t="str">
            <v>Flight One Way</v>
          </cell>
          <cell r="L246" t="str">
            <v>30-07-2025 16:44:09</v>
          </cell>
          <cell r="M246" t="str">
            <v>Garuda Indonesia  CGK Soekarno Hatta International Airport GA-640 - Garuda Indonesia Domestic UPG Hasanuddin GA-640</v>
          </cell>
          <cell r="N246" t="str">
            <v>MAN ASET PROP DAN MUM</v>
          </cell>
          <cell r="O246" t="str">
            <v>7412164</v>
          </cell>
          <cell r="P246" t="str">
            <v>01/08/2025 07:55:00 - 01/08/2025 11:30:00</v>
          </cell>
          <cell r="Q246">
            <v>1890500</v>
          </cell>
          <cell r="R246" t="str">
            <v>SUCCESS</v>
          </cell>
        </row>
        <row r="247">
          <cell r="A247">
            <v>1272423392</v>
          </cell>
          <cell r="B247" t="str">
            <v>88111108Z</v>
          </cell>
          <cell r="C247" t="str">
            <v>EKA MAYASARI RACHMAN</v>
          </cell>
          <cell r="D247">
            <v>88117600</v>
          </cell>
          <cell r="E247">
            <v>4120176912</v>
          </cell>
          <cell r="F247" t="str">
            <v>54</v>
          </cell>
          <cell r="G247" t="str">
            <v>Perjalanan Dinas Non-Diklat</v>
          </cell>
          <cell r="H247" t="str">
            <v>Kota Makassar - Jakarta Selatan</v>
          </cell>
          <cell r="I247" t="str">
            <v>28/07/2025 - 31/07/2025</v>
          </cell>
          <cell r="J247" t="str">
            <v>4</v>
          </cell>
          <cell r="K247" t="str">
            <v>Flight One Way</v>
          </cell>
          <cell r="L247" t="str">
            <v>27-07-2025 17:00:52</v>
          </cell>
          <cell r="M247" t="str">
            <v>Garuda Indonesia Domestic UPG Hasanuddin GA-619 - Garuda Indonesia  CGK Soekarno Hatta International Airport GA-619</v>
          </cell>
          <cell r="N247" t="str">
            <v>MAN ASET PROP DAN MUM</v>
          </cell>
          <cell r="O247" t="str">
            <v>7412164</v>
          </cell>
          <cell r="P247" t="str">
            <v>29/07/2025 05:25:00 - 29/07/2025 06:55:00</v>
          </cell>
          <cell r="Q247">
            <v>1293700</v>
          </cell>
          <cell r="R247" t="str">
            <v>SUCCESS</v>
          </cell>
        </row>
        <row r="248">
          <cell r="A248">
            <v>1272319246</v>
          </cell>
          <cell r="B248" t="str">
            <v>8909001F</v>
          </cell>
          <cell r="C248" t="str">
            <v>INCE ZULKIFLI Z. MA'MUR</v>
          </cell>
          <cell r="D248">
            <v>89097600</v>
          </cell>
          <cell r="E248">
            <v>4120176891</v>
          </cell>
          <cell r="F248" t="str">
            <v>54</v>
          </cell>
          <cell r="G248" t="str">
            <v>Perjalanan Dinas Non-Diklat</v>
          </cell>
          <cell r="H248" t="str">
            <v>Kab. Pasangkayu - Kota Makassar</v>
          </cell>
          <cell r="I248" t="str">
            <v>27/07/2025 - 30/07/2025</v>
          </cell>
          <cell r="J248" t="str">
            <v>4</v>
          </cell>
          <cell r="K248" t="str">
            <v>Hotel</v>
          </cell>
          <cell r="L248" t="str">
            <v>27-07-2025 07:35:54</v>
          </cell>
          <cell r="M248" t="str">
            <v xml:space="preserve">CLARO Makassar - 4.0 Stars  - </v>
          </cell>
          <cell r="N248" t="str">
            <v>MUL ULP (PASANGKAYU)</v>
          </cell>
          <cell r="O248" t="str">
            <v>7409659</v>
          </cell>
          <cell r="P248" t="str">
            <v>27/07/2025 14:00:00 - 30/07/2025 12:00:00</v>
          </cell>
          <cell r="Q248">
            <v>2609529</v>
          </cell>
          <cell r="R248" t="str">
            <v>SUCCESS</v>
          </cell>
        </row>
        <row r="249">
          <cell r="A249">
            <v>1272279442</v>
          </cell>
          <cell r="B249" t="str">
            <v>8813141ZY</v>
          </cell>
          <cell r="C249" t="str">
            <v xml:space="preserve">RISMAN </v>
          </cell>
          <cell r="D249">
            <v>88137601</v>
          </cell>
          <cell r="E249">
            <v>4120176905</v>
          </cell>
          <cell r="F249" t="str">
            <v>54</v>
          </cell>
          <cell r="G249" t="str">
            <v>Perjalanan Dinas Non-Diklat</v>
          </cell>
          <cell r="H249" t="str">
            <v>Kab. Mamuju - Kota Makassar</v>
          </cell>
          <cell r="I249" t="str">
            <v>27/07/2025 - 29/07/2025</v>
          </cell>
          <cell r="J249" t="str">
            <v>3</v>
          </cell>
          <cell r="K249" t="str">
            <v>Hotel</v>
          </cell>
          <cell r="L249" t="str">
            <v>26-07-2025 22:04:38</v>
          </cell>
          <cell r="M249" t="str">
            <v>CLARO Makassar - 4.0 Stars  - Deluxe Twin Bed</v>
          </cell>
          <cell r="N249" t="str">
            <v>ASMAN NPS</v>
          </cell>
          <cell r="O249" t="str">
            <v>7412293</v>
          </cell>
          <cell r="P249" t="str">
            <v>27/07/2025 14:00:00 - 29/07/2025 12:00:00</v>
          </cell>
          <cell r="Q249">
            <v>1739686</v>
          </cell>
          <cell r="R249" t="str">
            <v>SUCCESS</v>
          </cell>
        </row>
        <row r="250">
          <cell r="A250">
            <v>1273111494</v>
          </cell>
          <cell r="B250" t="str">
            <v>8710691Z</v>
          </cell>
          <cell r="C250" t="str">
            <v>AHMAD AMIRUL SYARIF</v>
          </cell>
          <cell r="D250">
            <v>87108002</v>
          </cell>
          <cell r="E250">
            <v>4120176908</v>
          </cell>
          <cell r="F250" t="str">
            <v>54</v>
          </cell>
          <cell r="G250" t="str">
            <v>Perjalanan Dinas Non-Diklat</v>
          </cell>
          <cell r="H250" t="str">
            <v>Kota Makassar - Jakarta Pusat</v>
          </cell>
          <cell r="I250" t="str">
            <v>29/07/2025 - 01/08/2025</v>
          </cell>
          <cell r="J250" t="str">
            <v>4</v>
          </cell>
          <cell r="K250" t="str">
            <v>Flight One Way</v>
          </cell>
          <cell r="L250" t="str">
            <v>30-07-2025 16:38:07</v>
          </cell>
          <cell r="M250" t="str">
            <v>Garuda Indonesia  CGK Soekarno Hatta International Airport GA-640 - Garuda Indonesia Domestic UPG Hasanuddin GA-640</v>
          </cell>
          <cell r="N250" t="str">
            <v>MAN KOM DAN TJSL</v>
          </cell>
          <cell r="O250" t="str">
            <v>7412163</v>
          </cell>
          <cell r="P250" t="str">
            <v>01/08/2025 07:55:00 - 01/08/2025 11:30:00</v>
          </cell>
          <cell r="Q250">
            <v>1629200</v>
          </cell>
          <cell r="R250" t="str">
            <v>SUCCESS</v>
          </cell>
        </row>
        <row r="251">
          <cell r="A251">
            <v>1273354027</v>
          </cell>
          <cell r="B251" t="str">
            <v>8710691Z</v>
          </cell>
          <cell r="C251" t="str">
            <v>AHMAD AMIRUL SYARIF</v>
          </cell>
          <cell r="D251">
            <v>87108002</v>
          </cell>
          <cell r="E251">
            <v>4120176908</v>
          </cell>
          <cell r="F251" t="str">
            <v>54</v>
          </cell>
          <cell r="G251" t="str">
            <v>Perjalanan Dinas Non-Diklat</v>
          </cell>
          <cell r="H251" t="str">
            <v>Kota Makassar - Jakarta Pusat</v>
          </cell>
          <cell r="I251" t="str">
            <v>29/07/2025 - 01/08/2025</v>
          </cell>
          <cell r="J251" t="str">
            <v>4</v>
          </cell>
          <cell r="K251" t="str">
            <v>Hotel</v>
          </cell>
          <cell r="L251" t="str">
            <v>31-07-2025 15:58:55</v>
          </cell>
          <cell r="M251" t="str">
            <v xml:space="preserve">Swiss-Belhotel Airport Jakarta - 4.0 Stars  - </v>
          </cell>
          <cell r="N251" t="str">
            <v>MAN KOM DAN TJSL</v>
          </cell>
          <cell r="O251" t="str">
            <v>7412163</v>
          </cell>
          <cell r="P251" t="str">
            <v>31/07/2025 14:00:00 - 01/08/2025 12:00:00</v>
          </cell>
          <cell r="Q251">
            <v>1291500</v>
          </cell>
          <cell r="R251" t="str">
            <v>SUCCESS</v>
          </cell>
        </row>
        <row r="252">
          <cell r="A252">
            <v>1272416013</v>
          </cell>
          <cell r="B252" t="str">
            <v>8710691Z</v>
          </cell>
          <cell r="C252" t="str">
            <v>AHMAD AMIRUL SYARIF</v>
          </cell>
          <cell r="D252">
            <v>87108002</v>
          </cell>
          <cell r="E252">
            <v>4120176908</v>
          </cell>
          <cell r="F252" t="str">
            <v>54</v>
          </cell>
          <cell r="G252" t="str">
            <v>Perjalanan Dinas Non-Diklat</v>
          </cell>
          <cell r="H252" t="str">
            <v>Kota Makassar - Jakarta Pusat</v>
          </cell>
          <cell r="I252" t="str">
            <v>28/07/2025 - 31/07/2025</v>
          </cell>
          <cell r="J252" t="str">
            <v>4</v>
          </cell>
          <cell r="K252" t="str">
            <v>Flight One Way</v>
          </cell>
          <cell r="L252" t="str">
            <v>27-07-2025 16:20:07</v>
          </cell>
          <cell r="M252" t="str">
            <v>Garuda Indonesia Domestic UPG Hasanuddin GA-619 - Garuda Indonesia  CGK Soekarno Hatta International Airport GA-619</v>
          </cell>
          <cell r="N252" t="str">
            <v>MAN KOM DAN TJSL</v>
          </cell>
          <cell r="O252" t="str">
            <v>7412163</v>
          </cell>
          <cell r="P252" t="str">
            <v>29/07/2025 05:25:00 - 29/07/2025 06:55:00</v>
          </cell>
          <cell r="Q252">
            <v>1293700</v>
          </cell>
          <cell r="R252" t="str">
            <v>SUCCESS</v>
          </cell>
        </row>
        <row r="253">
          <cell r="A253">
            <v>1273111413</v>
          </cell>
          <cell r="B253" t="str">
            <v>8609336Z</v>
          </cell>
          <cell r="C253" t="str">
            <v>RATHY SHINTA UTAMI</v>
          </cell>
          <cell r="D253">
            <v>86093800</v>
          </cell>
          <cell r="E253">
            <v>4120176909</v>
          </cell>
          <cell r="F253" t="str">
            <v>54</v>
          </cell>
          <cell r="G253" t="str">
            <v>Perjalanan Dinas Non-Diklat</v>
          </cell>
          <cell r="H253" t="str">
            <v>Kota Makassar - Jakarta Selatan</v>
          </cell>
          <cell r="I253" t="str">
            <v>29/07/2025 - 01/08/2025</v>
          </cell>
          <cell r="J253" t="str">
            <v>4</v>
          </cell>
          <cell r="K253" t="str">
            <v>Flight One Way</v>
          </cell>
          <cell r="L253" t="str">
            <v>30-07-2025 16:38:07</v>
          </cell>
          <cell r="M253" t="str">
            <v>Garuda Indonesia  CGK Soekarno Hatta International Airport GA-640 - Garuda Indonesia Domestic UPG Hasanuddin GA-640</v>
          </cell>
          <cell r="N253" t="str">
            <v>SPC KIN DIST</v>
          </cell>
          <cell r="O253" t="str">
            <v>7412000</v>
          </cell>
          <cell r="P253" t="str">
            <v>01/08/2025 07:55:00 - 01/08/2025 11:30:00</v>
          </cell>
          <cell r="Q253">
            <v>1629200</v>
          </cell>
          <cell r="R253" t="str">
            <v>SUCCESS</v>
          </cell>
        </row>
        <row r="254">
          <cell r="A254">
            <v>1272416483</v>
          </cell>
          <cell r="B254" t="str">
            <v>8609336Z</v>
          </cell>
          <cell r="C254" t="str">
            <v>RATHY SHINTA UTAMI</v>
          </cell>
          <cell r="D254">
            <v>86093800</v>
          </cell>
          <cell r="E254">
            <v>4120176909</v>
          </cell>
          <cell r="F254" t="str">
            <v>54</v>
          </cell>
          <cell r="G254" t="str">
            <v>Perjalanan Dinas Non-Diklat</v>
          </cell>
          <cell r="H254" t="str">
            <v>Kota Makassar - Jakarta Selatan</v>
          </cell>
          <cell r="I254" t="str">
            <v>28/07/2025 - 31/07/2025</v>
          </cell>
          <cell r="J254" t="str">
            <v>4</v>
          </cell>
          <cell r="K254" t="str">
            <v>Flight One Way</v>
          </cell>
          <cell r="L254" t="str">
            <v>27-07-2025 16:22:18</v>
          </cell>
          <cell r="M254" t="str">
            <v>Garuda Indonesia Domestic UPG Hasanuddin GA-619 - Garuda Indonesia  CGK Soekarno Hatta International Airport GA-619</v>
          </cell>
          <cell r="N254" t="str">
            <v>SPC KIN DIST</v>
          </cell>
          <cell r="O254" t="str">
            <v>7412000</v>
          </cell>
          <cell r="P254" t="str">
            <v>29/07/2025 05:25:00 - 29/07/2025 06:55:00</v>
          </cell>
          <cell r="Q254">
            <v>1293700</v>
          </cell>
          <cell r="R254" t="str">
            <v>SUCCESS</v>
          </cell>
        </row>
        <row r="255">
          <cell r="A255">
            <v>1272291716</v>
          </cell>
          <cell r="B255" t="str">
            <v>9116888ZY</v>
          </cell>
          <cell r="C255" t="str">
            <v xml:space="preserve">ANGRIAWAN </v>
          </cell>
          <cell r="D255">
            <v>91167609</v>
          </cell>
          <cell r="E255">
            <v>4120176845</v>
          </cell>
          <cell r="F255" t="str">
            <v>54</v>
          </cell>
          <cell r="G255" t="str">
            <v>Perjalanan Dinas Non-Diklat</v>
          </cell>
          <cell r="H255" t="str">
            <v>Kab. Pinrang - Kota Makassar</v>
          </cell>
          <cell r="I255" t="str">
            <v>27/07/2025 - 28/07/2025</v>
          </cell>
          <cell r="J255" t="str">
            <v>2</v>
          </cell>
          <cell r="K255" t="str">
            <v>Hotel</v>
          </cell>
          <cell r="L255" t="str">
            <v>26-07-2025 23:20:09</v>
          </cell>
          <cell r="M255" t="str">
            <v xml:space="preserve">Horison Ultima Makassar - 4.0 Stars  - </v>
          </cell>
          <cell r="N255" t="str">
            <v>MUL ULP (WATANG SAWITTO)</v>
          </cell>
          <cell r="O255" t="str">
            <v>7409631</v>
          </cell>
          <cell r="P255" t="str">
            <v>27/07/2025 14:00:00 - 28/07/2025 12:00:00</v>
          </cell>
          <cell r="Q255">
            <v>999999</v>
          </cell>
          <cell r="R255" t="str">
            <v>SUCCESS</v>
          </cell>
        </row>
        <row r="256">
          <cell r="A256">
            <v>1273484458</v>
          </cell>
          <cell r="B256" t="str">
            <v>92161357ZY</v>
          </cell>
          <cell r="C256" t="str">
            <v>GALIH RHENDRA PUTRA</v>
          </cell>
          <cell r="D256">
            <v>92167612</v>
          </cell>
          <cell r="E256">
            <v>4120176890</v>
          </cell>
          <cell r="F256" t="str">
            <v>54</v>
          </cell>
          <cell r="G256" t="str">
            <v>Perjalanan Dinas Non-Diklat</v>
          </cell>
          <cell r="H256" t="str">
            <v>Kota Makassar - Kota Baubau</v>
          </cell>
          <cell r="I256" t="str">
            <v>28/07/2025 - 04/08/2025</v>
          </cell>
          <cell r="J256" t="str">
            <v>8</v>
          </cell>
          <cell r="K256" t="str">
            <v>Hotel</v>
          </cell>
          <cell r="L256" t="str">
            <v>01-08-2025 05:54:24</v>
          </cell>
          <cell r="M256" t="str">
            <v xml:space="preserve">Zenith Premiere Hotel Baubau - 3.0 Stars  - </v>
          </cell>
          <cell r="N256" t="str">
            <v>ASMAN AKT AT DAN PDP</v>
          </cell>
          <cell r="O256" t="str">
            <v>7412152</v>
          </cell>
          <cell r="P256" t="str">
            <v>02/08/2025 14:00:00 - 04/08/2025 12:00:00</v>
          </cell>
          <cell r="Q256">
            <v>1386300</v>
          </cell>
          <cell r="R256" t="str">
            <v>SUCCESS</v>
          </cell>
        </row>
        <row r="257">
          <cell r="A257">
            <v>1273142405</v>
          </cell>
          <cell r="B257" t="str">
            <v>92161357ZY</v>
          </cell>
          <cell r="C257" t="str">
            <v>GALIH RHENDRA PUTRA</v>
          </cell>
          <cell r="D257">
            <v>92167612</v>
          </cell>
          <cell r="E257">
            <v>4120176890</v>
          </cell>
          <cell r="F257" t="str">
            <v>54</v>
          </cell>
          <cell r="G257" t="str">
            <v>Perjalanan Dinas Non-Diklat</v>
          </cell>
          <cell r="H257" t="str">
            <v>Kota Makassar - Kota Baubau</v>
          </cell>
          <cell r="I257" t="str">
            <v>28/07/2025 - 04/08/2025</v>
          </cell>
          <cell r="J257" t="str">
            <v>8</v>
          </cell>
          <cell r="K257" t="str">
            <v>Flight One Way</v>
          </cell>
          <cell r="L257" t="str">
            <v>30-07-2025 18:58:18</v>
          </cell>
          <cell r="M257" t="str">
            <v>Super Air Jet  BUW Betoambari IU-573 - Super Air Jet  UPG Hasanuddin IU-573</v>
          </cell>
          <cell r="N257" t="str">
            <v>ASMAN AKT AT DAN PDP</v>
          </cell>
          <cell r="O257" t="str">
            <v>7412152</v>
          </cell>
          <cell r="P257" t="str">
            <v>04/08/2025 15:35:00 - 04/08/2025 16:20:00</v>
          </cell>
          <cell r="Q257">
            <v>744200</v>
          </cell>
          <cell r="R257" t="str">
            <v>SUCCESS</v>
          </cell>
        </row>
        <row r="258">
          <cell r="A258">
            <v>1273148036</v>
          </cell>
          <cell r="B258" t="str">
            <v>92161357ZY</v>
          </cell>
          <cell r="C258" t="str">
            <v>GALIH RHENDRA PUTRA</v>
          </cell>
          <cell r="D258">
            <v>92167612</v>
          </cell>
          <cell r="E258">
            <v>4120176890</v>
          </cell>
          <cell r="F258" t="str">
            <v>54</v>
          </cell>
          <cell r="G258" t="str">
            <v>Perjalanan Dinas Non-Diklat</v>
          </cell>
          <cell r="H258" t="str">
            <v>Kota Makassar - Kota Baubau</v>
          </cell>
          <cell r="I258" t="str">
            <v>28/07/2025 - 04/08/2025</v>
          </cell>
          <cell r="J258" t="str">
            <v>8</v>
          </cell>
          <cell r="K258" t="str">
            <v>Hotel</v>
          </cell>
          <cell r="L258" t="str">
            <v>30-07-2025 19:22:53</v>
          </cell>
          <cell r="M258" t="str">
            <v xml:space="preserve">Zenith Premiere Hotel Baubau - 3.0 Stars  - </v>
          </cell>
          <cell r="N258" t="str">
            <v>ASMAN AKT AT DAN PDP</v>
          </cell>
          <cell r="O258" t="str">
            <v>7412152</v>
          </cell>
          <cell r="P258" t="str">
            <v>01/08/2025 14:00:00 - 02/08/2025 12:00:00</v>
          </cell>
          <cell r="Q258">
            <v>693150</v>
          </cell>
          <cell r="R258" t="str">
            <v>SUCCESS</v>
          </cell>
        </row>
        <row r="259">
          <cell r="A259">
            <v>1272169642</v>
          </cell>
          <cell r="B259" t="str">
            <v>92161357ZY</v>
          </cell>
          <cell r="C259" t="str">
            <v>GALIH RHENDRA PUTRA</v>
          </cell>
          <cell r="D259">
            <v>92167612</v>
          </cell>
          <cell r="E259">
            <v>4120176890</v>
          </cell>
          <cell r="F259" t="str">
            <v>54</v>
          </cell>
          <cell r="G259" t="str">
            <v>Perjalanan Dinas Non-Diklat</v>
          </cell>
          <cell r="H259" t="str">
            <v>Kota Makassar - Kota Baubau</v>
          </cell>
          <cell r="I259" t="str">
            <v>28/07/2025 - 04/08/2025</v>
          </cell>
          <cell r="J259" t="str">
            <v>8</v>
          </cell>
          <cell r="K259" t="str">
            <v>Hotel</v>
          </cell>
          <cell r="L259" t="str">
            <v>26-07-2025 13:29:50</v>
          </cell>
          <cell r="M259" t="str">
            <v xml:space="preserve">Zenith Premiere Hotel Baubau - 3.0 Stars  - </v>
          </cell>
          <cell r="N259" t="str">
            <v>ASMAN AKT AT DAN PDP</v>
          </cell>
          <cell r="O259" t="str">
            <v>7412152</v>
          </cell>
          <cell r="P259" t="str">
            <v>28/07/2025 14:00:00 - 29/07/2025 12:00:00</v>
          </cell>
          <cell r="Q259">
            <v>694100</v>
          </cell>
          <cell r="R259" t="str">
            <v>SUCCESS</v>
          </cell>
        </row>
        <row r="260">
          <cell r="A260">
            <v>1272173360</v>
          </cell>
          <cell r="B260" t="str">
            <v>92161357ZY</v>
          </cell>
          <cell r="C260" t="str">
            <v>GALIH RHENDRA PUTRA</v>
          </cell>
          <cell r="D260">
            <v>92167612</v>
          </cell>
          <cell r="E260">
            <v>4120176890</v>
          </cell>
          <cell r="F260" t="str">
            <v>54</v>
          </cell>
          <cell r="G260" t="str">
            <v>Perjalanan Dinas Non-Diklat</v>
          </cell>
          <cell r="H260" t="str">
            <v>Kota Makassar - Kota Baubau</v>
          </cell>
          <cell r="I260" t="str">
            <v>28/07/2025 - 04/08/2025</v>
          </cell>
          <cell r="J260" t="str">
            <v>8</v>
          </cell>
          <cell r="K260" t="str">
            <v>Flight One Way</v>
          </cell>
          <cell r="L260" t="str">
            <v>26-07-2025 13:45:32</v>
          </cell>
          <cell r="M260" t="str">
            <v>Wings Air Domestic UPG Hasanuddin IW-1306 - Wings Air  BUW Betoambari IW-1306</v>
          </cell>
          <cell r="N260" t="str">
            <v>ASMAN AKT AT DAN PDP</v>
          </cell>
          <cell r="O260" t="str">
            <v>7412152</v>
          </cell>
          <cell r="P260" t="str">
            <v>28/07/2025 15:45:00 - 28/07/2025 17:00:00</v>
          </cell>
          <cell r="Q260">
            <v>1479700</v>
          </cell>
          <cell r="R260" t="str">
            <v>SUCCESS</v>
          </cell>
        </row>
        <row r="261">
          <cell r="A261">
            <v>1273083788</v>
          </cell>
          <cell r="B261" t="str">
            <v>92161357ZY</v>
          </cell>
          <cell r="C261" t="str">
            <v>GALIH RHENDRA PUTRA</v>
          </cell>
          <cell r="D261">
            <v>92167612</v>
          </cell>
          <cell r="E261">
            <v>4120176890</v>
          </cell>
          <cell r="F261" t="str">
            <v>54</v>
          </cell>
          <cell r="G261" t="str">
            <v>Perjalanan Dinas Non-Diklat</v>
          </cell>
          <cell r="H261" t="str">
            <v>Kota Makassar - Kota Baubau</v>
          </cell>
          <cell r="I261" t="str">
            <v>28/07/2025 - 04/08/2025</v>
          </cell>
          <cell r="J261" t="str">
            <v>8</v>
          </cell>
          <cell r="K261" t="str">
            <v>Hotel</v>
          </cell>
          <cell r="L261" t="str">
            <v>30-07-2025 14:38:45</v>
          </cell>
          <cell r="M261" t="str">
            <v xml:space="preserve">Zenith Premiere Hotel Baubau - 3.0 Stars  - </v>
          </cell>
          <cell r="N261" t="str">
            <v>ASMAN AKT AT DAN PDP</v>
          </cell>
          <cell r="O261" t="str">
            <v>7412152</v>
          </cell>
          <cell r="P261" t="str">
            <v>31/07/2025 14:00:00 - 01/08/2025 12:00:00</v>
          </cell>
          <cell r="Q261">
            <v>694100</v>
          </cell>
          <cell r="R261" t="str">
            <v>SUCCESS</v>
          </cell>
        </row>
        <row r="262">
          <cell r="A262">
            <v>1273064329</v>
          </cell>
          <cell r="B262" t="str">
            <v>9716041FY</v>
          </cell>
          <cell r="C262" t="str">
            <v>YUDHA BYATARA SWANIDA</v>
          </cell>
          <cell r="D262">
            <v>97167851</v>
          </cell>
          <cell r="E262">
            <v>4120176871</v>
          </cell>
          <cell r="F262" t="str">
            <v>54</v>
          </cell>
          <cell r="G262" t="str">
            <v>Perjalanan Dinas Diklat</v>
          </cell>
          <cell r="H262" t="str">
            <v>Kab. Maros - Kota Banjarbaru</v>
          </cell>
          <cell r="I262" t="str">
            <v>27/07/2025 - 02/08/2025</v>
          </cell>
          <cell r="J262" t="str">
            <v>7</v>
          </cell>
          <cell r="K262" t="str">
            <v>Flight One Way</v>
          </cell>
          <cell r="L262" t="str">
            <v>30-07-2025 13:21:10</v>
          </cell>
          <cell r="M262" t="str">
            <v>Lion Air Domestic BDJ Syamsudin Noor JT-524 - Lion Air Domestic UPG Hasanuddin JT-524</v>
          </cell>
          <cell r="N262" t="str">
            <v>JTC OP DAN HAR DIST</v>
          </cell>
          <cell r="O262" t="str">
            <v>74092715</v>
          </cell>
          <cell r="P262" t="str">
            <v>02/08/2025 16:20:00 - 02/08/2025 17:30:00</v>
          </cell>
          <cell r="Q262">
            <v>1269000</v>
          </cell>
          <cell r="R262" t="str">
            <v>SUCCESS</v>
          </cell>
        </row>
        <row r="263">
          <cell r="A263">
            <v>1272384541</v>
          </cell>
          <cell r="B263" t="str">
            <v>8408499Z</v>
          </cell>
          <cell r="C263" t="str">
            <v xml:space="preserve">MIRSAN </v>
          </cell>
          <cell r="D263">
            <v>84087802</v>
          </cell>
          <cell r="E263">
            <v>4120176903</v>
          </cell>
          <cell r="F263" t="str">
            <v>54</v>
          </cell>
          <cell r="G263" t="str">
            <v>Perjalanan Dinas Non-Diklat</v>
          </cell>
          <cell r="H263" t="str">
            <v>Kota Makassar - Kota Bandung</v>
          </cell>
          <cell r="I263" t="str">
            <v>28/07/2025 - 30/07/2025</v>
          </cell>
          <cell r="J263" t="str">
            <v>3</v>
          </cell>
          <cell r="K263" t="str">
            <v>Flight One Way</v>
          </cell>
          <cell r="L263" t="str">
            <v>27-07-2025 13:33:17</v>
          </cell>
          <cell r="M263" t="str">
            <v>Batik Air Domestic UPG Hasanuddin ID-6143 - Batik Air 2D CGK Soekarno Hatta International Airport ID-6143</v>
          </cell>
          <cell r="N263" t="str">
            <v>MAN YAN PRIORITAS DAN PAE</v>
          </cell>
          <cell r="O263" t="str">
            <v>7411140</v>
          </cell>
          <cell r="P263" t="str">
            <v>28/07/2025 15:55:00 - 28/07/2025 17:15:00</v>
          </cell>
          <cell r="Q263">
            <v>1277800</v>
          </cell>
          <cell r="R263" t="str">
            <v>SUCCESS</v>
          </cell>
        </row>
        <row r="264">
          <cell r="A264">
            <v>1272092036</v>
          </cell>
          <cell r="B264" t="str">
            <v>9616028FY</v>
          </cell>
          <cell r="C264" t="str">
            <v>RYAN HARYANTO</v>
          </cell>
          <cell r="D264">
            <v>96167866</v>
          </cell>
          <cell r="E264">
            <v>4120176884</v>
          </cell>
          <cell r="F264" t="str">
            <v>54</v>
          </cell>
          <cell r="G264" t="str">
            <v>Perjalanan Dinas Non-Diklat</v>
          </cell>
          <cell r="H264" t="str">
            <v>Kab. Wakatobi - Kota Makassar</v>
          </cell>
          <cell r="I264" t="str">
            <v>27/07/2025 - 30/07/2025</v>
          </cell>
          <cell r="J264" t="str">
            <v>4</v>
          </cell>
          <cell r="K264" t="str">
            <v>Flight One Way</v>
          </cell>
          <cell r="L264" t="str">
            <v>26-07-2025 07:40:47</v>
          </cell>
          <cell r="M264" t="str">
            <v>Super Air Jet  UPG Hasanuddin IU-572 - Super Air Jet  BUW Betoambari IU-572</v>
          </cell>
          <cell r="N264" t="str">
            <v>TL K3 DAN KAM LAY GAN</v>
          </cell>
          <cell r="O264" t="str">
            <v>7409652</v>
          </cell>
          <cell r="P264" t="str">
            <v>29/07/2025 14:10:00 - 29/07/2025 14:55:00</v>
          </cell>
          <cell r="Q264">
            <v>805200</v>
          </cell>
          <cell r="R264" t="str">
            <v>SUCCESS</v>
          </cell>
        </row>
        <row r="265">
          <cell r="A265">
            <v>1272069264</v>
          </cell>
          <cell r="B265" t="str">
            <v>9616028FY</v>
          </cell>
          <cell r="C265" t="str">
            <v>RYAN HARYANTO</v>
          </cell>
          <cell r="D265">
            <v>96167866</v>
          </cell>
          <cell r="E265">
            <v>4120176884</v>
          </cell>
          <cell r="F265" t="str">
            <v>54</v>
          </cell>
          <cell r="G265" t="str">
            <v>Perjalanan Dinas Non-Diklat</v>
          </cell>
          <cell r="H265" t="str">
            <v>Kab. Wakatobi - Kota Makassar</v>
          </cell>
          <cell r="I265" t="str">
            <v>27/07/2025 - 30/07/2025</v>
          </cell>
          <cell r="J265" t="str">
            <v>4</v>
          </cell>
          <cell r="K265" t="str">
            <v>Flight One Way</v>
          </cell>
          <cell r="L265" t="str">
            <v>26-07-2025 01:02:31</v>
          </cell>
          <cell r="M265" t="str">
            <v>Super Air Jet  BUW Betoambari IU-573 - Super Air Jet  UPG Hasanuddin IU-573</v>
          </cell>
          <cell r="N265" t="str">
            <v>TL K3 DAN KAM LAY GAN</v>
          </cell>
          <cell r="O265" t="str">
            <v>7409652</v>
          </cell>
          <cell r="P265" t="str">
            <v>27/07/2025 15:35:00 - 27/07/2025 16:20:00</v>
          </cell>
          <cell r="Q265">
            <v>705300</v>
          </cell>
          <cell r="R265" t="str">
            <v>SUCCESS</v>
          </cell>
        </row>
        <row r="266">
          <cell r="A266">
            <v>1271963537</v>
          </cell>
          <cell r="B266" t="str">
            <v>8609651Z</v>
          </cell>
          <cell r="C266" t="str">
            <v>KOMANG YEHUDA PRAWIRA</v>
          </cell>
          <cell r="D266">
            <v>86098203</v>
          </cell>
          <cell r="E266">
            <v>4120176902</v>
          </cell>
          <cell r="F266" t="str">
            <v>54</v>
          </cell>
          <cell r="G266" t="str">
            <v>Perjalanan Dinas Non-Diklat</v>
          </cell>
          <cell r="H266" t="str">
            <v>Kota Makassar - Kota Surabaya</v>
          </cell>
          <cell r="I266" t="str">
            <v>27/07/2025 - 02/08/2025</v>
          </cell>
          <cell r="J266" t="str">
            <v>7</v>
          </cell>
          <cell r="K266" t="str">
            <v>Hotel</v>
          </cell>
          <cell r="L266" t="str">
            <v>25-07-2025 16:45:32</v>
          </cell>
          <cell r="M266" t="str">
            <v xml:space="preserve">ARTOTEL TS Suites Surabaya - 4.0 Stars  - </v>
          </cell>
          <cell r="N266" t="str">
            <v>MAN STR SAR</v>
          </cell>
          <cell r="O266" t="str">
            <v>7411143</v>
          </cell>
          <cell r="P266" t="str">
            <v>27/07/2025 14:00:00 - 29/07/2025 12:00:00</v>
          </cell>
          <cell r="Q266">
            <v>1980000</v>
          </cell>
          <cell r="R266" t="str">
            <v>SUCCESS</v>
          </cell>
        </row>
        <row r="267">
          <cell r="A267">
            <v>1271960455</v>
          </cell>
          <cell r="B267" t="str">
            <v>8609651Z</v>
          </cell>
          <cell r="C267" t="str">
            <v>KOMANG YEHUDA PRAWIRA</v>
          </cell>
          <cell r="D267">
            <v>86098203</v>
          </cell>
          <cell r="E267">
            <v>4120176902</v>
          </cell>
          <cell r="F267" t="str">
            <v>54</v>
          </cell>
          <cell r="G267" t="str">
            <v>Perjalanan Dinas Non-Diklat</v>
          </cell>
          <cell r="H267" t="str">
            <v>Kota Makassar - Kota Surabaya</v>
          </cell>
          <cell r="I267" t="str">
            <v>27/07/2025 - 02/08/2025</v>
          </cell>
          <cell r="J267" t="str">
            <v>7</v>
          </cell>
          <cell r="K267" t="str">
            <v>Flight One Way</v>
          </cell>
          <cell r="L267" t="str">
            <v>25-07-2025 16:33:21</v>
          </cell>
          <cell r="M267" t="str">
            <v>Lion Air Domestic UPG Hasanuddin JT-801 - Lion Air 1A SUB Juanda JT-801</v>
          </cell>
          <cell r="N267" t="str">
            <v>MAN STR SAR</v>
          </cell>
          <cell r="O267" t="str">
            <v>7411143</v>
          </cell>
          <cell r="P267" t="str">
            <v>27/07/2025 11:25:00 - 27/07/2025 11:55:00</v>
          </cell>
          <cell r="Q267">
            <v>1057300</v>
          </cell>
          <cell r="R267" t="str">
            <v>SUCCESS</v>
          </cell>
        </row>
        <row r="268">
          <cell r="A268">
            <v>1271946573</v>
          </cell>
          <cell r="B268" t="str">
            <v>7802025F</v>
          </cell>
          <cell r="C268" t="str">
            <v xml:space="preserve">ASRI </v>
          </cell>
          <cell r="D268">
            <v>78027605</v>
          </cell>
          <cell r="E268">
            <v>4120176894</v>
          </cell>
          <cell r="F268" t="str">
            <v>54</v>
          </cell>
          <cell r="G268" t="str">
            <v>Perjalanan Dinas Non-Diklat</v>
          </cell>
          <cell r="H268" t="str">
            <v>Kota Makassar - Kota Baubau</v>
          </cell>
          <cell r="I268" t="str">
            <v>28/07/2025 - 04/08/2025</v>
          </cell>
          <cell r="J268" t="str">
            <v>8</v>
          </cell>
          <cell r="K268" t="str">
            <v>Flight One Way</v>
          </cell>
          <cell r="L268" t="str">
            <v>25-07-2025 15:40:11</v>
          </cell>
          <cell r="M268" t="str">
            <v>Super Air Jet  UPG Hasanuddin IU-572 - Super Air Jet  BUW Betoambari IU-572</v>
          </cell>
          <cell r="N268" t="str">
            <v>SOF LOLA KIT</v>
          </cell>
          <cell r="O268" t="str">
            <v>7412000</v>
          </cell>
          <cell r="P268" t="str">
            <v>28/07/2025 14:10:00 - 28/07/2025 14:55:00</v>
          </cell>
          <cell r="Q268">
            <v>805200</v>
          </cell>
          <cell r="R268" t="str">
            <v>SUCCESS</v>
          </cell>
        </row>
        <row r="269">
          <cell r="A269">
            <v>1273139224</v>
          </cell>
          <cell r="B269" t="str">
            <v>7802025F</v>
          </cell>
          <cell r="C269" t="str">
            <v xml:space="preserve">ASRI </v>
          </cell>
          <cell r="D269">
            <v>78027605</v>
          </cell>
          <cell r="E269">
            <v>4120176894</v>
          </cell>
          <cell r="F269" t="str">
            <v>54</v>
          </cell>
          <cell r="G269" t="str">
            <v>Perjalanan Dinas Non-Diklat</v>
          </cell>
          <cell r="H269" t="str">
            <v>Kota Makassar - Kota Baubau</v>
          </cell>
          <cell r="I269" t="str">
            <v>28/07/2025 - 04/08/2025</v>
          </cell>
          <cell r="J269" t="str">
            <v>8</v>
          </cell>
          <cell r="K269" t="str">
            <v>Hotel</v>
          </cell>
          <cell r="L269" t="str">
            <v>30-07-2025 18:43:58</v>
          </cell>
          <cell r="M269" t="str">
            <v xml:space="preserve">Zenith Premiere Hotel Baubau - 3.0 Stars  - </v>
          </cell>
          <cell r="N269" t="str">
            <v>SOF LOLA KIT</v>
          </cell>
          <cell r="O269" t="str">
            <v>7412000</v>
          </cell>
          <cell r="P269" t="str">
            <v>31/07/2025 14:00:00 - 01/08/2025 12:00:00</v>
          </cell>
          <cell r="Q269">
            <v>809200</v>
          </cell>
          <cell r="R269" t="str">
            <v>SUCCESS</v>
          </cell>
        </row>
        <row r="270">
          <cell r="A270">
            <v>1271947881</v>
          </cell>
          <cell r="B270" t="str">
            <v>7802025F</v>
          </cell>
          <cell r="C270" t="str">
            <v xml:space="preserve">ASRI </v>
          </cell>
          <cell r="D270">
            <v>78027605</v>
          </cell>
          <cell r="E270">
            <v>4120176894</v>
          </cell>
          <cell r="F270" t="str">
            <v>54</v>
          </cell>
          <cell r="G270" t="str">
            <v>Perjalanan Dinas Non-Diklat</v>
          </cell>
          <cell r="H270" t="str">
            <v>Kota Makassar - Kota Baubau</v>
          </cell>
          <cell r="I270" t="str">
            <v>28/07/2025 - 04/08/2025</v>
          </cell>
          <cell r="J270" t="str">
            <v>8</v>
          </cell>
          <cell r="K270" t="str">
            <v>Hotel</v>
          </cell>
          <cell r="L270" t="str">
            <v>25-07-2025 15:45:07</v>
          </cell>
          <cell r="M270" t="str">
            <v xml:space="preserve">Zenith Premiere Hotel Baubau - 3.0 Stars  - </v>
          </cell>
          <cell r="N270" t="str">
            <v>SOF LOLA KIT</v>
          </cell>
          <cell r="O270" t="str">
            <v>7412000</v>
          </cell>
          <cell r="P270" t="str">
            <v>28/07/2025 14:00:00 - 29/07/2025 12:00:00</v>
          </cell>
          <cell r="Q270">
            <v>809200</v>
          </cell>
          <cell r="R270" t="str">
            <v>SUCCESS</v>
          </cell>
        </row>
        <row r="271">
          <cell r="A271">
            <v>1273172636</v>
          </cell>
          <cell r="B271" t="str">
            <v>7802025F</v>
          </cell>
          <cell r="C271" t="str">
            <v xml:space="preserve">ASRI </v>
          </cell>
          <cell r="D271">
            <v>78027605</v>
          </cell>
          <cell r="E271">
            <v>4120176894</v>
          </cell>
          <cell r="F271" t="str">
            <v>54</v>
          </cell>
          <cell r="G271" t="str">
            <v>Perjalanan Dinas Non-Diklat</v>
          </cell>
          <cell r="H271" t="str">
            <v>Kota Makassar - Kota Baubau</v>
          </cell>
          <cell r="I271" t="str">
            <v>28/07/2025 - 04/08/2025</v>
          </cell>
          <cell r="J271" t="str">
            <v>8</v>
          </cell>
          <cell r="K271" t="str">
            <v>Flight One Way</v>
          </cell>
          <cell r="L271" t="str">
            <v>30-07-2025 21:06:01</v>
          </cell>
          <cell r="M271" t="str">
            <v>Super Air Jet  BUW Betoambari IU-573 - Super Air Jet  UPG Hasanuddin IU-573</v>
          </cell>
          <cell r="N271" t="str">
            <v>SOF LOLA KIT</v>
          </cell>
          <cell r="O271" t="str">
            <v>7412000</v>
          </cell>
          <cell r="P271" t="str">
            <v>04/08/2025 15:35:00 - 04/08/2025 16:20:00</v>
          </cell>
          <cell r="Q271">
            <v>744200</v>
          </cell>
          <cell r="R271" t="str">
            <v>SUCCESS</v>
          </cell>
        </row>
        <row r="272">
          <cell r="A272">
            <v>1273416146</v>
          </cell>
          <cell r="B272" t="str">
            <v>7802025F</v>
          </cell>
          <cell r="C272" t="str">
            <v xml:space="preserve">ASRI </v>
          </cell>
          <cell r="D272">
            <v>78027605</v>
          </cell>
          <cell r="E272">
            <v>4120176894</v>
          </cell>
          <cell r="F272" t="str">
            <v>54</v>
          </cell>
          <cell r="G272" t="str">
            <v>Perjalanan Dinas Non-Diklat</v>
          </cell>
          <cell r="H272" t="str">
            <v>Kota Makassar - Kota Baubau</v>
          </cell>
          <cell r="I272" t="str">
            <v>28/07/2025 - 04/08/2025</v>
          </cell>
          <cell r="J272" t="str">
            <v>8</v>
          </cell>
          <cell r="K272" t="str">
            <v>Hotel</v>
          </cell>
          <cell r="L272" t="str">
            <v>31-07-2025 20:15:46</v>
          </cell>
          <cell r="M272" t="str">
            <v xml:space="preserve">Zenith Premiere Hotel Baubau - 3.0 Stars  - </v>
          </cell>
          <cell r="N272" t="str">
            <v>SOF LOLA KIT</v>
          </cell>
          <cell r="O272" t="str">
            <v>7412000</v>
          </cell>
          <cell r="P272" t="str">
            <v>02/08/2025 14:00:00 - 04/08/2025 12:00:00</v>
          </cell>
          <cell r="Q272">
            <v>1640300</v>
          </cell>
          <cell r="R272" t="str">
            <v>SUCCESS</v>
          </cell>
        </row>
        <row r="273">
          <cell r="A273">
            <v>1273170749</v>
          </cell>
          <cell r="B273" t="str">
            <v>7802025F</v>
          </cell>
          <cell r="C273" t="str">
            <v xml:space="preserve">ASRI </v>
          </cell>
          <cell r="D273">
            <v>78027605</v>
          </cell>
          <cell r="E273">
            <v>4120176894</v>
          </cell>
          <cell r="F273" t="str">
            <v>54</v>
          </cell>
          <cell r="G273" t="str">
            <v>Perjalanan Dinas Non-Diklat</v>
          </cell>
          <cell r="H273" t="str">
            <v>Kota Makassar - Kota Baubau</v>
          </cell>
          <cell r="I273" t="str">
            <v>28/07/2025 - 04/08/2025</v>
          </cell>
          <cell r="J273" t="str">
            <v>8</v>
          </cell>
          <cell r="K273" t="str">
            <v>Hotel</v>
          </cell>
          <cell r="L273" t="str">
            <v>30-07-2025 20:57:48</v>
          </cell>
          <cell r="M273" t="str">
            <v xml:space="preserve">Zenith Premiere Hotel Baubau - 3.0 Stars  - </v>
          </cell>
          <cell r="N273" t="str">
            <v>SOF LOLA KIT</v>
          </cell>
          <cell r="O273" t="str">
            <v>7412000</v>
          </cell>
          <cell r="P273" t="str">
            <v>01/08/2025 14:00:00 - 02/08/2025 12:00:00</v>
          </cell>
          <cell r="Q273">
            <v>820150</v>
          </cell>
          <cell r="R273" t="str">
            <v>SUCCESS</v>
          </cell>
        </row>
        <row r="274">
          <cell r="A274">
            <v>1271950196</v>
          </cell>
          <cell r="B274" t="str">
            <v>8206051F</v>
          </cell>
          <cell r="C274" t="str">
            <v xml:space="preserve">FIRMANSYAH </v>
          </cell>
          <cell r="D274">
            <v>82067606</v>
          </cell>
          <cell r="E274">
            <v>4120176899</v>
          </cell>
          <cell r="F274" t="str">
            <v>54</v>
          </cell>
          <cell r="G274" t="str">
            <v>Perjalanan Dinas Non-Diklat</v>
          </cell>
          <cell r="H274" t="str">
            <v>Kota Makassar - Kota Baubau</v>
          </cell>
          <cell r="I274" t="str">
            <v>28/07/2025 - 04/08/2025</v>
          </cell>
          <cell r="J274" t="str">
            <v>8</v>
          </cell>
          <cell r="K274" t="str">
            <v>Flight One Way</v>
          </cell>
          <cell r="L274" t="str">
            <v>25-07-2025 15:54:30</v>
          </cell>
          <cell r="M274" t="str">
            <v>Super Air Jet  UPG Hasanuddin IU-572 - Super Air Jet  BUW Betoambari IU-572</v>
          </cell>
          <cell r="N274" t="str">
            <v>SOF EFS, UKUR DAN MUTU SIS DIST</v>
          </cell>
          <cell r="O274" t="str">
            <v>7412000</v>
          </cell>
          <cell r="P274" t="str">
            <v>28/07/2025 14:10:00 - 28/07/2025 14:55:00</v>
          </cell>
          <cell r="Q274">
            <v>805200</v>
          </cell>
          <cell r="R274" t="str">
            <v>SUCCESS</v>
          </cell>
        </row>
        <row r="275">
          <cell r="A275">
            <v>1273429727</v>
          </cell>
          <cell r="B275" t="str">
            <v>8206051F</v>
          </cell>
          <cell r="C275" t="str">
            <v xml:space="preserve">FIRMANSYAH </v>
          </cell>
          <cell r="D275">
            <v>82067606</v>
          </cell>
          <cell r="E275">
            <v>4120176899</v>
          </cell>
          <cell r="F275" t="str">
            <v>54</v>
          </cell>
          <cell r="G275" t="str">
            <v>Perjalanan Dinas Non-Diklat</v>
          </cell>
          <cell r="H275" t="str">
            <v>Kota Makassar - Kota Baubau</v>
          </cell>
          <cell r="I275" t="str">
            <v>28/07/2025 - 04/08/2025</v>
          </cell>
          <cell r="J275" t="str">
            <v>8</v>
          </cell>
          <cell r="K275" t="str">
            <v>Hotel</v>
          </cell>
          <cell r="L275" t="str">
            <v>31-07-2025 21:06:33</v>
          </cell>
          <cell r="M275" t="str">
            <v xml:space="preserve">Zenith Premiere Hotel Baubau - 3.0 Stars  - </v>
          </cell>
          <cell r="N275" t="str">
            <v>SOF EFS, UKUR DAN MUTU SIS DIST</v>
          </cell>
          <cell r="O275" t="str">
            <v>7412000</v>
          </cell>
          <cell r="P275" t="str">
            <v>02/08/2025 14:00:00 - 04/08/2025 12:00:00</v>
          </cell>
          <cell r="Q275">
            <v>1386300</v>
          </cell>
          <cell r="R275" t="str">
            <v>SUCCESS</v>
          </cell>
        </row>
        <row r="276">
          <cell r="A276">
            <v>1273173334</v>
          </cell>
          <cell r="B276" t="str">
            <v>8206051F</v>
          </cell>
          <cell r="C276" t="str">
            <v xml:space="preserve">FIRMANSYAH </v>
          </cell>
          <cell r="D276">
            <v>82067606</v>
          </cell>
          <cell r="E276">
            <v>4120176899</v>
          </cell>
          <cell r="F276" t="str">
            <v>54</v>
          </cell>
          <cell r="G276" t="str">
            <v>Perjalanan Dinas Non-Diklat</v>
          </cell>
          <cell r="H276" t="str">
            <v>Kota Makassar - Kota Baubau</v>
          </cell>
          <cell r="I276" t="str">
            <v>28/07/2025 - 04/08/2025</v>
          </cell>
          <cell r="J276" t="str">
            <v>8</v>
          </cell>
          <cell r="K276" t="str">
            <v>Flight One Way</v>
          </cell>
          <cell r="L276" t="str">
            <v>30-07-2025 21:09:15</v>
          </cell>
          <cell r="M276" t="str">
            <v>Super Air Jet  BUW Betoambari IU-573 - Super Air Jet  UPG Hasanuddin IU-573</v>
          </cell>
          <cell r="N276" t="str">
            <v>SOF EFS, UKUR DAN MUTU SIS DIST</v>
          </cell>
          <cell r="O276" t="str">
            <v>7412000</v>
          </cell>
          <cell r="P276" t="str">
            <v>04/08/2025 15:35:00 - 04/08/2025 16:20:00</v>
          </cell>
          <cell r="Q276">
            <v>744200</v>
          </cell>
          <cell r="R276" t="str">
            <v>SUCCESS</v>
          </cell>
        </row>
        <row r="277">
          <cell r="A277">
            <v>1273171814</v>
          </cell>
          <cell r="B277" t="str">
            <v>8206051F</v>
          </cell>
          <cell r="C277" t="str">
            <v xml:space="preserve">FIRMANSYAH </v>
          </cell>
          <cell r="D277">
            <v>82067606</v>
          </cell>
          <cell r="E277">
            <v>4120176899</v>
          </cell>
          <cell r="F277" t="str">
            <v>54</v>
          </cell>
          <cell r="G277" t="str">
            <v>Perjalanan Dinas Non-Diklat</v>
          </cell>
          <cell r="H277" t="str">
            <v>Kota Makassar - Kota Baubau</v>
          </cell>
          <cell r="I277" t="str">
            <v>28/07/2025 - 04/08/2025</v>
          </cell>
          <cell r="J277" t="str">
            <v>8</v>
          </cell>
          <cell r="K277" t="str">
            <v>Hotel</v>
          </cell>
          <cell r="L277" t="str">
            <v>30-07-2025 21:02:37</v>
          </cell>
          <cell r="M277" t="str">
            <v xml:space="preserve">Zenith Premiere Hotel Baubau - 3.0 Stars  - </v>
          </cell>
          <cell r="N277" t="str">
            <v>SOF EFS, UKUR DAN MUTU SIS DIST</v>
          </cell>
          <cell r="O277" t="str">
            <v>7412000</v>
          </cell>
          <cell r="P277" t="str">
            <v>31/07/2025 14:00:00 - 02/08/2025 12:00:00</v>
          </cell>
          <cell r="Q277">
            <v>1629350</v>
          </cell>
          <cell r="R277" t="str">
            <v>SUCCESS</v>
          </cell>
        </row>
        <row r="278">
          <cell r="A278">
            <v>1271951075</v>
          </cell>
          <cell r="B278" t="str">
            <v>8206051F</v>
          </cell>
          <cell r="C278" t="str">
            <v xml:space="preserve">FIRMANSYAH </v>
          </cell>
          <cell r="D278">
            <v>82067606</v>
          </cell>
          <cell r="E278">
            <v>4120176899</v>
          </cell>
          <cell r="F278" t="str">
            <v>54</v>
          </cell>
          <cell r="G278" t="str">
            <v>Perjalanan Dinas Non-Diklat</v>
          </cell>
          <cell r="H278" t="str">
            <v>Kota Makassar - Kota Baubau</v>
          </cell>
          <cell r="I278" t="str">
            <v>28/07/2025 - 04/08/2025</v>
          </cell>
          <cell r="J278" t="str">
            <v>8</v>
          </cell>
          <cell r="K278" t="str">
            <v>Hotel</v>
          </cell>
          <cell r="L278" t="str">
            <v>25-07-2025 15:57:35</v>
          </cell>
          <cell r="M278" t="str">
            <v xml:space="preserve">Zenith Premiere Hotel Baubau - 3.0 Stars  - </v>
          </cell>
          <cell r="N278" t="str">
            <v>SOF EFS, UKUR DAN MUTU SIS DIST</v>
          </cell>
          <cell r="O278" t="str">
            <v>7412000</v>
          </cell>
          <cell r="P278" t="str">
            <v>28/07/2025 14:00:00 - 29/07/2025 12:00:00</v>
          </cell>
          <cell r="Q278">
            <v>694100</v>
          </cell>
          <cell r="R278" t="str">
            <v>SUCCESS</v>
          </cell>
        </row>
        <row r="279">
          <cell r="A279">
            <v>1271950757</v>
          </cell>
          <cell r="B279" t="str">
            <v>8409205Z</v>
          </cell>
          <cell r="C279" t="str">
            <v>AMSAR SAPUTRA</v>
          </cell>
          <cell r="D279">
            <v>84098001</v>
          </cell>
          <cell r="E279">
            <v>4120176893</v>
          </cell>
          <cell r="F279" t="str">
            <v>54</v>
          </cell>
          <cell r="G279" t="str">
            <v>Perjalanan Dinas Non-Diklat</v>
          </cell>
          <cell r="H279" t="str">
            <v>Kota Baubau - Kota Baubau</v>
          </cell>
          <cell r="I279" t="str">
            <v>28/07/2025 - 04/08/2025</v>
          </cell>
          <cell r="J279" t="str">
            <v>8</v>
          </cell>
          <cell r="K279" t="str">
            <v>Hotel</v>
          </cell>
          <cell r="L279" t="str">
            <v>25-07-2025 15:56:17</v>
          </cell>
          <cell r="M279" t="str">
            <v xml:space="preserve">Zenith Premiere Hotel Baubau - 3.0 Stars  - </v>
          </cell>
          <cell r="N279" t="str">
            <v>SOF LOLA KIT</v>
          </cell>
          <cell r="O279" t="str">
            <v>7412000</v>
          </cell>
          <cell r="P279" t="str">
            <v>28/07/2025 14:00:00 - 29/07/2025 12:00:00</v>
          </cell>
          <cell r="Q279">
            <v>809200</v>
          </cell>
          <cell r="R279" t="str">
            <v>SUCCESS</v>
          </cell>
        </row>
        <row r="280">
          <cell r="A280">
            <v>1273174059</v>
          </cell>
          <cell r="B280" t="str">
            <v>8409205Z</v>
          </cell>
          <cell r="C280" t="str">
            <v>AMSAR SAPUTRA</v>
          </cell>
          <cell r="D280">
            <v>84098001</v>
          </cell>
          <cell r="E280">
            <v>4120176893</v>
          </cell>
          <cell r="F280" t="str">
            <v>54</v>
          </cell>
          <cell r="G280" t="str">
            <v>Perjalanan Dinas Non-Diklat</v>
          </cell>
          <cell r="H280" t="str">
            <v>Kota Baubau - Kota Baubau</v>
          </cell>
          <cell r="I280" t="str">
            <v>28/07/2025 - 04/08/2025</v>
          </cell>
          <cell r="J280" t="str">
            <v>8</v>
          </cell>
          <cell r="K280" t="str">
            <v>Flight One Way</v>
          </cell>
          <cell r="L280" t="str">
            <v>30-07-2025 21:12:27</v>
          </cell>
          <cell r="M280" t="str">
            <v>Super Air Jet  BUW Betoambari IU-573 - Super Air Jet  UPG Hasanuddin IU-573</v>
          </cell>
          <cell r="N280" t="str">
            <v>SOF LOLA KIT</v>
          </cell>
          <cell r="O280" t="str">
            <v>7412000</v>
          </cell>
          <cell r="P280" t="str">
            <v>04/08/2025 15:35:00 - 04/08/2025 16:20:00</v>
          </cell>
          <cell r="Q280">
            <v>744200</v>
          </cell>
          <cell r="R280" t="str">
            <v>SUCCESS</v>
          </cell>
        </row>
        <row r="281">
          <cell r="A281">
            <v>1273422442</v>
          </cell>
          <cell r="B281" t="str">
            <v>8409205Z</v>
          </cell>
          <cell r="C281" t="str">
            <v>AMSAR SAPUTRA</v>
          </cell>
          <cell r="D281">
            <v>84098001</v>
          </cell>
          <cell r="E281">
            <v>4120176893</v>
          </cell>
          <cell r="F281" t="str">
            <v>54</v>
          </cell>
          <cell r="G281" t="str">
            <v>Perjalanan Dinas Non-Diklat</v>
          </cell>
          <cell r="H281" t="str">
            <v>Kota Baubau - Kota Baubau</v>
          </cell>
          <cell r="I281" t="str">
            <v>28/07/2025 - 04/08/2025</v>
          </cell>
          <cell r="J281" t="str">
            <v>8</v>
          </cell>
          <cell r="K281" t="str">
            <v>Hotel</v>
          </cell>
          <cell r="L281" t="str">
            <v>31-07-2025 20:39:42</v>
          </cell>
          <cell r="M281" t="str">
            <v xml:space="preserve">Zenith Premiere Hotel Baubau - 3.0 Stars  - </v>
          </cell>
          <cell r="N281" t="str">
            <v>SOF LOLA KIT</v>
          </cell>
          <cell r="O281" t="str">
            <v>7412000</v>
          </cell>
          <cell r="P281" t="str">
            <v>02/08/2025 14:00:00 - 04/08/2025 12:00:00</v>
          </cell>
          <cell r="Q281">
            <v>1640300</v>
          </cell>
          <cell r="R281" t="str">
            <v>SUCCESS</v>
          </cell>
        </row>
        <row r="282">
          <cell r="A282">
            <v>1273172842</v>
          </cell>
          <cell r="B282" t="str">
            <v>8409205Z</v>
          </cell>
          <cell r="C282" t="str">
            <v>AMSAR SAPUTRA</v>
          </cell>
          <cell r="D282">
            <v>84098001</v>
          </cell>
          <cell r="E282">
            <v>4120176893</v>
          </cell>
          <cell r="F282" t="str">
            <v>54</v>
          </cell>
          <cell r="G282" t="str">
            <v>Perjalanan Dinas Non-Diklat</v>
          </cell>
          <cell r="H282" t="str">
            <v>Kota Baubau - Kota Baubau</v>
          </cell>
          <cell r="I282" t="str">
            <v>28/07/2025 - 04/08/2025</v>
          </cell>
          <cell r="J282" t="str">
            <v>8</v>
          </cell>
          <cell r="K282" t="str">
            <v>Hotel</v>
          </cell>
          <cell r="L282" t="str">
            <v>30-07-2025 21:06:59</v>
          </cell>
          <cell r="M282" t="str">
            <v xml:space="preserve">Zenith Premiere Hotel Baubau - 3.0 Stars  - </v>
          </cell>
          <cell r="N282" t="str">
            <v>SOF LOLA KIT</v>
          </cell>
          <cell r="O282" t="str">
            <v>7412000</v>
          </cell>
          <cell r="P282" t="str">
            <v>01/08/2025 14:00:00 - 02/08/2025 12:00:00</v>
          </cell>
          <cell r="Q282">
            <v>693150</v>
          </cell>
          <cell r="R282" t="str">
            <v>SUCCESS</v>
          </cell>
        </row>
        <row r="283">
          <cell r="A283">
            <v>1273145526</v>
          </cell>
          <cell r="B283" t="str">
            <v>8409205Z</v>
          </cell>
          <cell r="C283" t="str">
            <v>AMSAR SAPUTRA</v>
          </cell>
          <cell r="D283">
            <v>84098001</v>
          </cell>
          <cell r="E283">
            <v>4120176893</v>
          </cell>
          <cell r="F283" t="str">
            <v>54</v>
          </cell>
          <cell r="G283" t="str">
            <v>Perjalanan Dinas Non-Diklat</v>
          </cell>
          <cell r="H283" t="str">
            <v>Kota Baubau - Kota Baubau</v>
          </cell>
          <cell r="I283" t="str">
            <v>28/07/2025 - 04/08/2025</v>
          </cell>
          <cell r="J283" t="str">
            <v>8</v>
          </cell>
          <cell r="K283" t="str">
            <v>Hotel</v>
          </cell>
          <cell r="L283" t="str">
            <v>30-07-2025 19:12:02</v>
          </cell>
          <cell r="M283" t="str">
            <v xml:space="preserve">Zenith Premiere Hotel Baubau - 3.0 Stars  - </v>
          </cell>
          <cell r="N283" t="str">
            <v>SOF LOLA KIT</v>
          </cell>
          <cell r="O283" t="str">
            <v>7412000</v>
          </cell>
          <cell r="P283" t="str">
            <v>31/07/2025 14:00:00 - 01/08/2025 12:00:00</v>
          </cell>
          <cell r="Q283">
            <v>809200</v>
          </cell>
          <cell r="R283" t="str">
            <v>SUCCESS</v>
          </cell>
        </row>
        <row r="284">
          <cell r="A284">
            <v>1271947855</v>
          </cell>
          <cell r="B284" t="str">
            <v>8409205Z</v>
          </cell>
          <cell r="C284" t="str">
            <v>AMSAR SAPUTRA</v>
          </cell>
          <cell r="D284">
            <v>84098001</v>
          </cell>
          <cell r="E284">
            <v>4120176893</v>
          </cell>
          <cell r="F284" t="str">
            <v>54</v>
          </cell>
          <cell r="G284" t="str">
            <v>Perjalanan Dinas Non-Diklat</v>
          </cell>
          <cell r="H284" t="str">
            <v>Kota Baubau - Kota Baubau</v>
          </cell>
          <cell r="I284" t="str">
            <v>28/07/2025 - 04/08/2025</v>
          </cell>
          <cell r="J284" t="str">
            <v>8</v>
          </cell>
          <cell r="K284" t="str">
            <v>Flight One Way</v>
          </cell>
          <cell r="L284" t="str">
            <v>25-07-2025 15:45:27</v>
          </cell>
          <cell r="M284" t="str">
            <v>Super Air Jet  UPG Hasanuddin IU-572 - Super Air Jet  BUW Betoambari IU-572</v>
          </cell>
          <cell r="N284" t="str">
            <v>SOF LOLA KIT</v>
          </cell>
          <cell r="O284" t="str">
            <v>7412000</v>
          </cell>
          <cell r="P284" t="str">
            <v>28/07/2025 14:10:00 - 28/07/2025 14:55:00</v>
          </cell>
          <cell r="Q284">
            <v>805200</v>
          </cell>
          <cell r="R284" t="str">
            <v>SUCCESS</v>
          </cell>
        </row>
        <row r="285">
          <cell r="A285">
            <v>1273173437</v>
          </cell>
          <cell r="B285" t="str">
            <v>7393076F</v>
          </cell>
          <cell r="C285" t="str">
            <v>HAYAT MAKMUR</v>
          </cell>
          <cell r="D285">
            <v>73937618</v>
          </cell>
          <cell r="E285">
            <v>4120176892</v>
          </cell>
          <cell r="F285" t="str">
            <v>54</v>
          </cell>
          <cell r="G285" t="str">
            <v>Perjalanan Dinas Non-Diklat</v>
          </cell>
          <cell r="H285" t="str">
            <v>Kota Makassar - Kota Baubau</v>
          </cell>
          <cell r="I285" t="str">
            <v>28/07/2025 - 04/08/2025</v>
          </cell>
          <cell r="J285" t="str">
            <v>8</v>
          </cell>
          <cell r="K285" t="str">
            <v>Flight One Way</v>
          </cell>
          <cell r="L285" t="str">
            <v>30-07-2025 21:09:41</v>
          </cell>
          <cell r="M285" t="str">
            <v>Super Air Jet  BUW Betoambari IU-573 - Super Air Jet  UPG Hasanuddin IU-573</v>
          </cell>
          <cell r="N285" t="str">
            <v>SPC KIN DIST</v>
          </cell>
          <cell r="O285" t="str">
            <v>7412000</v>
          </cell>
          <cell r="P285" t="str">
            <v>04/08/2025 15:35:00 - 04/08/2025 16:20:00</v>
          </cell>
          <cell r="Q285">
            <v>744200</v>
          </cell>
          <cell r="R285" t="str">
            <v>SUCCESS</v>
          </cell>
        </row>
        <row r="286">
          <cell r="A286">
            <v>1273484672</v>
          </cell>
          <cell r="B286" t="str">
            <v>7393076F</v>
          </cell>
          <cell r="C286" t="str">
            <v>HAYAT MAKMUR</v>
          </cell>
          <cell r="D286">
            <v>73937618</v>
          </cell>
          <cell r="E286">
            <v>4120176892</v>
          </cell>
          <cell r="F286" t="str">
            <v>54</v>
          </cell>
          <cell r="G286" t="str">
            <v>Perjalanan Dinas Non-Diklat</v>
          </cell>
          <cell r="H286" t="str">
            <v>Kota Makassar - Kota Baubau</v>
          </cell>
          <cell r="I286" t="str">
            <v>28/07/2025 - 04/08/2025</v>
          </cell>
          <cell r="J286" t="str">
            <v>8</v>
          </cell>
          <cell r="K286" t="str">
            <v>Hotel</v>
          </cell>
          <cell r="L286" t="str">
            <v>01-08-2025 05:56:50</v>
          </cell>
          <cell r="M286" t="str">
            <v xml:space="preserve">Zenith Premiere Hotel Baubau - 3.0 Stars  - </v>
          </cell>
          <cell r="N286" t="str">
            <v>SPC KIN DIST</v>
          </cell>
          <cell r="O286" t="str">
            <v>7412000</v>
          </cell>
          <cell r="P286" t="str">
            <v>02/08/2025 14:00:00 - 04/08/2025 12:00:00</v>
          </cell>
          <cell r="Q286">
            <v>1640300</v>
          </cell>
          <cell r="R286" t="str">
            <v>SUCCESS</v>
          </cell>
        </row>
        <row r="287">
          <cell r="A287">
            <v>1271946688</v>
          </cell>
          <cell r="B287" t="str">
            <v>7393076F</v>
          </cell>
          <cell r="C287" t="str">
            <v>HAYAT MAKMUR</v>
          </cell>
          <cell r="D287">
            <v>73937618</v>
          </cell>
          <cell r="E287">
            <v>4120176892</v>
          </cell>
          <cell r="F287" t="str">
            <v>54</v>
          </cell>
          <cell r="G287" t="str">
            <v>Perjalanan Dinas Non-Diklat</v>
          </cell>
          <cell r="H287" t="str">
            <v>Kota Makassar - Kota Baubau</v>
          </cell>
          <cell r="I287" t="str">
            <v>28/07/2025 - 04/08/2025</v>
          </cell>
          <cell r="J287" t="str">
            <v>8</v>
          </cell>
          <cell r="K287" t="str">
            <v>Flight One Way</v>
          </cell>
          <cell r="L287" t="str">
            <v>25-07-2025 15:40:15</v>
          </cell>
          <cell r="M287" t="str">
            <v>Super Air Jet  UPG Hasanuddin IU-572 - Super Air Jet  BUW Betoambari IU-572</v>
          </cell>
          <cell r="N287" t="str">
            <v>SPC KIN DIST</v>
          </cell>
          <cell r="O287" t="str">
            <v>7412000</v>
          </cell>
          <cell r="P287" t="str">
            <v>28/07/2025 14:10:00 - 28/07/2025 14:55:00</v>
          </cell>
          <cell r="Q287">
            <v>805200</v>
          </cell>
          <cell r="R287" t="str">
            <v>SUCCESS</v>
          </cell>
        </row>
        <row r="288">
          <cell r="A288">
            <v>1271947865</v>
          </cell>
          <cell r="B288" t="str">
            <v>7393076F</v>
          </cell>
          <cell r="C288" t="str">
            <v>HAYAT MAKMUR</v>
          </cell>
          <cell r="D288">
            <v>73937618</v>
          </cell>
          <cell r="E288">
            <v>4120176892</v>
          </cell>
          <cell r="F288" t="str">
            <v>54</v>
          </cell>
          <cell r="G288" t="str">
            <v>Perjalanan Dinas Non-Diklat</v>
          </cell>
          <cell r="H288" t="str">
            <v>Kota Makassar - Kota Baubau</v>
          </cell>
          <cell r="I288" t="str">
            <v>28/07/2025 - 04/08/2025</v>
          </cell>
          <cell r="J288" t="str">
            <v>8</v>
          </cell>
          <cell r="K288" t="str">
            <v>Hotel</v>
          </cell>
          <cell r="L288" t="str">
            <v>25-07-2025 15:45:04</v>
          </cell>
          <cell r="M288" t="str">
            <v xml:space="preserve">Zenith Premiere Hotel Baubau - 3.0 Stars  - </v>
          </cell>
          <cell r="N288" t="str">
            <v>SPC KIN DIST</v>
          </cell>
          <cell r="O288" t="str">
            <v>7412000</v>
          </cell>
          <cell r="P288" t="str">
            <v>28/07/2025 14:00:00 - 29/07/2025 12:00:00</v>
          </cell>
          <cell r="Q288">
            <v>809200</v>
          </cell>
          <cell r="R288" t="str">
            <v>SUCCESS</v>
          </cell>
        </row>
        <row r="289">
          <cell r="A289">
            <v>1273146450</v>
          </cell>
          <cell r="B289" t="str">
            <v>7393076F</v>
          </cell>
          <cell r="C289" t="str">
            <v>HAYAT MAKMUR</v>
          </cell>
          <cell r="D289">
            <v>73937618</v>
          </cell>
          <cell r="E289">
            <v>4120176892</v>
          </cell>
          <cell r="F289" t="str">
            <v>54</v>
          </cell>
          <cell r="G289" t="str">
            <v>Perjalanan Dinas Non-Diklat</v>
          </cell>
          <cell r="H289" t="str">
            <v>Kota Makassar - Kota Baubau</v>
          </cell>
          <cell r="I289" t="str">
            <v>28/07/2025 - 04/08/2025</v>
          </cell>
          <cell r="J289" t="str">
            <v>8</v>
          </cell>
          <cell r="K289" t="str">
            <v>Hotel</v>
          </cell>
          <cell r="L289" t="str">
            <v>30-07-2025 19:15:59</v>
          </cell>
          <cell r="M289" t="str">
            <v xml:space="preserve">Zenith Premiere Hotel Baubau - 3.0 Stars  - </v>
          </cell>
          <cell r="N289" t="str">
            <v>SPC KIN DIST</v>
          </cell>
          <cell r="O289" t="str">
            <v>7412000</v>
          </cell>
          <cell r="P289" t="str">
            <v>31/07/2025 14:00:00 - 02/08/2025 12:00:00</v>
          </cell>
          <cell r="Q289">
            <v>1629350</v>
          </cell>
          <cell r="R289" t="str">
            <v>SUCCESS</v>
          </cell>
        </row>
        <row r="290">
          <cell r="A290">
            <v>1272026631</v>
          </cell>
          <cell r="B290" t="str">
            <v>9520543ZY</v>
          </cell>
          <cell r="C290" t="str">
            <v>FRANZ TRYWANDI SARAGI NAPITU</v>
          </cell>
          <cell r="D290">
            <v>95207602</v>
          </cell>
          <cell r="E290">
            <v>4120176867</v>
          </cell>
          <cell r="F290" t="str">
            <v>54</v>
          </cell>
          <cell r="G290" t="str">
            <v>Perjalanan Dinas Non-Diklat</v>
          </cell>
          <cell r="H290" t="str">
            <v>Kab. Wakatobi - Kab. Bandung</v>
          </cell>
          <cell r="I290" t="str">
            <v>27/07/2025 - 02/08/2025</v>
          </cell>
          <cell r="J290" t="str">
            <v>7</v>
          </cell>
          <cell r="K290" t="str">
            <v>Hotel</v>
          </cell>
          <cell r="L290" t="str">
            <v>25-07-2025 20:57:10</v>
          </cell>
          <cell r="M290" t="str">
            <v xml:space="preserve">favehotel Premier Cihampelas - 3.0 Stars  - </v>
          </cell>
          <cell r="N290" t="str">
            <v>TL TE LAY GAN</v>
          </cell>
          <cell r="O290" t="str">
            <v>7409652</v>
          </cell>
          <cell r="P290" t="str">
            <v>27/07/2025 14:00:00 - 02/08/2025 12:00:00</v>
          </cell>
          <cell r="Q290">
            <v>3824238</v>
          </cell>
          <cell r="R290" t="str">
            <v>SUCCESS</v>
          </cell>
        </row>
        <row r="291">
          <cell r="A291">
            <v>1271898547</v>
          </cell>
          <cell r="B291" t="str">
            <v>8307221Z</v>
          </cell>
          <cell r="C291" t="str">
            <v>JONI ALEXANDER HEYT SITORUS</v>
          </cell>
          <cell r="D291">
            <v>83075800</v>
          </cell>
          <cell r="E291">
            <v>4120176881</v>
          </cell>
          <cell r="F291" t="str">
            <v>54</v>
          </cell>
          <cell r="G291" t="str">
            <v>Perjalanan Dinas Non-Diklat</v>
          </cell>
          <cell r="H291" t="str">
            <v>Kota Kendari - Kota Makassar</v>
          </cell>
          <cell r="I291" t="str">
            <v>27/07/2025 - 29/07/2025</v>
          </cell>
          <cell r="J291" t="str">
            <v>3</v>
          </cell>
          <cell r="K291" t="str">
            <v>Flight One Way</v>
          </cell>
          <cell r="L291" t="str">
            <v>25-07-2025 12:42:27</v>
          </cell>
          <cell r="M291" t="str">
            <v>Lion Air  KDI Haluoleo JT-993 - Lion Air Domestic UPG Hasanuddin JT-993</v>
          </cell>
          <cell r="N291" t="str">
            <v>MUP UP2K (PROV SULTRA)</v>
          </cell>
          <cell r="O291" t="str">
            <v>7412240</v>
          </cell>
          <cell r="P291" t="str">
            <v>27/07/2025 14:30:00 - 27/07/2025 15:25:00</v>
          </cell>
          <cell r="Q291">
            <v>695400</v>
          </cell>
          <cell r="R291" t="str">
            <v>SUCCESS</v>
          </cell>
        </row>
        <row r="292">
          <cell r="A292">
            <v>1271901257</v>
          </cell>
          <cell r="B292" t="str">
            <v>8307221Z</v>
          </cell>
          <cell r="C292" t="str">
            <v>JONI ALEXANDER HEYT SITORUS</v>
          </cell>
          <cell r="D292">
            <v>83075800</v>
          </cell>
          <cell r="E292">
            <v>4120176881</v>
          </cell>
          <cell r="F292" t="str">
            <v>54</v>
          </cell>
          <cell r="G292" t="str">
            <v>Perjalanan Dinas Non-Diklat</v>
          </cell>
          <cell r="H292" t="str">
            <v>Kota Kendari - Kota Makassar</v>
          </cell>
          <cell r="I292" t="str">
            <v>27/07/2025 - 29/07/2025</v>
          </cell>
          <cell r="J292" t="str">
            <v>3</v>
          </cell>
          <cell r="K292" t="str">
            <v>Hotel</v>
          </cell>
          <cell r="L292" t="str">
            <v>25-07-2025 12:52:31</v>
          </cell>
          <cell r="M292" t="str">
            <v xml:space="preserve">MYKO Hotel &amp; Convention Center Makassar - 4.0 Stars  - </v>
          </cell>
          <cell r="N292" t="str">
            <v>MUP UP2K (PROV SULTRA)</v>
          </cell>
          <cell r="O292" t="str">
            <v>7412240</v>
          </cell>
          <cell r="P292" t="str">
            <v>27/07/2025 14:00:00 - 29/07/2025 12:00:00</v>
          </cell>
          <cell r="Q292">
            <v>2056250</v>
          </cell>
          <cell r="R292" t="str">
            <v>SUCCESS</v>
          </cell>
        </row>
        <row r="293">
          <cell r="A293">
            <v>1272118760</v>
          </cell>
          <cell r="B293" t="str">
            <v>8006523Z</v>
          </cell>
          <cell r="C293" t="str">
            <v>M. FAUZAN</v>
          </cell>
          <cell r="D293">
            <v>80065602</v>
          </cell>
          <cell r="E293">
            <v>4120176868</v>
          </cell>
          <cell r="F293" t="str">
            <v>54</v>
          </cell>
          <cell r="G293" t="str">
            <v>Perjalanan Dinas Non-Diklat</v>
          </cell>
          <cell r="H293" t="str">
            <v>Kab. Mamuju - Kota Makassar</v>
          </cell>
          <cell r="I293" t="str">
            <v>27/07/2025 - 29/07/2025</v>
          </cell>
          <cell r="J293" t="str">
            <v>3</v>
          </cell>
          <cell r="K293" t="str">
            <v>Hotel</v>
          </cell>
          <cell r="L293" t="str">
            <v>26-07-2025 09:58:08</v>
          </cell>
          <cell r="M293" t="str">
            <v xml:space="preserve">MYKO Hotel &amp; Convention Center Makassar - 4.0 Stars  - </v>
          </cell>
          <cell r="N293" t="str">
            <v>MUP UP3 (MAMUJU)</v>
          </cell>
          <cell r="O293" t="str">
            <v>7412290</v>
          </cell>
          <cell r="P293" t="str">
            <v>27/07/2025 14:00:00 - 29/07/2025 12:00:00</v>
          </cell>
          <cell r="Q293">
            <v>2420000</v>
          </cell>
          <cell r="R293" t="str">
            <v>SUCCESS</v>
          </cell>
        </row>
        <row r="294">
          <cell r="A294">
            <v>1271967798</v>
          </cell>
          <cell r="B294" t="str">
            <v>8916770ZY</v>
          </cell>
          <cell r="C294" t="str">
            <v>EDDY TANDILINO</v>
          </cell>
          <cell r="D294">
            <v>89168000</v>
          </cell>
          <cell r="E294">
            <v>4120176878</v>
          </cell>
          <cell r="F294" t="str">
            <v>54</v>
          </cell>
          <cell r="G294" t="str">
            <v>Perjalanan Dinas Non-Diklat</v>
          </cell>
          <cell r="H294" t="str">
            <v>Kota Makassar - Kota Surabaya</v>
          </cell>
          <cell r="I294" t="str">
            <v>27/07/2025 - 02/08/2025</v>
          </cell>
          <cell r="J294" t="str">
            <v>7</v>
          </cell>
          <cell r="K294" t="str">
            <v>Hotel</v>
          </cell>
          <cell r="L294" t="str">
            <v>25-07-2025 17:03:07</v>
          </cell>
          <cell r="M294" t="str">
            <v xml:space="preserve">ibis Surabaya City Center - 3.0 Stars  - </v>
          </cell>
          <cell r="N294" t="str">
            <v>OF REN SIS KELIST</v>
          </cell>
          <cell r="O294" t="str">
            <v>7412112</v>
          </cell>
          <cell r="P294" t="str">
            <v>27/07/2025 14:00:00 - 02/08/2025 12:00:00</v>
          </cell>
          <cell r="Q294">
            <v>2874999</v>
          </cell>
          <cell r="R294" t="str">
            <v>SUCCESS</v>
          </cell>
        </row>
        <row r="295">
          <cell r="A295">
            <v>1271950256</v>
          </cell>
          <cell r="B295" t="str">
            <v>8916770ZY</v>
          </cell>
          <cell r="C295" t="str">
            <v>EDDY TANDILINO</v>
          </cell>
          <cell r="D295">
            <v>89168000</v>
          </cell>
          <cell r="E295">
            <v>4120176878</v>
          </cell>
          <cell r="F295" t="str">
            <v>54</v>
          </cell>
          <cell r="G295" t="str">
            <v>Perjalanan Dinas Non-Diklat</v>
          </cell>
          <cell r="H295" t="str">
            <v>Kota Makassar - Kota Surabaya</v>
          </cell>
          <cell r="I295" t="str">
            <v>27/07/2025 - 02/08/2025</v>
          </cell>
          <cell r="J295" t="str">
            <v>7</v>
          </cell>
          <cell r="K295" t="str">
            <v>Flight Round-Trip</v>
          </cell>
          <cell r="L295" t="str">
            <v>25-07-2025 15:54:22</v>
          </cell>
          <cell r="M295" t="str">
            <v>Batik Air Domestic UPG Hasanuddin ID-6137 - Batik Air 1 SUB Juanda ID-6137</v>
          </cell>
          <cell r="N295" t="str">
            <v>OF REN SIS KELIST</v>
          </cell>
          <cell r="O295" t="str">
            <v>7412112</v>
          </cell>
          <cell r="P295" t="str">
            <v>27/07/2025 19:20:00 - 27/07/2025 19:50:00</v>
          </cell>
          <cell r="Q295">
            <v>2382400</v>
          </cell>
          <cell r="R295" t="str">
            <v>SUCCESS</v>
          </cell>
        </row>
        <row r="296">
          <cell r="A296">
            <v>1272011587</v>
          </cell>
          <cell r="B296" t="str">
            <v>8908070F</v>
          </cell>
          <cell r="C296" t="str">
            <v>IKRAM SAPRILLAH NATSIR</v>
          </cell>
          <cell r="D296">
            <v>89087613</v>
          </cell>
          <cell r="E296">
            <v>4120176858</v>
          </cell>
          <cell r="F296" t="str">
            <v>54</v>
          </cell>
          <cell r="G296" t="str">
            <v>Perjalanan Dinas Non-Diklat</v>
          </cell>
          <cell r="H296" t="str">
            <v>Kab. Enrekang - Kota Makassar</v>
          </cell>
          <cell r="I296" t="str">
            <v>27/07/2025 - 28/07/2025</v>
          </cell>
          <cell r="J296" t="str">
            <v>2</v>
          </cell>
          <cell r="K296" t="str">
            <v>Hotel</v>
          </cell>
          <cell r="L296" t="str">
            <v>25-07-2025 19:57:40</v>
          </cell>
          <cell r="M296" t="str">
            <v xml:space="preserve">Mercure Makassar Nexa Pettarani - 4.0 Stars  - </v>
          </cell>
          <cell r="N296" t="str">
            <v>MUL ULP (LAKAWAN)</v>
          </cell>
          <cell r="O296" t="str">
            <v>7409635</v>
          </cell>
          <cell r="P296" t="str">
            <v>27/07/2025 14:00:00 - 28/07/2025 12:00:00</v>
          </cell>
          <cell r="Q296">
            <v>965580</v>
          </cell>
          <cell r="R296" t="str">
            <v>SUCCESS</v>
          </cell>
        </row>
        <row r="297">
          <cell r="A297">
            <v>1271696729</v>
          </cell>
          <cell r="B297" t="str">
            <v>8609343Z</v>
          </cell>
          <cell r="C297" t="str">
            <v>ANDI SORAYA TENRI BAU</v>
          </cell>
          <cell r="D297">
            <v>86098669</v>
          </cell>
          <cell r="E297">
            <v>4120176865</v>
          </cell>
          <cell r="F297" t="str">
            <v>54</v>
          </cell>
          <cell r="G297" t="str">
            <v>Perjalanan Dinas Non-Diklat</v>
          </cell>
          <cell r="H297" t="str">
            <v>Kota Parepare - Kota Makassar</v>
          </cell>
          <cell r="I297" t="str">
            <v>27/07/2025 - 28/07/2025</v>
          </cell>
          <cell r="J297" t="str">
            <v>2</v>
          </cell>
          <cell r="K297" t="str">
            <v>Hotel</v>
          </cell>
          <cell r="L297" t="str">
            <v>24-07-2025 15:59:27</v>
          </cell>
          <cell r="M297" t="str">
            <v>CLARO Makassar - 4.0 Stars  - Deluxe King Bed</v>
          </cell>
          <cell r="N297" t="str">
            <v>ASMAN NPS</v>
          </cell>
          <cell r="O297" t="str">
            <v>7412223</v>
          </cell>
          <cell r="P297" t="str">
            <v>27/07/2025 14:00:00 - 28/07/2025 12:00:00</v>
          </cell>
          <cell r="Q297">
            <v>869842</v>
          </cell>
          <cell r="R297" t="str">
            <v>SUCCESS</v>
          </cell>
        </row>
        <row r="298">
          <cell r="A298">
            <v>1271689610</v>
          </cell>
          <cell r="B298" t="str">
            <v>9619978ZY</v>
          </cell>
          <cell r="C298" t="str">
            <v>BAYU BASKORO</v>
          </cell>
          <cell r="D298">
            <v>96197613</v>
          </cell>
          <cell r="E298">
            <v>4120176834</v>
          </cell>
          <cell r="F298" t="str">
            <v>54</v>
          </cell>
          <cell r="G298" t="str">
            <v>Perjalanan Dinas Diklat</v>
          </cell>
          <cell r="H298" t="str">
            <v>Kota Makassar - Kota Banjarbaru</v>
          </cell>
          <cell r="I298" t="str">
            <v>27/07/2025 - 02/08/2025</v>
          </cell>
          <cell r="J298" t="str">
            <v>7</v>
          </cell>
          <cell r="K298" t="str">
            <v>Flight Round-Trip</v>
          </cell>
          <cell r="L298" t="str">
            <v>24-07-2025 15:29:11</v>
          </cell>
          <cell r="M298" t="str">
            <v>Lion Air Domestic UPG Hasanuddin JT-523 - Lion Air Domestic BDJ Syamsudin Noor JT-523</v>
          </cell>
          <cell r="N298" t="str">
            <v>TC HAR DIST</v>
          </cell>
          <cell r="O298" t="str">
            <v>74092707</v>
          </cell>
          <cell r="P298" t="str">
            <v>27/07/2025 10:35:00 - 27/07/2025 11:50:00</v>
          </cell>
          <cell r="Q298">
            <v>4723900</v>
          </cell>
          <cell r="R298" t="str">
            <v>SUCCESS</v>
          </cell>
        </row>
        <row r="299">
          <cell r="A299">
            <v>1271726292</v>
          </cell>
          <cell r="B299" t="str">
            <v>9413111FY</v>
          </cell>
          <cell r="C299" t="str">
            <v>FAHMAN ISLAMI</v>
          </cell>
          <cell r="D299">
            <v>96137696</v>
          </cell>
          <cell r="E299">
            <v>4120176866</v>
          </cell>
          <cell r="F299" t="str">
            <v>54</v>
          </cell>
          <cell r="G299" t="str">
            <v>Perjalanan Dinas Non-Diklat</v>
          </cell>
          <cell r="H299" t="str">
            <v>Kab. Bone - Kota Makassar</v>
          </cell>
          <cell r="I299" t="str">
            <v>24/07/2025 - 26/07/2025</v>
          </cell>
          <cell r="J299" t="str">
            <v>3</v>
          </cell>
          <cell r="K299" t="str">
            <v>Hotel</v>
          </cell>
          <cell r="L299" t="str">
            <v>24-07-2025 18:06:15</v>
          </cell>
          <cell r="M299" t="str">
            <v xml:space="preserve">Swiss-Belinn Panakkukang - 3.0 Stars  - </v>
          </cell>
          <cell r="N299" t="str">
            <v>TL LAKS DAN</v>
          </cell>
          <cell r="O299" t="str">
            <v>7412230</v>
          </cell>
          <cell r="P299" t="str">
            <v>24/07/2025 14:00:00 - 26/07/2025 12:00:00</v>
          </cell>
          <cell r="Q299">
            <v>1465000</v>
          </cell>
          <cell r="R299" t="str">
            <v>SUCCESS</v>
          </cell>
        </row>
        <row r="300">
          <cell r="A300">
            <v>1271986781</v>
          </cell>
          <cell r="B300" t="str">
            <v>8908047F</v>
          </cell>
          <cell r="C300" t="str">
            <v>ZULKIFLI SETIOK</v>
          </cell>
          <cell r="D300">
            <v>89087622</v>
          </cell>
          <cell r="E300">
            <v>4120176864</v>
          </cell>
          <cell r="F300" t="str">
            <v>54</v>
          </cell>
          <cell r="G300" t="str">
            <v>Perjalanan Dinas Non-Diklat</v>
          </cell>
          <cell r="H300" t="str">
            <v>Kota Baubau - Kota Makassar</v>
          </cell>
          <cell r="I300" t="str">
            <v>27/07/2025 - 29/07/2025</v>
          </cell>
          <cell r="J300" t="str">
            <v>3</v>
          </cell>
          <cell r="K300" t="str">
            <v>Flight One Way</v>
          </cell>
          <cell r="L300" t="str">
            <v>25-07-2025 18:19:24</v>
          </cell>
          <cell r="M300" t="str">
            <v>Wings Air  BUW Betoambari IW-1305 - Wings Air Domestic UPG Hasanuddin IW-1305</v>
          </cell>
          <cell r="N300" t="str">
            <v>MUL ULP (PASAR WAJO)</v>
          </cell>
          <cell r="O300" t="str">
            <v>7409653</v>
          </cell>
          <cell r="P300" t="str">
            <v>27/07/2025 06:30:00 - 27/07/2025 07:40:00</v>
          </cell>
          <cell r="Q300">
            <v>1630700</v>
          </cell>
          <cell r="R300" t="str">
            <v>SUCCESS</v>
          </cell>
        </row>
        <row r="301">
          <cell r="A301">
            <v>1271990636</v>
          </cell>
          <cell r="B301" t="str">
            <v>8908047F</v>
          </cell>
          <cell r="C301" t="str">
            <v>ZULKIFLI SETIOK</v>
          </cell>
          <cell r="D301">
            <v>89087622</v>
          </cell>
          <cell r="E301">
            <v>4120176864</v>
          </cell>
          <cell r="F301" t="str">
            <v>54</v>
          </cell>
          <cell r="G301" t="str">
            <v>Perjalanan Dinas Non-Diklat</v>
          </cell>
          <cell r="H301" t="str">
            <v>Kota Baubau - Kota Makassar</v>
          </cell>
          <cell r="I301" t="str">
            <v>27/07/2025 - 29/07/2025</v>
          </cell>
          <cell r="J301" t="str">
            <v>3</v>
          </cell>
          <cell r="K301" t="str">
            <v>Hotel</v>
          </cell>
          <cell r="L301" t="str">
            <v>25-07-2025 18:33:47</v>
          </cell>
          <cell r="M301" t="str">
            <v xml:space="preserve">Swiss-Belhotel Makassar - 4.0 Stars  - </v>
          </cell>
          <cell r="N301" t="str">
            <v>MUL ULP (PASAR WAJO)</v>
          </cell>
          <cell r="O301" t="str">
            <v>7409653</v>
          </cell>
          <cell r="P301" t="str">
            <v>27/07/2025 14:00:00 - 29/07/2025 12:00:00</v>
          </cell>
          <cell r="Q301">
            <v>1780000</v>
          </cell>
          <cell r="R301" t="str">
            <v>SUCCESS</v>
          </cell>
        </row>
        <row r="302">
          <cell r="A302">
            <v>1271987354</v>
          </cell>
          <cell r="B302" t="str">
            <v>8908047F</v>
          </cell>
          <cell r="C302" t="str">
            <v>ZULKIFLI SETIOK</v>
          </cell>
          <cell r="D302">
            <v>89087622</v>
          </cell>
          <cell r="E302">
            <v>4120176864</v>
          </cell>
          <cell r="F302" t="str">
            <v>54</v>
          </cell>
          <cell r="G302" t="str">
            <v>Perjalanan Dinas Non-Diklat</v>
          </cell>
          <cell r="H302" t="str">
            <v>Kota Baubau - Kota Makassar</v>
          </cell>
          <cell r="I302" t="str">
            <v>27/07/2025 - 29/07/2025</v>
          </cell>
          <cell r="J302" t="str">
            <v>3</v>
          </cell>
          <cell r="K302" t="str">
            <v>Flight One Way</v>
          </cell>
          <cell r="L302" t="str">
            <v>25-07-2025 18:21:38</v>
          </cell>
          <cell r="M302" t="str">
            <v>Super Air Jet  UPG Hasanuddin IU-572 - Super Air Jet  BUW Betoambari IU-572</v>
          </cell>
          <cell r="N302" t="str">
            <v>MUL ULP (PASAR WAJO)</v>
          </cell>
          <cell r="O302" t="str">
            <v>7409653</v>
          </cell>
          <cell r="P302" t="str">
            <v>29/07/2025 14:10:00 - 29/07/2025 14:55:00</v>
          </cell>
          <cell r="Q302">
            <v>805200</v>
          </cell>
          <cell r="R302" t="str">
            <v>SUCCESS</v>
          </cell>
        </row>
        <row r="303">
          <cell r="A303">
            <v>1272355232</v>
          </cell>
          <cell r="B303" t="str">
            <v>8812188ZY</v>
          </cell>
          <cell r="C303" t="str">
            <v>JULYANZAH PERDANA PUTRA</v>
          </cell>
          <cell r="D303">
            <v>88128002</v>
          </cell>
          <cell r="E303">
            <v>4120176859</v>
          </cell>
          <cell r="F303" t="str">
            <v>54</v>
          </cell>
          <cell r="G303" t="str">
            <v>Perjalanan Dinas Non-Diklat</v>
          </cell>
          <cell r="H303" t="str">
            <v>Kota Makassar - Kota Bandung</v>
          </cell>
          <cell r="I303" t="str">
            <v>24/07/2025 - 28/07/2025</v>
          </cell>
          <cell r="J303" t="str">
            <v>5</v>
          </cell>
          <cell r="K303" t="str">
            <v>Hotel</v>
          </cell>
          <cell r="L303" t="str">
            <v>27-07-2025 11:08:08</v>
          </cell>
          <cell r="M303" t="str">
            <v xml:space="preserve">Kimaya Slipi Jakarta by Harris - 4.0 Stars  - </v>
          </cell>
          <cell r="N303" t="str">
            <v>SOF REN SIS KELIST</v>
          </cell>
          <cell r="O303" t="str">
            <v>7412112</v>
          </cell>
          <cell r="P303" t="str">
            <v>27/07/2025 14:00:00 - 28/07/2025 12:00:00</v>
          </cell>
          <cell r="Q303">
            <v>875000</v>
          </cell>
          <cell r="R303" t="str">
            <v>SUCCESS</v>
          </cell>
        </row>
        <row r="304">
          <cell r="A304">
            <v>1272118349</v>
          </cell>
          <cell r="B304" t="str">
            <v>8812188ZY</v>
          </cell>
          <cell r="C304" t="str">
            <v>JULYANZAH PERDANA PUTRA</v>
          </cell>
          <cell r="D304">
            <v>88128002</v>
          </cell>
          <cell r="E304">
            <v>4120176859</v>
          </cell>
          <cell r="F304" t="str">
            <v>54</v>
          </cell>
          <cell r="G304" t="str">
            <v>Perjalanan Dinas Non-Diklat</v>
          </cell>
          <cell r="H304" t="str">
            <v>Kota Makassar - Kota Bandung</v>
          </cell>
          <cell r="I304" t="str">
            <v>24/07/2025 - 28/07/2025</v>
          </cell>
          <cell r="J304" t="str">
            <v>5</v>
          </cell>
          <cell r="K304" t="str">
            <v>Hotel</v>
          </cell>
          <cell r="L304" t="str">
            <v>26-07-2025 09:56:39</v>
          </cell>
          <cell r="M304" t="str">
            <v xml:space="preserve">Avery De Grand City Hotel Bandung - 3.0 Stars  - </v>
          </cell>
          <cell r="N304" t="str">
            <v>SOF REN SIS KELIST</v>
          </cell>
          <cell r="O304" t="str">
            <v>7412112</v>
          </cell>
          <cell r="P304" t="str">
            <v>26/07/2025 14:00:00 - 27/07/2025 12:00:00</v>
          </cell>
          <cell r="Q304">
            <v>795000</v>
          </cell>
          <cell r="R304" t="str">
            <v>SUCCESS</v>
          </cell>
        </row>
        <row r="305">
          <cell r="A305">
            <v>1271698258</v>
          </cell>
          <cell r="B305" t="str">
            <v>8812188ZY</v>
          </cell>
          <cell r="C305" t="str">
            <v>JULYANZAH PERDANA PUTRA</v>
          </cell>
          <cell r="D305">
            <v>88128002</v>
          </cell>
          <cell r="E305">
            <v>4120176859</v>
          </cell>
          <cell r="F305" t="str">
            <v>54</v>
          </cell>
          <cell r="G305" t="str">
            <v>Perjalanan Dinas Non-Diklat</v>
          </cell>
          <cell r="H305" t="str">
            <v>Kota Makassar - Kota Bandung</v>
          </cell>
          <cell r="I305" t="str">
            <v>24/07/2025 - 28/07/2025</v>
          </cell>
          <cell r="J305" t="str">
            <v>5</v>
          </cell>
          <cell r="K305" t="str">
            <v>Hotel</v>
          </cell>
          <cell r="L305" t="str">
            <v>24-07-2025 16:06:04</v>
          </cell>
          <cell r="M305" t="str">
            <v xml:space="preserve">ibis Bandung Trans Studio - 3.0 Stars  - </v>
          </cell>
          <cell r="N305" t="str">
            <v>SOF REN SIS KELIST</v>
          </cell>
          <cell r="O305" t="str">
            <v>7412112</v>
          </cell>
          <cell r="P305" t="str">
            <v>24/07/2025 14:00:00 - 26/07/2025 12:00:00</v>
          </cell>
          <cell r="Q305">
            <v>1190000</v>
          </cell>
          <cell r="R305" t="str">
            <v>SUCCESS</v>
          </cell>
        </row>
        <row r="306">
          <cell r="A306">
            <v>1271630525</v>
          </cell>
          <cell r="B306" t="str">
            <v>8812188ZY</v>
          </cell>
          <cell r="C306" t="str">
            <v>JULYANZAH PERDANA PUTRA</v>
          </cell>
          <cell r="D306">
            <v>88128002</v>
          </cell>
          <cell r="E306">
            <v>4120176859</v>
          </cell>
          <cell r="F306" t="str">
            <v>54</v>
          </cell>
          <cell r="G306" t="str">
            <v>Perjalanan Dinas Non-Diklat</v>
          </cell>
          <cell r="H306" t="str">
            <v>Kota Makassar - Kota Bandung</v>
          </cell>
          <cell r="I306" t="str">
            <v>24/07/2025 - 28/07/2025</v>
          </cell>
          <cell r="J306" t="str">
            <v>5</v>
          </cell>
          <cell r="K306" t="str">
            <v>Flight One Way</v>
          </cell>
          <cell r="L306" t="str">
            <v>24-07-2025 11:24:30</v>
          </cell>
          <cell r="M306" t="str">
            <v>Batik Air Domestic UPG Hasanuddin ID-6293 - Batik Air 2D CGK Soekarno Hatta International Airport ID-6293</v>
          </cell>
          <cell r="N306" t="str">
            <v>SOF REN SIS KELIST</v>
          </cell>
          <cell r="O306" t="str">
            <v>7412112</v>
          </cell>
          <cell r="P306" t="str">
            <v>24/07/2025 17:55:00 - 24/07/2025 19:15:00</v>
          </cell>
          <cell r="Q306">
            <v>1470000</v>
          </cell>
          <cell r="R306" t="str">
            <v>SUCCESS</v>
          </cell>
        </row>
        <row r="307">
          <cell r="A307">
            <v>1272118370</v>
          </cell>
          <cell r="B307" t="str">
            <v>8007053Z</v>
          </cell>
          <cell r="C307" t="str">
            <v>DALMASIUS NUGROHO ADI PUTRANTO</v>
          </cell>
          <cell r="D307">
            <v>80077601</v>
          </cell>
          <cell r="E307">
            <v>4120176860</v>
          </cell>
          <cell r="F307" t="str">
            <v>54</v>
          </cell>
          <cell r="G307" t="str">
            <v>Perjalanan Dinas Non-Diklat</v>
          </cell>
          <cell r="H307" t="str">
            <v>Kota Makassar - Kota Bandung - Kota Surabaya</v>
          </cell>
          <cell r="I307" t="str">
            <v>24/07/2025 - 02/08/2025</v>
          </cell>
          <cell r="J307" t="str">
            <v>10</v>
          </cell>
          <cell r="K307" t="str">
            <v>Hotel</v>
          </cell>
          <cell r="L307" t="str">
            <v>26-07-2025 09:56:44</v>
          </cell>
          <cell r="M307" t="str">
            <v xml:space="preserve">Avery De Grand City Hotel Bandung - 3.0 Stars  - </v>
          </cell>
          <cell r="N307" t="str">
            <v>MAN REN SIS KELIST</v>
          </cell>
          <cell r="O307" t="str">
            <v>7412112</v>
          </cell>
          <cell r="P307" t="str">
            <v>26/07/2025 14:00:00 - 27/07/2025 12:00:00</v>
          </cell>
          <cell r="Q307">
            <v>795000</v>
          </cell>
          <cell r="R307" t="str">
            <v>SUCCESS</v>
          </cell>
        </row>
        <row r="308">
          <cell r="A308">
            <v>1271630049</v>
          </cell>
          <cell r="B308" t="str">
            <v>8007053Z</v>
          </cell>
          <cell r="C308" t="str">
            <v>DALMASIUS NUGROHO ADI PUTRANTO</v>
          </cell>
          <cell r="D308">
            <v>80077601</v>
          </cell>
          <cell r="E308">
            <v>4120176860</v>
          </cell>
          <cell r="F308" t="str">
            <v>54</v>
          </cell>
          <cell r="G308" t="str">
            <v>Perjalanan Dinas Non-Diklat</v>
          </cell>
          <cell r="H308" t="str">
            <v>Kota Makassar - Kota Bandung - Kota Surabaya</v>
          </cell>
          <cell r="I308" t="str">
            <v>24/07/2025 - 02/08/2025</v>
          </cell>
          <cell r="J308" t="str">
            <v>10</v>
          </cell>
          <cell r="K308" t="str">
            <v>Flight One Way</v>
          </cell>
          <cell r="L308" t="str">
            <v>24-07-2025 11:22:34</v>
          </cell>
          <cell r="M308" t="str">
            <v>Batik Air Domestic UPG Hasanuddin ID-6293 - Batik Air 2D CGK Soekarno Hatta International Airport ID-6293</v>
          </cell>
          <cell r="N308" t="str">
            <v>MAN REN SIS KELIST</v>
          </cell>
          <cell r="O308" t="str">
            <v>7412112</v>
          </cell>
          <cell r="P308" t="str">
            <v>24/07/2025 17:55:00 - 24/07/2025 19:15:00</v>
          </cell>
          <cell r="Q308">
            <v>1470000</v>
          </cell>
          <cell r="R308" t="str">
            <v>SUCCESS</v>
          </cell>
        </row>
        <row r="309">
          <cell r="A309">
            <v>1272182422</v>
          </cell>
          <cell r="B309" t="str">
            <v>8007053Z</v>
          </cell>
          <cell r="C309" t="str">
            <v>DALMASIUS NUGROHO ADI PUTRANTO</v>
          </cell>
          <cell r="D309">
            <v>80077601</v>
          </cell>
          <cell r="E309">
            <v>4120176860</v>
          </cell>
          <cell r="F309" t="str">
            <v>54</v>
          </cell>
          <cell r="G309" t="str">
            <v>Perjalanan Dinas Non-Diklat</v>
          </cell>
          <cell r="H309" t="str">
            <v>Kota Makassar - Kota Bandung - Kota Surabaya</v>
          </cell>
          <cell r="I309" t="str">
            <v>24/07/2025 - 02/08/2025</v>
          </cell>
          <cell r="J309" t="str">
            <v>10</v>
          </cell>
          <cell r="K309" t="str">
            <v>Flight One Way</v>
          </cell>
          <cell r="L309" t="str">
            <v>26-07-2025 14:23:54</v>
          </cell>
          <cell r="M309" t="str">
            <v>Batik Air  HLP Halim Perdanakusuma International Airport ID-7519 - Batik Air 1 SUB Juanda ID-7519</v>
          </cell>
          <cell r="N309" t="str">
            <v>MAN REN SIS KELIST</v>
          </cell>
          <cell r="O309" t="str">
            <v>7412112</v>
          </cell>
          <cell r="P309" t="str">
            <v>27/07/2025 17:40:00 - 27/07/2025 19:00:00</v>
          </cell>
          <cell r="Q309">
            <v>1123800</v>
          </cell>
          <cell r="R309" t="str">
            <v>SUCCESS</v>
          </cell>
        </row>
        <row r="310">
          <cell r="A310">
            <v>1273181983</v>
          </cell>
          <cell r="B310" t="str">
            <v>8007053Z</v>
          </cell>
          <cell r="C310" t="str">
            <v>DALMASIUS NUGROHO ADI PUTRANTO</v>
          </cell>
          <cell r="D310">
            <v>80077601</v>
          </cell>
          <cell r="E310">
            <v>4120176860</v>
          </cell>
          <cell r="F310" t="str">
            <v>54</v>
          </cell>
          <cell r="G310" t="str">
            <v>Perjalanan Dinas Non-Diklat</v>
          </cell>
          <cell r="H310" t="str">
            <v>Kota Makassar - Kota Bandung - Kota Surabaya</v>
          </cell>
          <cell r="I310" t="str">
            <v>24/07/2025 - 02/08/2025</v>
          </cell>
          <cell r="J310" t="str">
            <v>10</v>
          </cell>
          <cell r="K310" t="str">
            <v>Hotel</v>
          </cell>
          <cell r="L310" t="str">
            <v>30-07-2025 21:42:52</v>
          </cell>
          <cell r="M310" t="str">
            <v xml:space="preserve">ibis Surabaya City Center - 3.0 Stars  - </v>
          </cell>
          <cell r="N310" t="str">
            <v>MAN REN SIS KELIST</v>
          </cell>
          <cell r="O310" t="str">
            <v>7412112</v>
          </cell>
          <cell r="P310" t="str">
            <v>31/07/2025 14:00:00 - 01/08/2025 12:00:00</v>
          </cell>
          <cell r="Q310">
            <v>475000</v>
          </cell>
          <cell r="R310" t="str">
            <v>SUCCESS</v>
          </cell>
        </row>
        <row r="311">
          <cell r="A311">
            <v>1271696910</v>
          </cell>
          <cell r="B311" t="str">
            <v>8007053Z</v>
          </cell>
          <cell r="C311" t="str">
            <v>DALMASIUS NUGROHO ADI PUTRANTO</v>
          </cell>
          <cell r="D311">
            <v>80077601</v>
          </cell>
          <cell r="E311">
            <v>4120176860</v>
          </cell>
          <cell r="F311" t="str">
            <v>54</v>
          </cell>
          <cell r="G311" t="str">
            <v>Perjalanan Dinas Non-Diklat</v>
          </cell>
          <cell r="H311" t="str">
            <v>Kota Makassar - Kota Bandung - Kota Surabaya</v>
          </cell>
          <cell r="I311" t="str">
            <v>24/07/2025 - 02/08/2025</v>
          </cell>
          <cell r="J311" t="str">
            <v>10</v>
          </cell>
          <cell r="K311" t="str">
            <v>Hotel</v>
          </cell>
          <cell r="L311" t="str">
            <v>24-07-2025 16:00:23</v>
          </cell>
          <cell r="M311" t="str">
            <v xml:space="preserve">ibis Bandung Trans Studio - 3.0 Stars  - </v>
          </cell>
          <cell r="N311" t="str">
            <v>MAN REN SIS KELIST</v>
          </cell>
          <cell r="O311" t="str">
            <v>7412112</v>
          </cell>
          <cell r="P311" t="str">
            <v>24/07/2025 14:00:00 - 26/07/2025 12:00:00</v>
          </cell>
          <cell r="Q311">
            <v>1190000</v>
          </cell>
          <cell r="R311" t="str">
            <v>SUCCESS</v>
          </cell>
        </row>
        <row r="312">
          <cell r="A312">
            <v>1272409234</v>
          </cell>
          <cell r="B312" t="str">
            <v>8007053Z</v>
          </cell>
          <cell r="C312" t="str">
            <v>DALMASIUS NUGROHO ADI PUTRANTO</v>
          </cell>
          <cell r="D312">
            <v>80077601</v>
          </cell>
          <cell r="E312">
            <v>4120176860</v>
          </cell>
          <cell r="F312" t="str">
            <v>54</v>
          </cell>
          <cell r="G312" t="str">
            <v>Perjalanan Dinas Non-Diklat</v>
          </cell>
          <cell r="H312" t="str">
            <v>Kota Makassar - Kota Bandung - Kota Surabaya</v>
          </cell>
          <cell r="I312" t="str">
            <v>24/07/2025 - 02/08/2025</v>
          </cell>
          <cell r="J312" t="str">
            <v>10</v>
          </cell>
          <cell r="K312" t="str">
            <v>Hotel</v>
          </cell>
          <cell r="L312" t="str">
            <v>27-07-2025 15:41:05</v>
          </cell>
          <cell r="M312" t="str">
            <v xml:space="preserve">ibis Surabaya City Center - 3.0 Stars  - </v>
          </cell>
          <cell r="N312" t="str">
            <v>MAN REN SIS KELIST</v>
          </cell>
          <cell r="O312" t="str">
            <v>7412112</v>
          </cell>
          <cell r="P312" t="str">
            <v>27/07/2025 14:00:00 - 29/07/2025 12:00:00</v>
          </cell>
          <cell r="Q312">
            <v>974999</v>
          </cell>
          <cell r="R312" t="str">
            <v>SUCCESS</v>
          </cell>
        </row>
        <row r="313">
          <cell r="A313">
            <v>1273558639</v>
          </cell>
          <cell r="B313" t="str">
            <v>9211038FY</v>
          </cell>
          <cell r="C313" t="str">
            <v>ABDUL RAHIM</v>
          </cell>
          <cell r="D313">
            <v>92117611</v>
          </cell>
          <cell r="E313">
            <v>4120176324</v>
          </cell>
          <cell r="F313" t="str">
            <v>54</v>
          </cell>
          <cell r="G313" t="str">
            <v>Perjalanan Dinas Diklat</v>
          </cell>
          <cell r="H313" t="str">
            <v>Kota Kendari - Kab. Semarang</v>
          </cell>
          <cell r="I313" t="str">
            <v>06/07/2025 - 28/08/2025</v>
          </cell>
          <cell r="J313" t="str">
            <v>54</v>
          </cell>
          <cell r="K313" t="str">
            <v>Flight One Way</v>
          </cell>
          <cell r="L313" t="str">
            <v>01-08-2025 11:31:56</v>
          </cell>
          <cell r="M313" t="str">
            <v>Batik Air Domestic SRG Achmad Yani ID-6343 - Batik Air  KDI Haluoleo ID-6343</v>
          </cell>
          <cell r="N313" t="str">
            <v>TC PDKB</v>
          </cell>
          <cell r="O313" t="str">
            <v>7409241</v>
          </cell>
          <cell r="P313" t="str">
            <v>28/08/2025 09:30:00 - 28/08/2025 18:20:00</v>
          </cell>
          <cell r="Q313">
            <v>2285400</v>
          </cell>
          <cell r="R313" t="str">
            <v>SUCCESS</v>
          </cell>
        </row>
        <row r="314">
          <cell r="A314">
            <v>1271527492</v>
          </cell>
          <cell r="B314" t="str">
            <v>9520543ZY</v>
          </cell>
          <cell r="C314" t="str">
            <v>FRANZ TRYWANDI SARAGI NAPITU</v>
          </cell>
          <cell r="D314">
            <v>95207602</v>
          </cell>
          <cell r="E314">
            <v>4120176842</v>
          </cell>
          <cell r="F314" t="str">
            <v>54</v>
          </cell>
          <cell r="G314" t="str">
            <v>Perjalanan Dinas Non-Diklat</v>
          </cell>
          <cell r="H314" t="str">
            <v>Kab. Wakatobi - Kota Baubau</v>
          </cell>
          <cell r="I314" t="str">
            <v>24/07/2025 - 26/07/2025</v>
          </cell>
          <cell r="J314" t="str">
            <v>3</v>
          </cell>
          <cell r="K314" t="str">
            <v>Hotel</v>
          </cell>
          <cell r="L314" t="str">
            <v>23-07-2025 21:27:12</v>
          </cell>
          <cell r="M314" t="str">
            <v xml:space="preserve">Zenith Premiere Hotel Baubau - 3.0 Stars  - </v>
          </cell>
          <cell r="N314" t="str">
            <v>TL TE LAY GAN</v>
          </cell>
          <cell r="O314" t="str">
            <v>7409652</v>
          </cell>
          <cell r="P314" t="str">
            <v>24/07/2025 14:00:00 - 26/07/2025 12:00:00</v>
          </cell>
          <cell r="Q314">
            <v>1450800</v>
          </cell>
          <cell r="R314" t="str">
            <v>SUCCESS</v>
          </cell>
        </row>
        <row r="315">
          <cell r="A315">
            <v>1271461909</v>
          </cell>
          <cell r="B315" t="str">
            <v>9414010FY</v>
          </cell>
          <cell r="C315" t="str">
            <v>HARYADI MULIYADI</v>
          </cell>
          <cell r="D315">
            <v>96137725</v>
          </cell>
          <cell r="E315">
            <v>4120176822</v>
          </cell>
          <cell r="F315" t="str">
            <v>54</v>
          </cell>
          <cell r="G315" t="str">
            <v>Perjalanan Dinas Non-Diklat</v>
          </cell>
          <cell r="H315" t="str">
            <v>Kota Parepare - Kab. Soppeng</v>
          </cell>
          <cell r="I315" t="str">
            <v>23/07/2025 - 25/07/2025</v>
          </cell>
          <cell r="J315" t="str">
            <v>3</v>
          </cell>
          <cell r="K315" t="str">
            <v>Hotel</v>
          </cell>
          <cell r="L315" t="str">
            <v>23-07-2025 16:39:49</v>
          </cell>
          <cell r="M315" t="str">
            <v xml:space="preserve">MARYAM PALACE HOTEL SOPPENG - 0.0 Stars  - </v>
          </cell>
          <cell r="N315" t="str">
            <v>JTC PDKB</v>
          </cell>
          <cell r="O315" t="str">
            <v>7409221</v>
          </cell>
          <cell r="P315" t="str">
            <v>23/07/2025 14:00:00 - 25/07/2025 12:00:00</v>
          </cell>
          <cell r="Q315">
            <v>1000000</v>
          </cell>
          <cell r="R315" t="str">
            <v>SUCCESS</v>
          </cell>
        </row>
        <row r="316">
          <cell r="A316">
            <v>1271463341</v>
          </cell>
          <cell r="B316" t="str">
            <v>9513121FY</v>
          </cell>
          <cell r="C316" t="str">
            <v>MUHAMMAD ZULFADLY SAPRI</v>
          </cell>
          <cell r="D316">
            <v>96137699</v>
          </cell>
          <cell r="E316">
            <v>4120176818</v>
          </cell>
          <cell r="F316" t="str">
            <v>54</v>
          </cell>
          <cell r="G316" t="str">
            <v>Perjalanan Dinas Non-Diklat</v>
          </cell>
          <cell r="H316" t="str">
            <v>Kota Parepare - Kab. Soppeng</v>
          </cell>
          <cell r="I316" t="str">
            <v>23/07/2025 - 25/07/2025</v>
          </cell>
          <cell r="J316" t="str">
            <v>3</v>
          </cell>
          <cell r="K316" t="str">
            <v>Hotel</v>
          </cell>
          <cell r="L316" t="str">
            <v>23-07-2025 16:46:13</v>
          </cell>
          <cell r="M316" t="str">
            <v xml:space="preserve">MARYAM PALACE HOTEL SOPPENG - 0.0 Stars  - </v>
          </cell>
          <cell r="N316" t="str">
            <v>TC PDKB</v>
          </cell>
          <cell r="O316" t="str">
            <v>7409221</v>
          </cell>
          <cell r="P316" t="str">
            <v>23/07/2025 14:00:00 - 25/07/2025 12:00:00</v>
          </cell>
          <cell r="Q316">
            <v>1000000</v>
          </cell>
          <cell r="R316" t="str">
            <v>SUCCESS</v>
          </cell>
        </row>
        <row r="317">
          <cell r="A317">
            <v>1271461844</v>
          </cell>
          <cell r="B317" t="str">
            <v>9513010FY</v>
          </cell>
          <cell r="C317" t="str">
            <v>MUHAMMAD ZULFIKAR</v>
          </cell>
          <cell r="D317">
            <v>95137640</v>
          </cell>
          <cell r="E317">
            <v>4120176817</v>
          </cell>
          <cell r="F317" t="str">
            <v>54</v>
          </cell>
          <cell r="G317" t="str">
            <v>Perjalanan Dinas Non-Diklat</v>
          </cell>
          <cell r="H317" t="str">
            <v>Kota Parepare - Kab. Soppeng</v>
          </cell>
          <cell r="I317" t="str">
            <v>23/07/2025 - 25/07/2025</v>
          </cell>
          <cell r="J317" t="str">
            <v>3</v>
          </cell>
          <cell r="K317" t="str">
            <v>Hotel</v>
          </cell>
          <cell r="L317" t="str">
            <v>23-07-2025 16:39:26</v>
          </cell>
          <cell r="M317" t="str">
            <v xml:space="preserve">MARYAM PALACE HOTEL SOPPENG - 0.0 Stars  - </v>
          </cell>
          <cell r="N317" t="str">
            <v>TC PDKB</v>
          </cell>
          <cell r="O317" t="str">
            <v>7409221</v>
          </cell>
          <cell r="P317" t="str">
            <v>23/07/2025 14:00:00 - 25/07/2025 12:00:00</v>
          </cell>
          <cell r="Q317">
            <v>1200000</v>
          </cell>
          <cell r="R317" t="str">
            <v>SUCCESS</v>
          </cell>
        </row>
        <row r="318">
          <cell r="A318">
            <v>1271468711</v>
          </cell>
          <cell r="B318" t="str">
            <v>9617082FBY</v>
          </cell>
          <cell r="C318" t="str">
            <v>NUR RACHMAT AS</v>
          </cell>
          <cell r="D318">
            <v>96177627</v>
          </cell>
          <cell r="E318">
            <v>4120176821</v>
          </cell>
          <cell r="F318" t="str">
            <v>54</v>
          </cell>
          <cell r="G318" t="str">
            <v>Perjalanan Dinas Non-Diklat</v>
          </cell>
          <cell r="H318" t="str">
            <v>Kota Parepare - Kab. Soppeng</v>
          </cell>
          <cell r="I318" t="str">
            <v>23/07/2025 - 25/07/2025</v>
          </cell>
          <cell r="J318" t="str">
            <v>3</v>
          </cell>
          <cell r="K318" t="str">
            <v>Hotel</v>
          </cell>
          <cell r="L318" t="str">
            <v>23-07-2025 17:10:11</v>
          </cell>
          <cell r="M318" t="str">
            <v xml:space="preserve">MARYAM PALACE HOTEL SOPPENG - 0.0 Stars  - </v>
          </cell>
          <cell r="N318" t="str">
            <v>JTC PDKB</v>
          </cell>
          <cell r="O318" t="str">
            <v>7409221</v>
          </cell>
          <cell r="P318" t="str">
            <v>23/07/2025 14:00:00 - 25/07/2025 12:00:00</v>
          </cell>
          <cell r="Q318">
            <v>1000000</v>
          </cell>
          <cell r="R318" t="str">
            <v>SUCCESS</v>
          </cell>
        </row>
        <row r="319">
          <cell r="A319">
            <v>1271460340</v>
          </cell>
          <cell r="B319" t="str">
            <v>9617087FBY</v>
          </cell>
          <cell r="C319" t="str">
            <v>RUDY PRAKASA</v>
          </cell>
          <cell r="D319">
            <v>96177628</v>
          </cell>
          <cell r="E319">
            <v>4120176820</v>
          </cell>
          <cell r="F319" t="str">
            <v>54</v>
          </cell>
          <cell r="G319" t="str">
            <v>Perjalanan Dinas Non-Diklat</v>
          </cell>
          <cell r="H319" t="str">
            <v>Kota Parepare - Kab. Soppeng</v>
          </cell>
          <cell r="I319" t="str">
            <v>23/07/2025 - 25/07/2025</v>
          </cell>
          <cell r="J319" t="str">
            <v>3</v>
          </cell>
          <cell r="K319" t="str">
            <v>Hotel</v>
          </cell>
          <cell r="L319" t="str">
            <v>23-07-2025 16:32:43</v>
          </cell>
          <cell r="M319" t="str">
            <v xml:space="preserve">MARYAM PALACE HOTEL SOPPENG - 0.0 Stars  - </v>
          </cell>
          <cell r="N319" t="str">
            <v>JTC PDKB</v>
          </cell>
          <cell r="O319" t="str">
            <v>7409221</v>
          </cell>
          <cell r="P319" t="str">
            <v>23/07/2025 14:00:00 - 25/07/2025 12:00:00</v>
          </cell>
          <cell r="Q319">
            <v>1200000</v>
          </cell>
          <cell r="R319" t="str">
            <v>SUCCESS</v>
          </cell>
        </row>
        <row r="320">
          <cell r="A320">
            <v>1271430585</v>
          </cell>
          <cell r="B320" t="str">
            <v>9008037F</v>
          </cell>
          <cell r="C320" t="str">
            <v>HADI YUSRAN ZAENAL ABIDIN</v>
          </cell>
          <cell r="D320">
            <v>90087600</v>
          </cell>
          <cell r="E320">
            <v>4120176843</v>
          </cell>
          <cell r="F320" t="str">
            <v>54</v>
          </cell>
          <cell r="G320" t="str">
            <v>Perjalanan Dinas Non-Diklat</v>
          </cell>
          <cell r="H320" t="str">
            <v>Kota Kendari - Kota Makassar</v>
          </cell>
          <cell r="I320" t="str">
            <v>24/07/2025 - 25/07/2025</v>
          </cell>
          <cell r="J320" t="str">
            <v>2</v>
          </cell>
          <cell r="K320" t="str">
            <v>Flight One Way</v>
          </cell>
          <cell r="L320" t="str">
            <v>23-07-2025 14:29:11</v>
          </cell>
          <cell r="M320" t="str">
            <v>Lion Air  KDI Haluoleo JT-987 - Lion Air Domestic UPG Hasanuddin JT-987</v>
          </cell>
          <cell r="N320" t="str">
            <v>ASMAN KEU DAN MUM</v>
          </cell>
          <cell r="O320" t="str">
            <v>7412240</v>
          </cell>
          <cell r="P320" t="str">
            <v>24/07/2025 08:45:00 - 24/07/2025 09:40:00</v>
          </cell>
          <cell r="Q320">
            <v>761500</v>
          </cell>
          <cell r="R320" t="str">
            <v>SUCCESS</v>
          </cell>
        </row>
        <row r="321">
          <cell r="A321">
            <v>1271464026</v>
          </cell>
          <cell r="B321" t="str">
            <v>7394038F</v>
          </cell>
          <cell r="C321" t="str">
            <v>SARLINA M.KILYKILY</v>
          </cell>
          <cell r="D321">
            <v>73947604</v>
          </cell>
          <cell r="E321">
            <v>4120176840</v>
          </cell>
          <cell r="F321" t="str">
            <v>54</v>
          </cell>
          <cell r="G321" t="str">
            <v>Perjalanan Dinas Non-Diklat</v>
          </cell>
          <cell r="H321" t="str">
            <v>Kota Kendari - Kota Makassar</v>
          </cell>
          <cell r="I321" t="str">
            <v>27/07/2025 - 29/07/2025</v>
          </cell>
          <cell r="J321" t="str">
            <v>3</v>
          </cell>
          <cell r="K321" t="str">
            <v>Flight Round-Trip</v>
          </cell>
          <cell r="L321" t="str">
            <v>23-07-2025 16:49:13</v>
          </cell>
          <cell r="M321" t="str">
            <v>Lion Air  KDI Haluoleo JT-997 - Lion Air Domestic UPG Hasanuddin JT-997</v>
          </cell>
          <cell r="N321" t="str">
            <v>ASMAN AGA DAN SAR</v>
          </cell>
          <cell r="O321" t="str">
            <v>7412243</v>
          </cell>
          <cell r="P321" t="str">
            <v>27/07/2025 15:35:00 - 27/07/2025 16:30:00</v>
          </cell>
          <cell r="Q321">
            <v>1546800</v>
          </cell>
          <cell r="R321" t="str">
            <v>SUCCESS</v>
          </cell>
        </row>
        <row r="322">
          <cell r="A322">
            <v>1271683398</v>
          </cell>
          <cell r="B322" t="str">
            <v>7394038F</v>
          </cell>
          <cell r="C322" t="str">
            <v>SARLINA M.KILYKILY</v>
          </cell>
          <cell r="D322">
            <v>73947604</v>
          </cell>
          <cell r="E322">
            <v>4120176840</v>
          </cell>
          <cell r="F322" t="str">
            <v>54</v>
          </cell>
          <cell r="G322" t="str">
            <v>Perjalanan Dinas Non-Diklat</v>
          </cell>
          <cell r="H322" t="str">
            <v>Kota Kendari - Kota Makassar</v>
          </cell>
          <cell r="I322" t="str">
            <v>27/07/2025 - 29/07/2025</v>
          </cell>
          <cell r="J322" t="str">
            <v>3</v>
          </cell>
          <cell r="K322" t="str">
            <v>Hotel</v>
          </cell>
          <cell r="L322" t="str">
            <v>24-07-2025 15:02:40</v>
          </cell>
          <cell r="M322" t="str">
            <v xml:space="preserve">CLARO Makassar - 4.0 Stars  - </v>
          </cell>
          <cell r="N322" t="str">
            <v>ASMAN AGA DAN SAR</v>
          </cell>
          <cell r="O322" t="str">
            <v>7412243</v>
          </cell>
          <cell r="P322" t="str">
            <v>27/07/2025 14:00:00 - 29/07/2025 12:00:00</v>
          </cell>
          <cell r="Q322">
            <v>1739686</v>
          </cell>
          <cell r="R322" t="str">
            <v>SUCCESS</v>
          </cell>
        </row>
        <row r="323">
          <cell r="A323">
            <v>1271416587</v>
          </cell>
          <cell r="B323" t="str">
            <v>96191275ZY</v>
          </cell>
          <cell r="C323" t="str">
            <v>BAMA RUSMALI</v>
          </cell>
          <cell r="D323">
            <v>96197617</v>
          </cell>
          <cell r="E323">
            <v>4120176823</v>
          </cell>
          <cell r="F323" t="str">
            <v>54</v>
          </cell>
          <cell r="G323" t="str">
            <v>Perjalanan Dinas Non-Diklat</v>
          </cell>
          <cell r="H323" t="str">
            <v>Kota Makassar - Jakarta Selatan</v>
          </cell>
          <cell r="I323" t="str">
            <v>24/07/2025 - 25/07/2025</v>
          </cell>
          <cell r="J323" t="str">
            <v>2</v>
          </cell>
          <cell r="K323" t="str">
            <v>Hotel</v>
          </cell>
          <cell r="L323" t="str">
            <v>23-07-2025 13:32:32</v>
          </cell>
          <cell r="M323" t="str">
            <v xml:space="preserve">Kimaya Slipi Jakarta by Harris - 4.0 Stars  - </v>
          </cell>
          <cell r="N323" t="str">
            <v>OF REN LIST PERDESAAN</v>
          </cell>
          <cell r="O323" t="str">
            <v>7412000</v>
          </cell>
          <cell r="P323" t="str">
            <v>24/07/2025 14:00:00 - 25/07/2025 12:00:00</v>
          </cell>
          <cell r="Q323">
            <v>715000</v>
          </cell>
          <cell r="R323" t="str">
            <v>SUCCESS</v>
          </cell>
        </row>
        <row r="324">
          <cell r="A324">
            <v>1271357888</v>
          </cell>
          <cell r="B324" t="str">
            <v>96191275ZY</v>
          </cell>
          <cell r="C324" t="str">
            <v>BAMA RUSMALI</v>
          </cell>
          <cell r="D324">
            <v>96197617</v>
          </cell>
          <cell r="E324">
            <v>4120176823</v>
          </cell>
          <cell r="F324" t="str">
            <v>54</v>
          </cell>
          <cell r="G324" t="str">
            <v>Perjalanan Dinas Non-Diklat</v>
          </cell>
          <cell r="H324" t="str">
            <v>Kota Makassar - Jakarta Selatan</v>
          </cell>
          <cell r="I324" t="str">
            <v>24/07/2025 - 25/07/2025</v>
          </cell>
          <cell r="J324" t="str">
            <v>2</v>
          </cell>
          <cell r="K324" t="str">
            <v>Flight One Way</v>
          </cell>
          <cell r="L324" t="str">
            <v>23-07-2025 09:23:15</v>
          </cell>
          <cell r="M324" t="str">
            <v>Garuda Indonesia Domestic UPG Hasanuddin GA-617 - Garuda Indonesia  CGK Soekarno Hatta International Airport GA-617</v>
          </cell>
          <cell r="N324" t="str">
            <v>OF REN LIST PERDESAAN</v>
          </cell>
          <cell r="O324" t="str">
            <v>7412000</v>
          </cell>
          <cell r="P324" t="str">
            <v>24/07/2025 07:15:00 - 24/07/2025 08:45:00</v>
          </cell>
          <cell r="Q324">
            <v>1467000</v>
          </cell>
          <cell r="R324" t="str">
            <v>SUCCESS</v>
          </cell>
        </row>
        <row r="325">
          <cell r="A325">
            <v>1271570546</v>
          </cell>
          <cell r="B325" t="str">
            <v>8308021F</v>
          </cell>
          <cell r="C325" t="str">
            <v xml:space="preserve">ARIFUDDIN </v>
          </cell>
          <cell r="D325">
            <v>83087613</v>
          </cell>
          <cell r="E325">
            <v>4120176828</v>
          </cell>
          <cell r="F325" t="str">
            <v>54</v>
          </cell>
          <cell r="G325" t="str">
            <v>Perjalanan Dinas Non-Diklat</v>
          </cell>
          <cell r="H325" t="str">
            <v>Kota Baubau - Kota Makassar</v>
          </cell>
          <cell r="I325" t="str">
            <v>27/07/2025 - 29/07/2025</v>
          </cell>
          <cell r="J325" t="str">
            <v>3</v>
          </cell>
          <cell r="K325" t="str">
            <v>Flight Round-Trip</v>
          </cell>
          <cell r="L325" t="str">
            <v>24-07-2025 05:21:19</v>
          </cell>
          <cell r="M325" t="str">
            <v>Wings Air  BUW Betoambari IW-1305 - Wings Air Domestic UPG Hasanuddin IW-1305</v>
          </cell>
          <cell r="N325" t="str">
            <v>ASMAN AGA DAN SAR</v>
          </cell>
          <cell r="O325" t="str">
            <v>7412285</v>
          </cell>
          <cell r="P325" t="str">
            <v>27/07/2025 06:30:00 - 27/07/2025 07:40:00</v>
          </cell>
          <cell r="Q325">
            <v>2435900</v>
          </cell>
          <cell r="R325" t="str">
            <v>SUCCESS</v>
          </cell>
        </row>
        <row r="326">
          <cell r="A326">
            <v>1271652728</v>
          </cell>
          <cell r="B326" t="str">
            <v>8308021F</v>
          </cell>
          <cell r="C326" t="str">
            <v xml:space="preserve">ARIFUDDIN </v>
          </cell>
          <cell r="D326">
            <v>83087613</v>
          </cell>
          <cell r="E326">
            <v>4120176828</v>
          </cell>
          <cell r="F326" t="str">
            <v>54</v>
          </cell>
          <cell r="G326" t="str">
            <v>Perjalanan Dinas Non-Diklat</v>
          </cell>
          <cell r="H326" t="str">
            <v>Kota Baubau - Kota Makassar</v>
          </cell>
          <cell r="I326" t="str">
            <v>27/07/2025 - 29/07/2025</v>
          </cell>
          <cell r="J326" t="str">
            <v>3</v>
          </cell>
          <cell r="K326" t="str">
            <v>Hotel</v>
          </cell>
          <cell r="L326" t="str">
            <v>24-07-2025 12:58:48</v>
          </cell>
          <cell r="M326" t="str">
            <v xml:space="preserve">Swiss-Belinn Panakkukang - 3.0 Stars  - </v>
          </cell>
          <cell r="N326" t="str">
            <v>ASMAN AGA DAN SAR</v>
          </cell>
          <cell r="O326" t="str">
            <v>7412285</v>
          </cell>
          <cell r="P326" t="str">
            <v>27/07/2025 14:00:00 - 29/07/2025 12:00:00</v>
          </cell>
          <cell r="Q326">
            <v>1740000</v>
          </cell>
          <cell r="R326" t="str">
            <v>SUCCESS</v>
          </cell>
        </row>
        <row r="327">
          <cell r="A327">
            <v>1271554064</v>
          </cell>
          <cell r="B327" t="str">
            <v>9112002FY</v>
          </cell>
          <cell r="C327" t="str">
            <v>ABDUL RAIS</v>
          </cell>
          <cell r="D327">
            <v>91127600</v>
          </cell>
          <cell r="E327">
            <v>4120176749</v>
          </cell>
          <cell r="F327" t="str">
            <v>54</v>
          </cell>
          <cell r="G327" t="str">
            <v>Perjalanan Dinas Non-Diklat</v>
          </cell>
          <cell r="H327" t="str">
            <v>Kota Baubau - Kota Makassar</v>
          </cell>
          <cell r="I327" t="str">
            <v>23/07/2025 - 26/07/2025</v>
          </cell>
          <cell r="J327" t="str">
            <v>4</v>
          </cell>
          <cell r="K327" t="str">
            <v>Flight One Way</v>
          </cell>
          <cell r="L327" t="str">
            <v>23-07-2025 23:57:11</v>
          </cell>
          <cell r="M327" t="str">
            <v>Super Air Jet  UPG Hasanuddin IU-572 - Super Air Jet  BUW Betoambari IU-572</v>
          </cell>
          <cell r="N327" t="str">
            <v>TL K3 DAN KAM LAY GAN</v>
          </cell>
          <cell r="O327" t="str">
            <v>7409650</v>
          </cell>
          <cell r="P327" t="str">
            <v>26/07/2025 14:10:00 - 26/07/2025 14:55:00</v>
          </cell>
          <cell r="Q327">
            <v>805200</v>
          </cell>
          <cell r="R327" t="str">
            <v>SUCCESS</v>
          </cell>
        </row>
        <row r="328">
          <cell r="A328">
            <v>1271397873</v>
          </cell>
          <cell r="B328" t="str">
            <v>9112002FY</v>
          </cell>
          <cell r="C328" t="str">
            <v>ABDUL RAIS</v>
          </cell>
          <cell r="D328">
            <v>91127600</v>
          </cell>
          <cell r="E328">
            <v>4120176749</v>
          </cell>
          <cell r="F328" t="str">
            <v>54</v>
          </cell>
          <cell r="G328" t="str">
            <v>Perjalanan Dinas Non-Diklat</v>
          </cell>
          <cell r="H328" t="str">
            <v>Kota Baubau - Kota Makassar</v>
          </cell>
          <cell r="I328" t="str">
            <v>23/07/2025 - 26/07/2025</v>
          </cell>
          <cell r="J328" t="str">
            <v>4</v>
          </cell>
          <cell r="K328" t="str">
            <v>Hotel</v>
          </cell>
          <cell r="L328" t="str">
            <v>23-07-2025 12:14:15</v>
          </cell>
          <cell r="M328" t="str">
            <v xml:space="preserve">Swiss-Belinn Panakkukang - 3.0 Stars  - </v>
          </cell>
          <cell r="N328" t="str">
            <v>TL K3 DAN KAM LAY GAN</v>
          </cell>
          <cell r="O328" t="str">
            <v>7409650</v>
          </cell>
          <cell r="P328" t="str">
            <v>23/07/2025 14:00:00 - 26/07/2025 12:00:00</v>
          </cell>
          <cell r="Q328">
            <v>2080000</v>
          </cell>
          <cell r="R328" t="str">
            <v>SUCCESS</v>
          </cell>
        </row>
        <row r="329">
          <cell r="A329">
            <v>1271464108</v>
          </cell>
          <cell r="B329" t="str">
            <v>8511942Z</v>
          </cell>
          <cell r="C329" t="str">
            <v>JOHAN PRASETYA YUDHA PRAMUKTI</v>
          </cell>
          <cell r="D329">
            <v>85117607</v>
          </cell>
          <cell r="E329">
            <v>4120176814</v>
          </cell>
          <cell r="F329" t="str">
            <v>54</v>
          </cell>
          <cell r="G329" t="str">
            <v>Perjalanan Dinas Non-Diklat</v>
          </cell>
          <cell r="H329" t="str">
            <v>Kota Makassar - Kota Semarang</v>
          </cell>
          <cell r="I329" t="str">
            <v>23/07/2025 - 25/07/2025</v>
          </cell>
          <cell r="J329" t="str">
            <v>3</v>
          </cell>
          <cell r="K329" t="str">
            <v>Flight One Way</v>
          </cell>
          <cell r="L329" t="str">
            <v>23-07-2025 16:49:35</v>
          </cell>
          <cell r="M329" t="str">
            <v>Lion Air Domestic SRG Achmad Yani JT-908 - Lion Air Domestic UPG Hasanuddin JT-908</v>
          </cell>
          <cell r="N329" t="str">
            <v>MAN KEU DAN ANG</v>
          </cell>
          <cell r="O329" t="str">
            <v>7412151</v>
          </cell>
          <cell r="P329" t="str">
            <v>25/07/2025 15:35:00 - 25/07/2025 18:20:00</v>
          </cell>
          <cell r="Q329">
            <v>1258900</v>
          </cell>
          <cell r="R329" t="str">
            <v>SUCCESS</v>
          </cell>
        </row>
        <row r="330">
          <cell r="A330">
            <v>1271326820</v>
          </cell>
          <cell r="B330" t="str">
            <v>8511942Z</v>
          </cell>
          <cell r="C330" t="str">
            <v>JOHAN PRASETYA YUDHA PRAMUKTI</v>
          </cell>
          <cell r="D330">
            <v>85117607</v>
          </cell>
          <cell r="E330">
            <v>4120176814</v>
          </cell>
          <cell r="F330" t="str">
            <v>54</v>
          </cell>
          <cell r="G330" t="str">
            <v>Perjalanan Dinas Non-Diklat</v>
          </cell>
          <cell r="H330" t="str">
            <v>Kota Makassar - Kota Semarang</v>
          </cell>
          <cell r="I330" t="str">
            <v>23/07/2025 - 25/07/2025</v>
          </cell>
          <cell r="J330" t="str">
            <v>3</v>
          </cell>
          <cell r="K330" t="str">
            <v>Hotel</v>
          </cell>
          <cell r="L330" t="str">
            <v>23-07-2025 04:31:43</v>
          </cell>
          <cell r="M330" t="str">
            <v xml:space="preserve">Po Hotel Semarang - 5.0 Stars  - </v>
          </cell>
          <cell r="N330" t="str">
            <v>MAN KEU DAN ANG</v>
          </cell>
          <cell r="O330" t="str">
            <v>7412151</v>
          </cell>
          <cell r="P330" t="str">
            <v>23/07/2025 14:00:00 - 25/07/2025 12:00:00</v>
          </cell>
          <cell r="Q330">
            <v>2416610</v>
          </cell>
          <cell r="R330" t="str">
            <v>SUCCESS</v>
          </cell>
        </row>
        <row r="331">
          <cell r="A331">
            <v>1271219526</v>
          </cell>
          <cell r="B331" t="str">
            <v>8511942Z</v>
          </cell>
          <cell r="C331" t="str">
            <v>JOHAN PRASETYA YUDHA PRAMUKTI</v>
          </cell>
          <cell r="D331">
            <v>85117607</v>
          </cell>
          <cell r="E331">
            <v>4120176814</v>
          </cell>
          <cell r="F331" t="str">
            <v>54</v>
          </cell>
          <cell r="G331" t="str">
            <v>Perjalanan Dinas Non-Diklat</v>
          </cell>
          <cell r="H331" t="str">
            <v>Kota Makassar - Kota Semarang</v>
          </cell>
          <cell r="I331" t="str">
            <v>23/07/2025 - 25/07/2025</v>
          </cell>
          <cell r="J331" t="str">
            <v>3</v>
          </cell>
          <cell r="K331" t="str">
            <v>Flight One Way</v>
          </cell>
          <cell r="L331" t="str">
            <v>22-07-2025 16:14:21</v>
          </cell>
          <cell r="M331" t="str">
            <v>Lion Air Domestic UPG Hasanuddin JT-909 - Lion Air Domestic SRG Achmad Yani JT-909</v>
          </cell>
          <cell r="N331" t="str">
            <v>MAN KEU DAN ANG</v>
          </cell>
          <cell r="O331" t="str">
            <v>7412151</v>
          </cell>
          <cell r="P331" t="str">
            <v>23/07/2025 14:05:00 - 23/07/2025 14:50:00</v>
          </cell>
          <cell r="Q331">
            <v>1444000</v>
          </cell>
          <cell r="R331" t="str">
            <v>SUCCESS</v>
          </cell>
        </row>
        <row r="332">
          <cell r="A332">
            <v>1271109892</v>
          </cell>
          <cell r="B332" t="str">
            <v>9414001FY</v>
          </cell>
          <cell r="C332" t="str">
            <v xml:space="preserve">ZULKARNAIN </v>
          </cell>
          <cell r="D332">
            <v>96137716</v>
          </cell>
          <cell r="E332">
            <v>4120176612</v>
          </cell>
          <cell r="F332" t="str">
            <v>54</v>
          </cell>
          <cell r="G332" t="str">
            <v>Perjalanan Dinas Diklat</v>
          </cell>
          <cell r="H332" t="str">
            <v>Kota Makassar - Jakarta Barat</v>
          </cell>
          <cell r="I332" t="str">
            <v>27/07/2025 - 30/07/2025</v>
          </cell>
          <cell r="J332" t="str">
            <v>4</v>
          </cell>
          <cell r="K332" t="str">
            <v>Flight One Way</v>
          </cell>
          <cell r="L332" t="str">
            <v>22-07-2025 08:16:30</v>
          </cell>
          <cell r="M332" t="str">
            <v>Garuda Indonesia Domestic UPG Hasanuddin GA-617 - Garuda Indonesia  CGK Soekarno Hatta International Airport GA-617</v>
          </cell>
          <cell r="N332" t="str">
            <v>JTC PDKB</v>
          </cell>
          <cell r="O332" t="str">
            <v>74092805</v>
          </cell>
          <cell r="P332" t="str">
            <v>27/07/2025 07:15:00 - 27/07/2025 08:45:00</v>
          </cell>
          <cell r="Q332">
            <v>1465000</v>
          </cell>
          <cell r="R332" t="str">
            <v>SUCCESS</v>
          </cell>
        </row>
        <row r="333">
          <cell r="A333">
            <v>1271110545</v>
          </cell>
          <cell r="B333" t="str">
            <v>9414001FY</v>
          </cell>
          <cell r="C333" t="str">
            <v xml:space="preserve">ZULKARNAIN </v>
          </cell>
          <cell r="D333">
            <v>96137716</v>
          </cell>
          <cell r="E333">
            <v>4120176612</v>
          </cell>
          <cell r="F333" t="str">
            <v>54</v>
          </cell>
          <cell r="G333" t="str">
            <v>Perjalanan Dinas Diklat</v>
          </cell>
          <cell r="H333" t="str">
            <v>Kota Makassar - Jakarta Barat</v>
          </cell>
          <cell r="I333" t="str">
            <v>27/07/2025 - 30/07/2025</v>
          </cell>
          <cell r="J333" t="str">
            <v>4</v>
          </cell>
          <cell r="K333" t="str">
            <v>Flight One Way</v>
          </cell>
          <cell r="L333" t="str">
            <v>22-07-2025 08:20:49</v>
          </cell>
          <cell r="M333" t="str">
            <v>Garuda Indonesia  CGK Soekarno Hatta International Airport GA-612 - Garuda Indonesia Domestic UPG Hasanuddin GA-612</v>
          </cell>
          <cell r="N333" t="str">
            <v>JTC PDKB</v>
          </cell>
          <cell r="O333" t="str">
            <v>74092805</v>
          </cell>
          <cell r="P333" t="str">
            <v>30/07/2025 14:25:00 - 30/07/2025 18:00:00</v>
          </cell>
          <cell r="Q333">
            <v>2274600</v>
          </cell>
          <cell r="R333" t="str">
            <v>SUCCESS</v>
          </cell>
        </row>
        <row r="334">
          <cell r="A334">
            <v>1271244814</v>
          </cell>
          <cell r="B334" t="str">
            <v>93161433ZY</v>
          </cell>
          <cell r="C334" t="str">
            <v>ELISA NURLAILY</v>
          </cell>
          <cell r="D334">
            <v>93167615</v>
          </cell>
          <cell r="E334">
            <v>4120176779</v>
          </cell>
          <cell r="F334" t="str">
            <v>54</v>
          </cell>
          <cell r="G334" t="str">
            <v>Perjalanan Dinas Non-Diklat</v>
          </cell>
          <cell r="H334" t="str">
            <v>Kab. Kepulauan Selayar - Kab. Kepulauan Selayar</v>
          </cell>
          <cell r="I334" t="str">
            <v>22/07/2025 - 23/07/2025</v>
          </cell>
          <cell r="J334" t="str">
            <v>2</v>
          </cell>
          <cell r="K334" t="str">
            <v>Hotel</v>
          </cell>
          <cell r="L334" t="str">
            <v>22-07-2025 18:07:14</v>
          </cell>
          <cell r="M334" t="str">
            <v xml:space="preserve">Rayhan Square Hotel - 3.0 Stars  - </v>
          </cell>
          <cell r="N334" t="str">
            <v>TL KEU DAN AKT</v>
          </cell>
          <cell r="O334" t="str">
            <v>7412274</v>
          </cell>
          <cell r="P334" t="str">
            <v>22/07/2025 14:00:00 - 23/07/2025 12:00:00</v>
          </cell>
          <cell r="Q334">
            <v>550000</v>
          </cell>
          <cell r="R334" t="str">
            <v>SUCCESS</v>
          </cell>
        </row>
        <row r="335">
          <cell r="A335">
            <v>1271245163</v>
          </cell>
          <cell r="B335" t="str">
            <v>8609036F</v>
          </cell>
          <cell r="C335" t="str">
            <v>ISMAIL USMAN</v>
          </cell>
          <cell r="D335">
            <v>86097607</v>
          </cell>
          <cell r="E335">
            <v>4120176794</v>
          </cell>
          <cell r="F335" t="str">
            <v>54</v>
          </cell>
          <cell r="G335" t="str">
            <v>Perjalanan Dinas Non-Diklat</v>
          </cell>
          <cell r="H335" t="str">
            <v>Kab. Bulukumba - Kab. Kepulauan Selayar</v>
          </cell>
          <cell r="I335" t="str">
            <v>22/07/2025 - 23/07/2025</v>
          </cell>
          <cell r="J335" t="str">
            <v>2</v>
          </cell>
          <cell r="K335" t="str">
            <v>Hotel</v>
          </cell>
          <cell r="L335" t="str">
            <v>22-07-2025 18:08:48</v>
          </cell>
          <cell r="M335" t="str">
            <v xml:space="preserve">Rayhan Square Hotel - 3.0 Stars  - </v>
          </cell>
          <cell r="N335" t="str">
            <v>TL HAR DIST</v>
          </cell>
          <cell r="O335" t="str">
            <v>7409271</v>
          </cell>
          <cell r="P335" t="str">
            <v>22/07/2025 14:00:00 - 23/07/2025 12:00:00</v>
          </cell>
          <cell r="Q335">
            <v>550000</v>
          </cell>
          <cell r="R335" t="str">
            <v>SUCCESS</v>
          </cell>
        </row>
        <row r="336">
          <cell r="A336">
            <v>1271244286</v>
          </cell>
          <cell r="B336" t="str">
            <v>9318640ZY</v>
          </cell>
          <cell r="C336" t="str">
            <v xml:space="preserve">PURNOTO </v>
          </cell>
          <cell r="D336">
            <v>93187623</v>
          </cell>
          <cell r="E336">
            <v>4120176799</v>
          </cell>
          <cell r="F336" t="str">
            <v>54</v>
          </cell>
          <cell r="G336" t="str">
            <v>Perjalanan Dinas Non-Diklat</v>
          </cell>
          <cell r="H336" t="str">
            <v>Kab. Bulukumba - Kab. Kepulauan Selayar</v>
          </cell>
          <cell r="I336" t="str">
            <v>22/07/2025 - 23/07/2025</v>
          </cell>
          <cell r="J336" t="str">
            <v>2</v>
          </cell>
          <cell r="K336" t="str">
            <v>Hotel</v>
          </cell>
          <cell r="L336" t="str">
            <v>22-07-2025 18:04:51</v>
          </cell>
          <cell r="M336" t="str">
            <v xml:space="preserve">Rayhan Square Hotel - 3.0 Stars  - </v>
          </cell>
          <cell r="N336" t="str">
            <v>TL LOG</v>
          </cell>
          <cell r="O336" t="str">
            <v>7409271</v>
          </cell>
          <cell r="P336" t="str">
            <v>22/07/2025 14:00:00 - 23/07/2025 12:00:00</v>
          </cell>
          <cell r="Q336">
            <v>550000</v>
          </cell>
          <cell r="R336" t="str">
            <v>SUCCESS</v>
          </cell>
        </row>
        <row r="337">
          <cell r="A337">
            <v>1271907178</v>
          </cell>
          <cell r="B337" t="str">
            <v>9620548ZY</v>
          </cell>
          <cell r="C337" t="str">
            <v>BAGUS ALBARANU YULIATMOKO</v>
          </cell>
          <cell r="D337">
            <v>96207604</v>
          </cell>
          <cell r="E337">
            <v>4120176771</v>
          </cell>
          <cell r="F337" t="str">
            <v>54</v>
          </cell>
          <cell r="G337" t="str">
            <v>Perjalanan Dinas Non-Diklat</v>
          </cell>
          <cell r="H337" t="str">
            <v>KotaMakassar-KotaBogor</v>
          </cell>
          <cell r="I337" t="str">
            <v>22/07/2025 - 26/07/2025</v>
          </cell>
          <cell r="J337" t="str">
            <v>5</v>
          </cell>
          <cell r="K337" t="str">
            <v>Flight One Way</v>
          </cell>
          <cell r="L337" t="str">
            <v>25-07-2025 13:16:08</v>
          </cell>
          <cell r="M337" t="str">
            <v>Garuda Indonesia  CGK Soekarno Hatta International Airport GA-618 - Garuda Indonesia Domestic UPG Hasanuddin GA-618</v>
          </cell>
          <cell r="N337" t="str">
            <v>OF OP DAN HAR SIS DIST</v>
          </cell>
          <cell r="O337" t="str">
            <v>0007412000</v>
          </cell>
          <cell r="P337" t="str">
            <v>25/07/2025 20:15:00 - 25/07/2025 23:50:00</v>
          </cell>
          <cell r="Q337">
            <v>2194600</v>
          </cell>
          <cell r="R337" t="str">
            <v>SUCCESS</v>
          </cell>
        </row>
        <row r="338">
          <cell r="A338">
            <v>1270996758</v>
          </cell>
          <cell r="B338" t="str">
            <v>9620548ZY</v>
          </cell>
          <cell r="C338" t="str">
            <v>BAGUS ALBARANU YULIATMOKO</v>
          </cell>
          <cell r="D338">
            <v>96207604</v>
          </cell>
          <cell r="E338">
            <v>4120176771</v>
          </cell>
          <cell r="F338" t="str">
            <v>54</v>
          </cell>
          <cell r="G338" t="str">
            <v>Perjalanan Dinas Non-Diklat</v>
          </cell>
          <cell r="H338" t="str">
            <v>Kota Makassar - Kota Bogor</v>
          </cell>
          <cell r="I338" t="str">
            <v>22/07/2025 - 26/07/2025</v>
          </cell>
          <cell r="J338" t="str">
            <v>5</v>
          </cell>
          <cell r="K338" t="str">
            <v>Hotel</v>
          </cell>
          <cell r="L338" t="str">
            <v>21-07-2025 16:57:15</v>
          </cell>
          <cell r="M338" t="str">
            <v xml:space="preserve">Grand Savero Hotel Bogor - 4.0 Stars  - </v>
          </cell>
          <cell r="N338" t="str">
            <v>OF OP DAN HAR SIS DIST</v>
          </cell>
          <cell r="O338" t="str">
            <v>7412000</v>
          </cell>
          <cell r="P338" t="str">
            <v>24/07/2025 14:00:00 - 25/07/2025 12:00:00</v>
          </cell>
          <cell r="Q338">
            <v>763750</v>
          </cell>
          <cell r="R338" t="str">
            <v>SUCCESS</v>
          </cell>
        </row>
        <row r="339">
          <cell r="A339">
            <v>1270993058</v>
          </cell>
          <cell r="B339" t="str">
            <v>9620548ZY</v>
          </cell>
          <cell r="C339" t="str">
            <v>BAGUS ALBARANU YULIATMOKO</v>
          </cell>
          <cell r="D339">
            <v>96207604</v>
          </cell>
          <cell r="E339">
            <v>4120176771</v>
          </cell>
          <cell r="F339" t="str">
            <v>54</v>
          </cell>
          <cell r="G339" t="str">
            <v>Perjalanan Dinas Non-Diklat</v>
          </cell>
          <cell r="H339" t="str">
            <v>Kota Makassar - Kota Bogor</v>
          </cell>
          <cell r="I339" t="str">
            <v>22/07/2025 - 26/07/2025</v>
          </cell>
          <cell r="J339" t="str">
            <v>5</v>
          </cell>
          <cell r="K339" t="str">
            <v>Flight One Way</v>
          </cell>
          <cell r="L339" t="str">
            <v>21-07-2025 16:41:40</v>
          </cell>
          <cell r="M339" t="str">
            <v>Garuda Indonesia Domestic UPG Hasanuddin GA-609 - Garuda Indonesia  CGK Soekarno Hatta International Airport GA-609</v>
          </cell>
          <cell r="N339" t="str">
            <v>OF OP DAN HAR SIS DIST</v>
          </cell>
          <cell r="O339" t="str">
            <v>7412000</v>
          </cell>
          <cell r="P339" t="str">
            <v>22/07/2025 18:05:00 - 22/07/2025 19:30:00</v>
          </cell>
          <cell r="Q339">
            <v>2032900</v>
          </cell>
          <cell r="R339" t="str">
            <v>SUCCESS</v>
          </cell>
        </row>
        <row r="340">
          <cell r="A340">
            <v>1270993596</v>
          </cell>
          <cell r="B340" t="str">
            <v>9620548ZY</v>
          </cell>
          <cell r="C340" t="str">
            <v>BAGUS ALBARANU YULIATMOKO</v>
          </cell>
          <cell r="D340">
            <v>96207604</v>
          </cell>
          <cell r="E340">
            <v>4120176771</v>
          </cell>
          <cell r="F340" t="str">
            <v>54</v>
          </cell>
          <cell r="G340" t="str">
            <v>Perjalanan Dinas Non-Diklat</v>
          </cell>
          <cell r="H340" t="str">
            <v>Kota Makassar - Kota Bogor</v>
          </cell>
          <cell r="I340" t="str">
            <v>22/07/2025 - 26/07/2025</v>
          </cell>
          <cell r="J340" t="str">
            <v>5</v>
          </cell>
          <cell r="K340" t="str">
            <v>Hotel</v>
          </cell>
          <cell r="L340" t="str">
            <v>21-07-2025 16:43:55</v>
          </cell>
          <cell r="M340" t="str">
            <v xml:space="preserve">ibis Styles Bogor Pajajaran - 3.0 Stars  - </v>
          </cell>
          <cell r="N340" t="str">
            <v>OF OP DAN HAR SIS DIST</v>
          </cell>
          <cell r="O340" t="str">
            <v>7412000</v>
          </cell>
          <cell r="P340" t="str">
            <v>22/07/2025 14:00:00 - 24/07/2025 12:00:00</v>
          </cell>
          <cell r="Q340">
            <v>1673999</v>
          </cell>
          <cell r="R340" t="str">
            <v>SUCCESS</v>
          </cell>
        </row>
        <row r="341">
          <cell r="A341">
            <v>1271054720</v>
          </cell>
          <cell r="B341" t="str">
            <v>93161029ZY</v>
          </cell>
          <cell r="C341" t="str">
            <v xml:space="preserve">ASDARIA </v>
          </cell>
          <cell r="D341">
            <v>93167609</v>
          </cell>
          <cell r="E341">
            <v>4120176800</v>
          </cell>
          <cell r="F341" t="str">
            <v>54</v>
          </cell>
          <cell r="G341" t="str">
            <v>Perjalanan Dinas Non-Diklat</v>
          </cell>
          <cell r="H341" t="str">
            <v>Kota Makassar - Kota Bogor</v>
          </cell>
          <cell r="I341" t="str">
            <v>22/07/2025 - 26/07/2025</v>
          </cell>
          <cell r="J341" t="str">
            <v>5</v>
          </cell>
          <cell r="K341" t="str">
            <v>Hotel</v>
          </cell>
          <cell r="L341" t="str">
            <v>21-07-2025 21:19:21</v>
          </cell>
          <cell r="M341" t="str">
            <v xml:space="preserve">Bigland Bogor Hotel Powered by Archipelago - 4.0 Stars  - </v>
          </cell>
          <cell r="N341" t="str">
            <v>OF DIG SERVICE DAN CUST EX</v>
          </cell>
          <cell r="O341" t="str">
            <v>7411140</v>
          </cell>
          <cell r="P341" t="str">
            <v>22/07/2025 14:00:00 - 25/07/2025 12:00:00</v>
          </cell>
          <cell r="Q341">
            <v>2278575</v>
          </cell>
          <cell r="R341" t="str">
            <v>SUCCESS</v>
          </cell>
        </row>
        <row r="342">
          <cell r="A342">
            <v>1271883017</v>
          </cell>
          <cell r="B342" t="str">
            <v>93161029ZY</v>
          </cell>
          <cell r="C342" t="str">
            <v>ASDARIA</v>
          </cell>
          <cell r="D342">
            <v>93167609</v>
          </cell>
          <cell r="E342">
            <v>4120176800</v>
          </cell>
          <cell r="F342" t="str">
            <v>54</v>
          </cell>
          <cell r="G342" t="str">
            <v>Perjalanan Dinas Non-Diklat</v>
          </cell>
          <cell r="H342" t="str">
            <v>KotaMakassar-KotaBogor</v>
          </cell>
          <cell r="I342" t="str">
            <v>22/07/2025 - 26/07/2025</v>
          </cell>
          <cell r="J342" t="str">
            <v>5</v>
          </cell>
          <cell r="K342" t="str">
            <v>Flight One Way</v>
          </cell>
          <cell r="L342" t="str">
            <v>25-07-2025 11:41:32</v>
          </cell>
          <cell r="M342" t="str">
            <v>Garuda Indonesia  CGK Soekarno Hatta International Airport GA-618 - Garuda Indonesia Domestic UPG Hasanuddin GA-618</v>
          </cell>
          <cell r="N342" t="str">
            <v>OF DIG SERVICE DAN CUST EX</v>
          </cell>
          <cell r="O342" t="str">
            <v>0007411140</v>
          </cell>
          <cell r="P342" t="str">
            <v>25/07/2025 20:15:00 - 25/07/2025 23:50:00</v>
          </cell>
          <cell r="Q342">
            <v>2194600</v>
          </cell>
          <cell r="R342" t="str">
            <v>SUCCESS</v>
          </cell>
        </row>
        <row r="343">
          <cell r="A343">
            <v>1270997492</v>
          </cell>
          <cell r="B343" t="str">
            <v>93161029ZY</v>
          </cell>
          <cell r="C343" t="str">
            <v xml:space="preserve">ASDARIA </v>
          </cell>
          <cell r="D343">
            <v>93167609</v>
          </cell>
          <cell r="E343">
            <v>4120176800</v>
          </cell>
          <cell r="F343" t="str">
            <v>54</v>
          </cell>
          <cell r="G343" t="str">
            <v>Perjalanan Dinas Non-Diklat</v>
          </cell>
          <cell r="H343" t="str">
            <v>Kota Makassar - Kota Bogor</v>
          </cell>
          <cell r="I343" t="str">
            <v>22/07/2025 - 26/07/2025</v>
          </cell>
          <cell r="J343" t="str">
            <v>5</v>
          </cell>
          <cell r="K343" t="str">
            <v>Flight One Way</v>
          </cell>
          <cell r="L343" t="str">
            <v>21-07-2025 17:00:29</v>
          </cell>
          <cell r="M343" t="str">
            <v>Garuda Indonesia Domestic UPG Hasanuddin GA-605 - Garuda Indonesia  CGK Soekarno Hatta International Airport GA-605</v>
          </cell>
          <cell r="N343" t="str">
            <v>OF DIG SERVICE DAN CUST EX</v>
          </cell>
          <cell r="O343" t="str">
            <v>7411140</v>
          </cell>
          <cell r="P343" t="str">
            <v>22/07/2025 10:55:00 - 22/07/2025 12:25:00</v>
          </cell>
          <cell r="Q343">
            <v>2221900</v>
          </cell>
          <cell r="R343" t="str">
            <v>SUCCESS</v>
          </cell>
        </row>
        <row r="344">
          <cell r="A344">
            <v>1271984318</v>
          </cell>
          <cell r="B344" t="str">
            <v>8609527Z</v>
          </cell>
          <cell r="C344" t="str">
            <v>MUHAMMAD SUSGANDINATA</v>
          </cell>
          <cell r="D344">
            <v>86097601</v>
          </cell>
          <cell r="E344">
            <v>4120176792</v>
          </cell>
          <cell r="F344" t="str">
            <v>54</v>
          </cell>
          <cell r="G344" t="str">
            <v>Perjalanan Dinas Non-Diklat</v>
          </cell>
          <cell r="H344" t="str">
            <v>KotaMakassar-KotaDenpasar</v>
          </cell>
          <cell r="I344" t="str">
            <v>23/07/2025 - 26/07/2025</v>
          </cell>
          <cell r="J344" t="str">
            <v>4</v>
          </cell>
          <cell r="K344" t="str">
            <v>Hotel</v>
          </cell>
          <cell r="L344" t="str">
            <v>25-07-2025 18:08:34</v>
          </cell>
          <cell r="M344" t="str">
            <v xml:space="preserve">BEST WESTERN Kuta Villa - 4.0 Stars  - </v>
          </cell>
          <cell r="N344" t="str">
            <v>MAN YAN GAN</v>
          </cell>
          <cell r="O344" t="str">
            <v>0007411140</v>
          </cell>
          <cell r="P344" t="str">
            <v>25/07/2025 14:00:00 - 26/07/2025 12:00:00</v>
          </cell>
          <cell r="Q344">
            <v>653400</v>
          </cell>
          <cell r="R344" t="str">
            <v>SUCCESS</v>
          </cell>
        </row>
        <row r="345">
          <cell r="A345">
            <v>1272008209</v>
          </cell>
          <cell r="B345" t="str">
            <v>8609527Z</v>
          </cell>
          <cell r="C345" t="str">
            <v>MUHAMMAD SUSGANDINATA</v>
          </cell>
          <cell r="D345">
            <v>86097601</v>
          </cell>
          <cell r="E345">
            <v>4120176792</v>
          </cell>
          <cell r="F345" t="str">
            <v>54</v>
          </cell>
          <cell r="G345" t="str">
            <v>Perjalanan Dinas Non-Diklat</v>
          </cell>
          <cell r="H345" t="str">
            <v>KotaMakassar-KotaDenpasar</v>
          </cell>
          <cell r="I345" t="str">
            <v>23/07/2025 - 26/07/2025</v>
          </cell>
          <cell r="J345" t="str">
            <v>4</v>
          </cell>
          <cell r="K345" t="str">
            <v>Flight One Way</v>
          </cell>
          <cell r="L345" t="str">
            <v>25-07-2025 19:44:27</v>
          </cell>
          <cell r="M345" t="str">
            <v>Lion Air Domestic DPS Ngurah Rai International Airport JT-746 - Lion Air Domestic UPG Hasanuddin JT-746</v>
          </cell>
          <cell r="N345" t="str">
            <v>MAN YAN GAN</v>
          </cell>
          <cell r="O345" t="str">
            <v>0007411140</v>
          </cell>
          <cell r="P345" t="str">
            <v>26/07/2025 07:00:00 - 26/07/2025 08:20:00</v>
          </cell>
          <cell r="Q345">
            <v>910100</v>
          </cell>
          <cell r="R345" t="str">
            <v>SUCCESS</v>
          </cell>
        </row>
        <row r="346">
          <cell r="A346">
            <v>1271213571</v>
          </cell>
          <cell r="B346" t="str">
            <v>8609527Z</v>
          </cell>
          <cell r="C346" t="str">
            <v>MUHAMMAD SUSGANDINATA</v>
          </cell>
          <cell r="D346">
            <v>86097601</v>
          </cell>
          <cell r="E346">
            <v>4120176792</v>
          </cell>
          <cell r="F346" t="str">
            <v>54</v>
          </cell>
          <cell r="G346" t="str">
            <v>Perjalanan Dinas Non-Diklat</v>
          </cell>
          <cell r="H346" t="str">
            <v>Kota Makassar - Kota Denpasar</v>
          </cell>
          <cell r="I346" t="str">
            <v>23/07/2025 - 26/07/2025</v>
          </cell>
          <cell r="J346" t="str">
            <v>4</v>
          </cell>
          <cell r="K346" t="str">
            <v>Flight One Way</v>
          </cell>
          <cell r="L346" t="str">
            <v>22-07-2025 15:47:35</v>
          </cell>
          <cell r="M346" t="str">
            <v>Lion Air Domestic UPG Hasanuddin JT-745 - Lion Air Domestic DPS Ngurah Rai International Airport JT-745</v>
          </cell>
          <cell r="N346" t="str">
            <v>MAN YAN GAN</v>
          </cell>
          <cell r="O346" t="str">
            <v>7411140</v>
          </cell>
          <cell r="P346" t="str">
            <v>23/07/2025 14:25:00 - 23/07/2025 15:50:00</v>
          </cell>
          <cell r="Q346">
            <v>1276500</v>
          </cell>
          <cell r="R346" t="str">
            <v>SUCCESS</v>
          </cell>
        </row>
        <row r="347">
          <cell r="A347">
            <v>1271217452</v>
          </cell>
          <cell r="B347" t="str">
            <v>8609527Z</v>
          </cell>
          <cell r="C347" t="str">
            <v>MUHAMMAD SUSGANDINATA</v>
          </cell>
          <cell r="D347">
            <v>86097601</v>
          </cell>
          <cell r="E347">
            <v>4120176792</v>
          </cell>
          <cell r="F347" t="str">
            <v>54</v>
          </cell>
          <cell r="G347" t="str">
            <v>Perjalanan Dinas Non-Diklat</v>
          </cell>
          <cell r="H347" t="str">
            <v>Kota Makassar - Kota Denpasar</v>
          </cell>
          <cell r="I347" t="str">
            <v>23/07/2025 - 26/07/2025</v>
          </cell>
          <cell r="J347" t="str">
            <v>4</v>
          </cell>
          <cell r="K347" t="str">
            <v>Hotel</v>
          </cell>
          <cell r="L347" t="str">
            <v>22-07-2025 16:04:32</v>
          </cell>
          <cell r="M347" t="str">
            <v xml:space="preserve">Atanaya Kuta Bali - 4.0 Stars  - </v>
          </cell>
          <cell r="N347" t="str">
            <v>MAN YAN GAN</v>
          </cell>
          <cell r="O347" t="str">
            <v>7411140</v>
          </cell>
          <cell r="P347" t="str">
            <v>23/07/2025 14:00:00 - 24/07/2025 12:00:00</v>
          </cell>
          <cell r="Q347">
            <v>656250</v>
          </cell>
          <cell r="R347" t="str">
            <v>SUCCESS</v>
          </cell>
        </row>
        <row r="348">
          <cell r="A348">
            <v>1271601117</v>
          </cell>
          <cell r="B348" t="str">
            <v>8609527Z</v>
          </cell>
          <cell r="C348" t="str">
            <v>MUHAMMAD SUSGANDINATA</v>
          </cell>
          <cell r="D348">
            <v>86097601</v>
          </cell>
          <cell r="E348">
            <v>4120176792</v>
          </cell>
          <cell r="F348" t="str">
            <v>54</v>
          </cell>
          <cell r="G348" t="str">
            <v>Perjalanan Dinas Non-Diklat</v>
          </cell>
          <cell r="H348" t="str">
            <v>Kota Makassar - Kota Denpasar</v>
          </cell>
          <cell r="I348" t="str">
            <v>23/07/2025 - 26/07/2025</v>
          </cell>
          <cell r="J348" t="str">
            <v>4</v>
          </cell>
          <cell r="K348" t="str">
            <v>Hotel</v>
          </cell>
          <cell r="L348" t="str">
            <v>24-07-2025 09:21:51</v>
          </cell>
          <cell r="M348" t="str">
            <v xml:space="preserve">ibis Styles Bali Denpasar - 3.0 Stars  - </v>
          </cell>
          <cell r="N348" t="str">
            <v>MAN YAN GAN</v>
          </cell>
          <cell r="O348" t="str">
            <v>7411140</v>
          </cell>
          <cell r="P348" t="str">
            <v>24/07/2025 14:00:00 - 25/07/2025 12:00:00</v>
          </cell>
          <cell r="Q348">
            <v>617470</v>
          </cell>
          <cell r="R348" t="str">
            <v>SUCCESS</v>
          </cell>
        </row>
        <row r="349">
          <cell r="A349">
            <v>1270934806</v>
          </cell>
          <cell r="B349" t="str">
            <v>8712617ZY</v>
          </cell>
          <cell r="C349" t="str">
            <v>M. LUKMAN HAKIM</v>
          </cell>
          <cell r="D349">
            <v>87127603</v>
          </cell>
          <cell r="E349">
            <v>4120176772</v>
          </cell>
          <cell r="F349" t="str">
            <v>54</v>
          </cell>
          <cell r="G349" t="str">
            <v>Perjalanan Dinas Non-Diklat</v>
          </cell>
          <cell r="H349" t="str">
            <v>Kota Makassar - Kota Denpasar</v>
          </cell>
          <cell r="I349" t="str">
            <v>23/07/2025 - 26/07/2025</v>
          </cell>
          <cell r="J349" t="str">
            <v>4</v>
          </cell>
          <cell r="K349" t="str">
            <v>Flight One Way</v>
          </cell>
          <cell r="L349" t="str">
            <v>21-07-2025 12:34:44</v>
          </cell>
          <cell r="M349" t="str">
            <v>Lion Air Domestic UPG Hasanuddin JT-745 - Lion Air Domestic DPS Ngurah Rai International Airport JT-745</v>
          </cell>
          <cell r="N349" t="str">
            <v>ASMAN DIG SERVICE DAN CUST EX</v>
          </cell>
          <cell r="O349" t="str">
            <v>7411140</v>
          </cell>
          <cell r="P349" t="str">
            <v>23/07/2025 14:25:00 - 23/07/2025 15:50:00</v>
          </cell>
          <cell r="Q349">
            <v>1224000</v>
          </cell>
          <cell r="R349" t="str">
            <v>SUCCESS</v>
          </cell>
        </row>
        <row r="350">
          <cell r="A350">
            <v>1271823688</v>
          </cell>
          <cell r="B350" t="str">
            <v>8712617ZY</v>
          </cell>
          <cell r="C350" t="str">
            <v>M. LUKMAN HAKIM</v>
          </cell>
          <cell r="D350">
            <v>87127603</v>
          </cell>
          <cell r="E350">
            <v>4120176772</v>
          </cell>
          <cell r="F350" t="str">
            <v>54</v>
          </cell>
          <cell r="G350" t="str">
            <v>Perjalanan Dinas Non-Diklat</v>
          </cell>
          <cell r="H350" t="str">
            <v>Kota Makassar - Kota Denpasar</v>
          </cell>
          <cell r="I350" t="str">
            <v>23/07/2025 - 26/07/2025</v>
          </cell>
          <cell r="J350" t="str">
            <v>4</v>
          </cell>
          <cell r="K350" t="str">
            <v>Hotel</v>
          </cell>
          <cell r="L350" t="str">
            <v>25-07-2025 07:14:42</v>
          </cell>
          <cell r="M350" t="str">
            <v xml:space="preserve">Episode Kuta Bali - 4.0 Stars  - </v>
          </cell>
          <cell r="N350" t="str">
            <v>ASMAN DIG SERVICE DAN CUST EX</v>
          </cell>
          <cell r="O350" t="str">
            <v>7411140</v>
          </cell>
          <cell r="P350" t="str">
            <v>25/07/2025 14:00:00 - 26/07/2025 12:00:00</v>
          </cell>
          <cell r="Q350">
            <v>945000</v>
          </cell>
          <cell r="R350" t="str">
            <v>SUCCESS</v>
          </cell>
        </row>
        <row r="351">
          <cell r="A351">
            <v>1271950417</v>
          </cell>
          <cell r="B351" t="str">
            <v>8712617ZY</v>
          </cell>
          <cell r="C351" t="str">
            <v>M. LUKMAN HAKIM</v>
          </cell>
          <cell r="D351">
            <v>87127603</v>
          </cell>
          <cell r="E351">
            <v>4120176772</v>
          </cell>
          <cell r="F351" t="str">
            <v>54</v>
          </cell>
          <cell r="G351" t="str">
            <v>Perjalanan Dinas Non-Diklat</v>
          </cell>
          <cell r="H351" t="str">
            <v>Kota Makassar - Kota Denpasar</v>
          </cell>
          <cell r="I351" t="str">
            <v>23/07/2025 - 26/07/2025</v>
          </cell>
          <cell r="J351" t="str">
            <v>4</v>
          </cell>
          <cell r="K351" t="str">
            <v>Flight One Way</v>
          </cell>
          <cell r="L351" t="str">
            <v>25-07-2025 15:55:27</v>
          </cell>
          <cell r="M351" t="str">
            <v>Lion Air Domestic DPS Ngurah Rai International Airport JT-740 - Lion Air Domestic UPG Hasanuddin JT-740</v>
          </cell>
          <cell r="N351" t="str">
            <v>ASMAN DIG SERVICE DAN CUST EX</v>
          </cell>
          <cell r="O351" t="str">
            <v>7411140</v>
          </cell>
          <cell r="P351" t="str">
            <v>26/07/2025 14:40:00 - 26/07/2025 16:00:00</v>
          </cell>
          <cell r="Q351">
            <v>910100</v>
          </cell>
          <cell r="R351" t="str">
            <v>SUCCESS</v>
          </cell>
        </row>
        <row r="352">
          <cell r="A352">
            <v>1271339650</v>
          </cell>
          <cell r="B352" t="str">
            <v>8712617ZY</v>
          </cell>
          <cell r="C352" t="str">
            <v>M. LUKMAN HAKIM</v>
          </cell>
          <cell r="D352">
            <v>87127603</v>
          </cell>
          <cell r="E352">
            <v>4120176772</v>
          </cell>
          <cell r="F352" t="str">
            <v>54</v>
          </cell>
          <cell r="G352" t="str">
            <v>Perjalanan Dinas Non-Diklat</v>
          </cell>
          <cell r="H352" t="str">
            <v>Kota Makassar - Kota Denpasar</v>
          </cell>
          <cell r="I352" t="str">
            <v>23/07/2025 - 26/07/2025</v>
          </cell>
          <cell r="J352" t="str">
            <v>4</v>
          </cell>
          <cell r="K352" t="str">
            <v>Hotel</v>
          </cell>
          <cell r="L352" t="str">
            <v>23-07-2025 07:34:34</v>
          </cell>
          <cell r="M352" t="str">
            <v xml:space="preserve">Cross Vibe Paasha Atelier Bali Kuta managed by Cross Hotels &amp; Resorts - 4.0 Stars  - </v>
          </cell>
          <cell r="N352" t="str">
            <v>ASMAN DIG SERVICE DAN CUST EX</v>
          </cell>
          <cell r="O352" t="str">
            <v>7411140</v>
          </cell>
          <cell r="P352" t="str">
            <v>23/07/2025 14:00:00 - 25/07/2025 12:00:00</v>
          </cell>
          <cell r="Q352">
            <v>1766632</v>
          </cell>
          <cell r="R352" t="str">
            <v>SUCCESS</v>
          </cell>
        </row>
        <row r="353">
          <cell r="A353">
            <v>1271023187</v>
          </cell>
          <cell r="B353" t="str">
            <v>9313044FY</v>
          </cell>
          <cell r="C353" t="str">
            <v>ANDI FAKHRUL SAM</v>
          </cell>
          <cell r="D353">
            <v>93137642</v>
          </cell>
          <cell r="E353">
            <v>4120176744</v>
          </cell>
          <cell r="F353" t="str">
            <v>54</v>
          </cell>
          <cell r="G353" t="str">
            <v>Perjalanan Dinas Non-Diklat</v>
          </cell>
          <cell r="H353" t="str">
            <v>KotaBaubau-KotaMakassar</v>
          </cell>
          <cell r="I353" t="str">
            <v>20/07/2025 - 23/07/2025</v>
          </cell>
          <cell r="J353" t="str">
            <v>4</v>
          </cell>
          <cell r="K353" t="str">
            <v>Hotel</v>
          </cell>
          <cell r="L353" t="str">
            <v>21-07-2025 18:57:04</v>
          </cell>
          <cell r="M353" t="str">
            <v xml:space="preserve">Melia Makassar - 4.0 Stars  - </v>
          </cell>
          <cell r="N353" t="str">
            <v>TL OP (BAUBAU)</v>
          </cell>
          <cell r="O353" t="str">
            <v>0007409342</v>
          </cell>
          <cell r="P353" t="str">
            <v>21/07/2025 14:00:00 - 22/07/2025 12:00:00</v>
          </cell>
          <cell r="Q353">
            <v>803250</v>
          </cell>
          <cell r="R353" t="str">
            <v>SUCCESS</v>
          </cell>
        </row>
        <row r="354">
          <cell r="A354">
            <v>1270914627</v>
          </cell>
          <cell r="B354" t="str">
            <v>9313044FY</v>
          </cell>
          <cell r="C354" t="str">
            <v>ANDI FAKHRUL SAM</v>
          </cell>
          <cell r="D354">
            <v>93137642</v>
          </cell>
          <cell r="E354">
            <v>4120176744</v>
          </cell>
          <cell r="F354" t="str">
            <v>54</v>
          </cell>
          <cell r="G354" t="str">
            <v>Perjalanan Dinas Non-Diklat</v>
          </cell>
          <cell r="H354" t="str">
            <v>Kota Baubau - Kota Makassar</v>
          </cell>
          <cell r="I354" t="str">
            <v>20/07/2025 - 23/07/2025</v>
          </cell>
          <cell r="J354" t="str">
            <v>4</v>
          </cell>
          <cell r="K354" t="str">
            <v>Flight One Way</v>
          </cell>
          <cell r="L354" t="str">
            <v>21-07-2025 11:11:01</v>
          </cell>
          <cell r="M354" t="str">
            <v>Super Air Jet  UPG Hasanuddin IU-572 - Super Air Jet  BUW Betoambari IU-572</v>
          </cell>
          <cell r="N354" t="str">
            <v>TL OP (BAUBAU)</v>
          </cell>
          <cell r="O354" t="str">
            <v>7409342</v>
          </cell>
          <cell r="P354" t="str">
            <v>23/07/2025 14:10:00 - 23/07/2025 14:55:00</v>
          </cell>
          <cell r="Q354">
            <v>805200</v>
          </cell>
          <cell r="R354" t="str">
            <v>SUCCESS</v>
          </cell>
        </row>
        <row r="355">
          <cell r="A355">
            <v>1270938871</v>
          </cell>
          <cell r="B355" t="str">
            <v>7393034F</v>
          </cell>
          <cell r="C355" t="str">
            <v>MOHAMAD SULTHAN</v>
          </cell>
          <cell r="D355">
            <v>73937610</v>
          </cell>
          <cell r="E355">
            <v>4120176738</v>
          </cell>
          <cell r="F355" t="str">
            <v>54</v>
          </cell>
          <cell r="G355" t="str">
            <v>Perjalanan Dinas Non-Diklat</v>
          </cell>
          <cell r="H355" t="str">
            <v>Kab. Mamuju - Kab. Pasangkayu - Kab. Mamasa</v>
          </cell>
          <cell r="I355" t="str">
            <v>22/07/2025 - 25/07/2025</v>
          </cell>
          <cell r="J355" t="str">
            <v>4</v>
          </cell>
          <cell r="K355" t="str">
            <v>Hotel</v>
          </cell>
          <cell r="L355" t="str">
            <v>21-07-2025 12:51:57</v>
          </cell>
          <cell r="M355" t="str">
            <v xml:space="preserve">Swiss-Belhotel Silae Palu - 4.0 Stars  - </v>
          </cell>
          <cell r="N355" t="str">
            <v>ASMAN RING DIST</v>
          </cell>
          <cell r="O355" t="str">
            <v>7409291</v>
          </cell>
          <cell r="P355" t="str">
            <v>22/07/2025 14:00:00 - 23/07/2025 12:00:00</v>
          </cell>
          <cell r="Q355">
            <v>940000</v>
          </cell>
          <cell r="R355" t="str">
            <v>SUCCESS</v>
          </cell>
        </row>
        <row r="356">
          <cell r="A356">
            <v>1271340944</v>
          </cell>
          <cell r="B356" t="str">
            <v>92141020ZY</v>
          </cell>
          <cell r="C356" t="str">
            <v>APRIANTO ROMBEPAYUNG</v>
          </cell>
          <cell r="D356">
            <v>92148010</v>
          </cell>
          <cell r="E356">
            <v>4120176741</v>
          </cell>
          <cell r="F356" t="str">
            <v>54</v>
          </cell>
          <cell r="G356" t="str">
            <v>Perjalanan Dinas Non-Diklat</v>
          </cell>
          <cell r="H356" t="str">
            <v>Kota Makassar - Jakarta Selatan</v>
          </cell>
          <cell r="I356" t="str">
            <v>21/07/2025 - 23/07/2025</v>
          </cell>
          <cell r="J356" t="str">
            <v>3</v>
          </cell>
          <cell r="K356" t="str">
            <v>Flight One Way</v>
          </cell>
          <cell r="L356" t="str">
            <v>23-07-2025 07:44:51</v>
          </cell>
          <cell r="M356" t="str">
            <v>Citilink 1B CGK Soekarno Hatta International Airport QG-426 - Citilink Domestic UPG Hasanuddin QG-426</v>
          </cell>
          <cell r="N356" t="str">
            <v>OF ASET PROP</v>
          </cell>
          <cell r="O356" t="str">
            <v>7412164</v>
          </cell>
          <cell r="P356" t="str">
            <v>23/07/2025 16:30:00 - 23/07/2025 19:55:00</v>
          </cell>
          <cell r="Q356">
            <v>1467400</v>
          </cell>
          <cell r="R356" t="str">
            <v>SUCCESS</v>
          </cell>
        </row>
        <row r="357">
          <cell r="A357">
            <v>1270966038</v>
          </cell>
          <cell r="B357" t="str">
            <v>92141020ZY</v>
          </cell>
          <cell r="C357" t="str">
            <v>APRIANTO ROMBEPAYUNG</v>
          </cell>
          <cell r="D357">
            <v>92148010</v>
          </cell>
          <cell r="E357">
            <v>4120176741</v>
          </cell>
          <cell r="F357" t="str">
            <v>54</v>
          </cell>
          <cell r="G357" t="str">
            <v>Perjalanan Dinas Non-Diklat</v>
          </cell>
          <cell r="H357" t="str">
            <v>Kota Makassar - Jakarta Selatan</v>
          </cell>
          <cell r="I357" t="str">
            <v>21/07/2025 - 23/07/2025</v>
          </cell>
          <cell r="J357" t="str">
            <v>3</v>
          </cell>
          <cell r="K357" t="str">
            <v>Hotel</v>
          </cell>
          <cell r="L357" t="str">
            <v>21-07-2025 14:44:16</v>
          </cell>
          <cell r="M357" t="str">
            <v xml:space="preserve">M Hotel Jakarta - 3.0 Stars  - </v>
          </cell>
          <cell r="N357" t="str">
            <v>OF ASET PROP</v>
          </cell>
          <cell r="O357" t="str">
            <v>7412164</v>
          </cell>
          <cell r="P357" t="str">
            <v>21/07/2025 14:00:00 - 23/07/2025 12:00:00</v>
          </cell>
          <cell r="Q357">
            <v>1343200</v>
          </cell>
          <cell r="R357" t="str">
            <v>SUCCESS</v>
          </cell>
        </row>
        <row r="358">
          <cell r="A358">
            <v>1270675124</v>
          </cell>
          <cell r="B358" t="str">
            <v>92141020ZY</v>
          </cell>
          <cell r="C358" t="str">
            <v>APRIANTO ROMBEPAYUNG</v>
          </cell>
          <cell r="D358">
            <v>92148010</v>
          </cell>
          <cell r="E358">
            <v>4120176741</v>
          </cell>
          <cell r="F358" t="str">
            <v>54</v>
          </cell>
          <cell r="G358" t="str">
            <v>Perjalanan Dinas Non-Diklat</v>
          </cell>
          <cell r="H358" t="str">
            <v>Kota Makassar - Jakarta Selatan</v>
          </cell>
          <cell r="I358" t="str">
            <v>21/07/2025 - 23/07/2025</v>
          </cell>
          <cell r="J358" t="str">
            <v>3</v>
          </cell>
          <cell r="K358" t="str">
            <v>Flight One Way</v>
          </cell>
          <cell r="L358" t="str">
            <v>20-07-2025 06:42:52</v>
          </cell>
          <cell r="M358" t="str">
            <v>Garuda Indonesia Domestic UPG Hasanuddin GA-617 - Garuda Indonesia  CGK Soekarno Hatta International Airport GA-617</v>
          </cell>
          <cell r="N358" t="str">
            <v>OF ASET PROP</v>
          </cell>
          <cell r="O358" t="str">
            <v>7412164</v>
          </cell>
          <cell r="P358" t="str">
            <v>21/07/2025 07:15:00 - 21/07/2025 08:45:00</v>
          </cell>
          <cell r="Q358">
            <v>2034800</v>
          </cell>
          <cell r="R358" t="str">
            <v>SUCCESS</v>
          </cell>
        </row>
        <row r="359">
          <cell r="A359">
            <v>1270676429</v>
          </cell>
          <cell r="B359" t="str">
            <v>9112079FY</v>
          </cell>
          <cell r="C359" t="str">
            <v>FADIL MUHAMMAD ARHAM</v>
          </cell>
          <cell r="D359">
            <v>91127623</v>
          </cell>
          <cell r="E359">
            <v>4120176742</v>
          </cell>
          <cell r="F359" t="str">
            <v>54</v>
          </cell>
          <cell r="G359" t="str">
            <v>Perjalanan Dinas Non-Diklat</v>
          </cell>
          <cell r="H359" t="str">
            <v>Kota Makassar - Jakarta Selatan</v>
          </cell>
          <cell r="I359" t="str">
            <v>21/07/2025 - 23/07/2025</v>
          </cell>
          <cell r="J359" t="str">
            <v>3</v>
          </cell>
          <cell r="K359" t="str">
            <v>Flight One Way</v>
          </cell>
          <cell r="L359" t="str">
            <v>20-07-2025 06:59:51</v>
          </cell>
          <cell r="M359" t="str">
            <v>Garuda Indonesia Domestic UPG Hasanuddin GA-617 - Garuda Indonesia  CGK Soekarno Hatta International Airport GA-617</v>
          </cell>
          <cell r="N359" t="str">
            <v>OF ASET PROP</v>
          </cell>
          <cell r="O359" t="str">
            <v>7412164</v>
          </cell>
          <cell r="P359" t="str">
            <v>21/07/2025 07:15:00 - 21/07/2025 08:45:00</v>
          </cell>
          <cell r="Q359">
            <v>2037700</v>
          </cell>
          <cell r="R359" t="str">
            <v>SUCCESS</v>
          </cell>
        </row>
        <row r="360">
          <cell r="A360">
            <v>1271340290</v>
          </cell>
          <cell r="B360" t="str">
            <v>9112079FY</v>
          </cell>
          <cell r="C360" t="str">
            <v>FADIL MUHAMMAD ARHAM</v>
          </cell>
          <cell r="D360">
            <v>91127623</v>
          </cell>
          <cell r="E360">
            <v>4120176742</v>
          </cell>
          <cell r="F360" t="str">
            <v>54</v>
          </cell>
          <cell r="G360" t="str">
            <v>Perjalanan Dinas Non-Diklat</v>
          </cell>
          <cell r="H360" t="str">
            <v>Kota Makassar - Jakarta Selatan</v>
          </cell>
          <cell r="I360" t="str">
            <v>21/07/2025 - 23/07/2025</v>
          </cell>
          <cell r="J360" t="str">
            <v>3</v>
          </cell>
          <cell r="K360" t="str">
            <v>Flight One Way</v>
          </cell>
          <cell r="L360" t="str">
            <v>23-07-2025 07:39:40</v>
          </cell>
          <cell r="M360" t="str">
            <v>Citilink 1B CGK Soekarno Hatta International Airport QG-426 - Citilink Domestic UPG Hasanuddin QG-426</v>
          </cell>
          <cell r="N360" t="str">
            <v>OF ASET PROP</v>
          </cell>
          <cell r="O360" t="str">
            <v>7412164</v>
          </cell>
          <cell r="P360" t="str">
            <v>23/07/2025 16:30:00 - 23/07/2025 19:55:00</v>
          </cell>
          <cell r="Q360">
            <v>1467400</v>
          </cell>
          <cell r="R360" t="str">
            <v>SUCCESS</v>
          </cell>
        </row>
        <row r="361">
          <cell r="A361">
            <v>1270969355</v>
          </cell>
          <cell r="B361" t="str">
            <v>9112079FY</v>
          </cell>
          <cell r="C361" t="str">
            <v>FADIL MUHAMMAD ARHAM</v>
          </cell>
          <cell r="D361">
            <v>91127623</v>
          </cell>
          <cell r="E361">
            <v>4120176742</v>
          </cell>
          <cell r="F361" t="str">
            <v>54</v>
          </cell>
          <cell r="G361" t="str">
            <v>Perjalanan Dinas Non-Diklat</v>
          </cell>
          <cell r="H361" t="str">
            <v>Kota Makassar - Jakarta Selatan</v>
          </cell>
          <cell r="I361" t="str">
            <v>21/07/2025 - 23/07/2025</v>
          </cell>
          <cell r="J361" t="str">
            <v>3</v>
          </cell>
          <cell r="K361" t="str">
            <v>Hotel</v>
          </cell>
          <cell r="L361" t="str">
            <v>21-07-2025 14:58:42</v>
          </cell>
          <cell r="M361" t="str">
            <v xml:space="preserve">M Hotel Jakarta - 3.0 Stars  - </v>
          </cell>
          <cell r="N361" t="str">
            <v>OF ASET PROP</v>
          </cell>
          <cell r="O361" t="str">
            <v>7412164</v>
          </cell>
          <cell r="P361" t="str">
            <v>21/07/2025 14:00:00 - 23/07/2025 12:00:00</v>
          </cell>
          <cell r="Q361">
            <v>1360962</v>
          </cell>
          <cell r="R361" t="str">
            <v>SUCCESS</v>
          </cell>
        </row>
        <row r="362">
          <cell r="A362">
            <v>1270880139</v>
          </cell>
          <cell r="B362" t="str">
            <v>8006523Z</v>
          </cell>
          <cell r="C362" t="str">
            <v>M. FAUZAN</v>
          </cell>
          <cell r="D362">
            <v>80065602</v>
          </cell>
          <cell r="E362">
            <v>4120176737</v>
          </cell>
          <cell r="F362" t="str">
            <v>54</v>
          </cell>
          <cell r="G362" t="str">
            <v>Perjalanan Dinas Non-Diklat</v>
          </cell>
          <cell r="H362" t="str">
            <v>Kab. Mamuju - Kota Makassar - Kab. Pasangkayu</v>
          </cell>
          <cell r="I362" t="str">
            <v>20/07/2025 - 25/07/2025</v>
          </cell>
          <cell r="J362" t="str">
            <v>6</v>
          </cell>
          <cell r="K362" t="str">
            <v>Hotel</v>
          </cell>
          <cell r="L362" t="str">
            <v>21-07-2025 08:28:58</v>
          </cell>
          <cell r="M362" t="str">
            <v xml:space="preserve">Swiss-Belhotel Silae Palu - 4.0 Stars  - </v>
          </cell>
          <cell r="N362" t="str">
            <v>MUP UP3 (MAMUJU)</v>
          </cell>
          <cell r="O362" t="str">
            <v>7412290</v>
          </cell>
          <cell r="P362" t="str">
            <v>22/07/2025 14:00:00 - 23/07/2025 12:00:00</v>
          </cell>
          <cell r="Q362">
            <v>940000</v>
          </cell>
          <cell r="R362" t="str">
            <v>SUCCESS</v>
          </cell>
        </row>
        <row r="363">
          <cell r="A363">
            <v>1270476663</v>
          </cell>
          <cell r="B363" t="str">
            <v>8006523Z</v>
          </cell>
          <cell r="C363" t="str">
            <v>M. FAUZAN</v>
          </cell>
          <cell r="D363">
            <v>80065602</v>
          </cell>
          <cell r="E363">
            <v>4120176737</v>
          </cell>
          <cell r="F363" t="str">
            <v>54</v>
          </cell>
          <cell r="G363" t="str">
            <v>Perjalanan Dinas Non-Diklat</v>
          </cell>
          <cell r="H363" t="str">
            <v>Kab. Mamuju - Kota Makassar - Kab. Pasangkayu</v>
          </cell>
          <cell r="I363" t="str">
            <v>20/07/2025 - 25/07/2025</v>
          </cell>
          <cell r="J363" t="str">
            <v>6</v>
          </cell>
          <cell r="K363" t="str">
            <v>Hotel</v>
          </cell>
          <cell r="L363" t="str">
            <v>19-07-2025 09:25:52</v>
          </cell>
          <cell r="M363" t="str">
            <v xml:space="preserve">MYKO Hotel &amp; Convention Center Makassar - 4.0 Stars  - </v>
          </cell>
          <cell r="N363" t="str">
            <v>MUP UP3 (MAMUJU)</v>
          </cell>
          <cell r="O363" t="str">
            <v>7412290</v>
          </cell>
          <cell r="P363" t="str">
            <v>20/07/2025 14:00:00 - 22/07/2025 12:00:00</v>
          </cell>
          <cell r="Q363">
            <v>2420000</v>
          </cell>
          <cell r="R363" t="str">
            <v>SUCCESS</v>
          </cell>
        </row>
        <row r="364">
          <cell r="A364">
            <v>1270323189</v>
          </cell>
          <cell r="B364" t="str">
            <v>9615048FY</v>
          </cell>
          <cell r="C364" t="str">
            <v xml:space="preserve">ASRUL </v>
          </cell>
          <cell r="D364">
            <v>96137747</v>
          </cell>
          <cell r="E364">
            <v>4120176698</v>
          </cell>
          <cell r="F364" t="str">
            <v>54</v>
          </cell>
          <cell r="G364" t="str">
            <v>Perjalanan Dinas Diklat</v>
          </cell>
          <cell r="H364" t="str">
            <v>Kab. Gowa - Jakarta Barat</v>
          </cell>
          <cell r="I364" t="str">
            <v>20/07/2025 - 24/07/2025</v>
          </cell>
          <cell r="J364" t="str">
            <v>5</v>
          </cell>
          <cell r="K364" t="str">
            <v>Flight Round-Trip</v>
          </cell>
          <cell r="L364" t="str">
            <v>18-07-2025 15:58:15</v>
          </cell>
          <cell r="M364" t="str">
            <v>Garuda Indonesia Domestic UPG Hasanuddin GA-609 - Garuda Indonesia  CGK Soekarno Hatta International Airport GA-609</v>
          </cell>
          <cell r="N364" t="str">
            <v>JOF DAL PIUTANG</v>
          </cell>
          <cell r="O364" t="str">
            <v>74112815</v>
          </cell>
          <cell r="P364" t="str">
            <v>20/07/2025 18:05:00 - 20/07/2025 19:30:00</v>
          </cell>
          <cell r="Q364">
            <v>3746600</v>
          </cell>
          <cell r="R364" t="str">
            <v>SUCCESS</v>
          </cell>
        </row>
        <row r="365">
          <cell r="A365">
            <v>1271114941</v>
          </cell>
          <cell r="B365" t="str">
            <v>9818152FBY</v>
          </cell>
          <cell r="C365" t="str">
            <v>IVAN SAPUTRA</v>
          </cell>
          <cell r="D365">
            <v>98187644</v>
          </cell>
          <cell r="E365">
            <v>4120176709</v>
          </cell>
          <cell r="F365" t="str">
            <v>54</v>
          </cell>
          <cell r="G365" t="str">
            <v>Perjalanan Dinas Diklat</v>
          </cell>
          <cell r="H365" t="str">
            <v>Kab. Luwu Timur - Jakarta Barat</v>
          </cell>
          <cell r="I365" t="str">
            <v>20/07/2025 - 24/07/2025</v>
          </cell>
          <cell r="J365" t="str">
            <v>5</v>
          </cell>
          <cell r="K365" t="str">
            <v>Flight One Way</v>
          </cell>
          <cell r="L365" t="str">
            <v>22-07-2025 08:45:21</v>
          </cell>
          <cell r="M365" t="str">
            <v>Garuda Indonesia  CGK Soekarno Hatta International Airport GA-604 - Garuda Indonesia Domestic UPG Hasanuddin GA-604</v>
          </cell>
          <cell r="N365" t="str">
            <v>JOF DAL PIUTANG</v>
          </cell>
          <cell r="O365" t="str">
            <v>7409642</v>
          </cell>
          <cell r="P365" t="str">
            <v>24/07/2025 01:35:00 - 24/07/2025 05:10:00</v>
          </cell>
          <cell r="Q365">
            <v>1328600</v>
          </cell>
          <cell r="R365" t="str">
            <v>SUCCESS</v>
          </cell>
        </row>
        <row r="366">
          <cell r="A366">
            <v>1270300636</v>
          </cell>
          <cell r="B366" t="str">
            <v>9818152FBY</v>
          </cell>
          <cell r="C366" t="str">
            <v>IVAN SAPUTRA</v>
          </cell>
          <cell r="D366">
            <v>98187644</v>
          </cell>
          <cell r="E366">
            <v>4120176709</v>
          </cell>
          <cell r="F366" t="str">
            <v>54</v>
          </cell>
          <cell r="G366" t="str">
            <v>Perjalanan Dinas Diklat</v>
          </cell>
          <cell r="H366" t="str">
            <v>Kab. Luwu Timur - Jakarta Barat</v>
          </cell>
          <cell r="I366" t="str">
            <v>20/07/2025 - 24/07/2025</v>
          </cell>
          <cell r="J366" t="str">
            <v>5</v>
          </cell>
          <cell r="K366" t="str">
            <v>Flight One Way</v>
          </cell>
          <cell r="L366" t="str">
            <v>18-07-2025 14:31:31</v>
          </cell>
          <cell r="M366" t="str">
            <v>Garuda Indonesia Domestic UPG Hasanuddin GA-611 - Garuda Indonesia  CGK Soekarno Hatta International Airport GA-611</v>
          </cell>
          <cell r="N366" t="str">
            <v>JOF DAL PIUTANG</v>
          </cell>
          <cell r="O366" t="str">
            <v>7409642</v>
          </cell>
          <cell r="P366" t="str">
            <v>20/07/2025 11:20:00 - 20/07/2025 12:45:00</v>
          </cell>
          <cell r="Q366">
            <v>2225600</v>
          </cell>
          <cell r="R366" t="str">
            <v>SUCCESS</v>
          </cell>
        </row>
        <row r="367">
          <cell r="A367">
            <v>1270293358</v>
          </cell>
          <cell r="B367" t="str">
            <v>8708045F</v>
          </cell>
          <cell r="C367" t="str">
            <v>FAUZAN HODEIBI HADDAD</v>
          </cell>
          <cell r="D367">
            <v>87087601</v>
          </cell>
          <cell r="E367">
            <v>4120176727</v>
          </cell>
          <cell r="F367" t="str">
            <v>54</v>
          </cell>
          <cell r="G367" t="str">
            <v>Perjalanan Dinas Non-Diklat</v>
          </cell>
          <cell r="H367" t="str">
            <v>Kota Makassar - Kota Makassar</v>
          </cell>
          <cell r="I367" t="str">
            <v>21/07/2025 - 23/07/2025</v>
          </cell>
          <cell r="J367" t="str">
            <v>3</v>
          </cell>
          <cell r="K367" t="str">
            <v>Hotel</v>
          </cell>
          <cell r="L367" t="str">
            <v>18-07-2025 14:03:48</v>
          </cell>
          <cell r="M367" t="str">
            <v xml:space="preserve">Swiss-Belhotel Makassar - 4.0 Stars  - </v>
          </cell>
          <cell r="N367" t="str">
            <v>TL MAPPING DATA RING DAN GAN</v>
          </cell>
          <cell r="O367" t="str">
            <v>7412280</v>
          </cell>
          <cell r="P367" t="str">
            <v>21/07/2025 14:00:00 - 23/07/2025 12:00:00</v>
          </cell>
          <cell r="Q367">
            <v>1640000</v>
          </cell>
          <cell r="R367" t="str">
            <v>SUCCESS</v>
          </cell>
        </row>
        <row r="368">
          <cell r="A368">
            <v>1270603317</v>
          </cell>
          <cell r="B368" t="str">
            <v>8708045F</v>
          </cell>
          <cell r="C368" t="str">
            <v>FAUZAN HODEIBI HADDAD</v>
          </cell>
          <cell r="D368">
            <v>87087601</v>
          </cell>
          <cell r="E368">
            <v>4120176727</v>
          </cell>
          <cell r="F368" t="str">
            <v>54</v>
          </cell>
          <cell r="G368" t="str">
            <v>Perjalanan Dinas Non-Diklat</v>
          </cell>
          <cell r="H368" t="str">
            <v>Kota Makassar - Kota Makassar</v>
          </cell>
          <cell r="I368" t="str">
            <v>21/07/2025 - 23/07/2025</v>
          </cell>
          <cell r="J368" t="str">
            <v>3</v>
          </cell>
          <cell r="K368" t="str">
            <v>Flight One Way</v>
          </cell>
          <cell r="L368" t="str">
            <v>19-07-2025 18:57:18</v>
          </cell>
          <cell r="M368" t="str">
            <v>Super Air Jet  UPG Hasanuddin IU-572 - Super Air Jet  BUW Betoambari IU-572</v>
          </cell>
          <cell r="N368" t="str">
            <v>TL MAPPING DATA RING DAN GAN</v>
          </cell>
          <cell r="O368" t="str">
            <v>7412280</v>
          </cell>
          <cell r="P368" t="str">
            <v>23/07/2025 14:10:00 - 23/07/2025 14:55:00</v>
          </cell>
          <cell r="Q368">
            <v>805200</v>
          </cell>
          <cell r="R368" t="str">
            <v>SUCCESS</v>
          </cell>
        </row>
        <row r="369">
          <cell r="A369">
            <v>1270289913</v>
          </cell>
          <cell r="B369" t="str">
            <v>8708045F</v>
          </cell>
          <cell r="C369" t="str">
            <v>FAUZAN HODEIBI HADDAD</v>
          </cell>
          <cell r="D369">
            <v>87087601</v>
          </cell>
          <cell r="E369">
            <v>4120176727</v>
          </cell>
          <cell r="F369" t="str">
            <v>54</v>
          </cell>
          <cell r="G369" t="str">
            <v>Perjalanan Dinas Non-Diklat</v>
          </cell>
          <cell r="H369" t="str">
            <v>Kota Makassar - Kota Makassar</v>
          </cell>
          <cell r="I369" t="str">
            <v>21/07/2025 - 23/07/2025</v>
          </cell>
          <cell r="J369" t="str">
            <v>3</v>
          </cell>
          <cell r="K369" t="str">
            <v>Flight One Way</v>
          </cell>
          <cell r="L369" t="str">
            <v>18-07-2025 13:50:40</v>
          </cell>
          <cell r="M369" t="str">
            <v>Wings Air  BUW Betoambari IW-1305 - Wings Air Domestic UPG Hasanuddin IW-1305</v>
          </cell>
          <cell r="N369" t="str">
            <v>TL MAPPING DATA RING DAN GAN</v>
          </cell>
          <cell r="O369" t="str">
            <v>7412280</v>
          </cell>
          <cell r="P369" t="str">
            <v>21/07/2025 06:30:00 - 21/07/2025 07:40:00</v>
          </cell>
          <cell r="Q369">
            <v>1630700</v>
          </cell>
          <cell r="R369" t="str">
            <v>SUCCESS</v>
          </cell>
        </row>
        <row r="370">
          <cell r="A370">
            <v>1271241113</v>
          </cell>
          <cell r="B370" t="str">
            <v>9115840ZY</v>
          </cell>
          <cell r="C370" t="str">
            <v>RADEN OCKY LOVYANDA SAPUTRA</v>
          </cell>
          <cell r="D370">
            <v>91157609</v>
          </cell>
          <cell r="E370">
            <v>4120176697</v>
          </cell>
          <cell r="F370" t="str">
            <v>54</v>
          </cell>
          <cell r="G370" t="str">
            <v>Perjalanan Dinas Diklat</v>
          </cell>
          <cell r="H370" t="str">
            <v>Kab.KolakaUtara-Kab.Bogor</v>
          </cell>
          <cell r="I370" t="str">
            <v>20/07/2025 - 26/07/2025</v>
          </cell>
          <cell r="J370" t="str">
            <v>7</v>
          </cell>
          <cell r="K370" t="str">
            <v>Flight One Way</v>
          </cell>
          <cell r="L370" t="str">
            <v>22-07-2025 17:50:54</v>
          </cell>
          <cell r="M370" t="str">
            <v>Super Air Jet 2E CGK Soekarno Hatta International Airport IU-258 - Super Air Jet  KDI Haluoleo IU-258</v>
          </cell>
          <cell r="N370" t="str">
            <v>MUL ULP (KOLAKA UTARA)</v>
          </cell>
          <cell r="O370" t="str">
            <v>0007409627</v>
          </cell>
          <cell r="P370" t="str">
            <v>26/07/2025 13:35:00 - 26/07/2025 17:25:00</v>
          </cell>
          <cell r="Q370">
            <v>1648900</v>
          </cell>
          <cell r="R370" t="str">
            <v>SUCCESS</v>
          </cell>
        </row>
        <row r="371">
          <cell r="A371">
            <v>1270328645</v>
          </cell>
          <cell r="B371" t="str">
            <v>9115840ZY</v>
          </cell>
          <cell r="C371" t="str">
            <v>RADEN OCKY LOVYANDA SAPUTRA</v>
          </cell>
          <cell r="D371">
            <v>91157609</v>
          </cell>
          <cell r="E371">
            <v>4120176697</v>
          </cell>
          <cell r="F371" t="str">
            <v>54</v>
          </cell>
          <cell r="G371" t="str">
            <v>Perjalanan Dinas Diklat</v>
          </cell>
          <cell r="H371" t="str">
            <v>Kab. Kolaka Utara - Kab. Bogor</v>
          </cell>
          <cell r="I371" t="str">
            <v>20/07/2025 - 26/07/2025</v>
          </cell>
          <cell r="J371" t="str">
            <v>7</v>
          </cell>
          <cell r="K371" t="str">
            <v>Flight One Way</v>
          </cell>
          <cell r="L371" t="str">
            <v>18-07-2025 16:19:18</v>
          </cell>
          <cell r="M371" t="str">
            <v>Batik Air  KDI Haluoleo ID-6723 - Batik Air 2D CGK Soekarno Hatta International Airport ID-6723</v>
          </cell>
          <cell r="N371" t="str">
            <v>MUL ULP (KOLAKA UTARA)</v>
          </cell>
          <cell r="O371" t="str">
            <v>7409627</v>
          </cell>
          <cell r="P371" t="str">
            <v>20/07/2025 07:50:00 - 20/07/2025 09:30:00</v>
          </cell>
          <cell r="Q371">
            <v>1829000</v>
          </cell>
          <cell r="R371" t="str">
            <v>SUCCESS</v>
          </cell>
        </row>
        <row r="372">
          <cell r="A372">
            <v>1270259668</v>
          </cell>
          <cell r="B372" t="str">
            <v>9115840ZY</v>
          </cell>
          <cell r="C372" t="str">
            <v>RADEN OCKY LOVYANDA SAPUTRA</v>
          </cell>
          <cell r="D372">
            <v>91157609</v>
          </cell>
          <cell r="E372">
            <v>4120176711</v>
          </cell>
          <cell r="F372" t="str">
            <v>54</v>
          </cell>
          <cell r="G372" t="str">
            <v>Perjalanan Dinas Non-Diklat</v>
          </cell>
          <cell r="H372" t="str">
            <v>Kab. Kolaka Utara - Kota Kendari</v>
          </cell>
          <cell r="I372" t="str">
            <v>18/07/2025 - 19/07/2025</v>
          </cell>
          <cell r="J372" t="str">
            <v>2</v>
          </cell>
          <cell r="K372" t="str">
            <v>Hotel</v>
          </cell>
          <cell r="L372" t="str">
            <v>18-07-2025 11:52:59</v>
          </cell>
          <cell r="M372" t="str">
            <v xml:space="preserve">Horison Plaza Inn Kendari - 3.0 Stars  - </v>
          </cell>
          <cell r="N372" t="str">
            <v>MUL ULP (KOLAKA UTARA)</v>
          </cell>
          <cell r="O372" t="str">
            <v>7409627</v>
          </cell>
          <cell r="P372" t="str">
            <v>18/07/2025 14:00:00 - 19/07/2025 12:00:00</v>
          </cell>
          <cell r="Q372">
            <v>953955</v>
          </cell>
          <cell r="R372" t="str">
            <v>SUCCESS</v>
          </cell>
        </row>
        <row r="373">
          <cell r="A373">
            <v>1270238531</v>
          </cell>
          <cell r="B373" t="str">
            <v>9008038F</v>
          </cell>
          <cell r="C373" t="str">
            <v>ISRAN SUTOYO</v>
          </cell>
          <cell r="D373">
            <v>90087601</v>
          </cell>
          <cell r="E373">
            <v>4120176730</v>
          </cell>
          <cell r="F373" t="str">
            <v>54</v>
          </cell>
          <cell r="G373" t="str">
            <v>Perjalanan Dinas Non-Diklat</v>
          </cell>
          <cell r="H373" t="str">
            <v>Kota Baubau - Kota Makassar</v>
          </cell>
          <cell r="I373" t="str">
            <v>20/07/2025 - 23/07/2025</v>
          </cell>
          <cell r="J373" t="str">
            <v>4</v>
          </cell>
          <cell r="K373" t="str">
            <v>Hotel</v>
          </cell>
          <cell r="L373" t="str">
            <v>18-07-2025 10:36:19</v>
          </cell>
          <cell r="M373" t="str">
            <v xml:space="preserve">Swiss-Belhotel Makassar - 4.0 Stars  - </v>
          </cell>
          <cell r="N373" t="str">
            <v>TL OP DIST</v>
          </cell>
          <cell r="O373" t="str">
            <v>7409281</v>
          </cell>
          <cell r="P373" t="str">
            <v>20/07/2025 14:00:00 - 23/07/2025 12:00:00</v>
          </cell>
          <cell r="Q373">
            <v>2460000</v>
          </cell>
          <cell r="R373" t="str">
            <v>SUCCESS</v>
          </cell>
        </row>
        <row r="374">
          <cell r="A374">
            <v>1270233958</v>
          </cell>
          <cell r="B374" t="str">
            <v>9008038F</v>
          </cell>
          <cell r="C374" t="str">
            <v>ISRAN SUTOYO</v>
          </cell>
          <cell r="D374">
            <v>90087601</v>
          </cell>
          <cell r="E374">
            <v>4120176730</v>
          </cell>
          <cell r="F374" t="str">
            <v>54</v>
          </cell>
          <cell r="G374" t="str">
            <v>Perjalanan Dinas Non-Diklat</v>
          </cell>
          <cell r="H374" t="str">
            <v>Kota Baubau - Kota Makassar</v>
          </cell>
          <cell r="I374" t="str">
            <v>20/07/2025 - 23/07/2025</v>
          </cell>
          <cell r="J374" t="str">
            <v>4</v>
          </cell>
          <cell r="K374" t="str">
            <v>Flight Round-Trip</v>
          </cell>
          <cell r="L374" t="str">
            <v>18-07-2025 10:19:14</v>
          </cell>
          <cell r="M374" t="str">
            <v>Super Air Jet  BUW Betoambari IU-573 - Super Air Jet  UPG Hasanuddin IU-573</v>
          </cell>
          <cell r="N374" t="str">
            <v>TL OP DIST</v>
          </cell>
          <cell r="O374" t="str">
            <v>7409281</v>
          </cell>
          <cell r="P374" t="str">
            <v>20/07/2025 15:35:00 - 20/07/2025 16:20:00</v>
          </cell>
          <cell r="Q374">
            <v>1510500</v>
          </cell>
          <cell r="R374" t="str">
            <v>SUCCESS</v>
          </cell>
        </row>
        <row r="375">
          <cell r="A375">
            <v>1270216808</v>
          </cell>
          <cell r="B375" t="str">
            <v>7594035F</v>
          </cell>
          <cell r="C375" t="str">
            <v>AGUS SALIM</v>
          </cell>
          <cell r="D375">
            <v>75947601</v>
          </cell>
          <cell r="E375">
            <v>4120176725</v>
          </cell>
          <cell r="F375" t="str">
            <v>54</v>
          </cell>
          <cell r="G375" t="str">
            <v>Perjalanan Dinas Non-Diklat</v>
          </cell>
          <cell r="H375" t="str">
            <v>Kota Makassar - Kota Kendari - Kab. Kolaka</v>
          </cell>
          <cell r="I375" t="str">
            <v>20/07/2025 - 22/07/2025</v>
          </cell>
          <cell r="J375" t="str">
            <v>3</v>
          </cell>
          <cell r="K375" t="str">
            <v>Flight One Way</v>
          </cell>
          <cell r="L375" t="str">
            <v>18-07-2025 09:08:37</v>
          </cell>
          <cell r="M375" t="str">
            <v>Garuda Indonesia Domestic UPG Hasanuddin GA-604 - Garuda Indonesia  KDI Haluoleo GA-604</v>
          </cell>
          <cell r="N375" t="str">
            <v>ASMAN K3 DAN KAM</v>
          </cell>
          <cell r="O375" t="str">
            <v>7412000</v>
          </cell>
          <cell r="P375" t="str">
            <v>20/07/2025 07:25:00 - 20/07/2025 08:25:00</v>
          </cell>
          <cell r="Q375">
            <v>853600</v>
          </cell>
          <cell r="R375" t="str">
            <v>SUCCESS</v>
          </cell>
        </row>
        <row r="376">
          <cell r="A376">
            <v>1270290579</v>
          </cell>
          <cell r="B376" t="str">
            <v>7594035F</v>
          </cell>
          <cell r="C376" t="str">
            <v>AGUS SALIM</v>
          </cell>
          <cell r="D376">
            <v>75947601</v>
          </cell>
          <cell r="E376">
            <v>4120176725</v>
          </cell>
          <cell r="F376" t="str">
            <v>54</v>
          </cell>
          <cell r="G376" t="str">
            <v>Perjalanan Dinas Non-Diklat</v>
          </cell>
          <cell r="H376" t="str">
            <v>Kota Makassar - Kota Kendari - Kab. Kolaka</v>
          </cell>
          <cell r="I376" t="str">
            <v>20/07/2025 - 22/07/2025</v>
          </cell>
          <cell r="J376" t="str">
            <v>3</v>
          </cell>
          <cell r="K376" t="str">
            <v>Flight One Way</v>
          </cell>
          <cell r="L376" t="str">
            <v>18-07-2025 13:53:16</v>
          </cell>
          <cell r="M376" t="str">
            <v>Lion Air  KDI Haluoleo JT-997 - Lion Air Domestic UPG Hasanuddin JT-997</v>
          </cell>
          <cell r="N376" t="str">
            <v>ASMAN K3 DAN KAM</v>
          </cell>
          <cell r="O376" t="str">
            <v>7412000</v>
          </cell>
          <cell r="P376" t="str">
            <v>22/07/2025 15:35:00 - 22/07/2025 16:30:00</v>
          </cell>
          <cell r="Q376">
            <v>729000</v>
          </cell>
          <cell r="R376" t="str">
            <v>SUCCESS</v>
          </cell>
        </row>
        <row r="377">
          <cell r="A377">
            <v>1271205731</v>
          </cell>
          <cell r="B377" t="str">
            <v>9212010FY</v>
          </cell>
          <cell r="C377" t="str">
            <v xml:space="preserve">IRWAN </v>
          </cell>
          <cell r="D377">
            <v>92127601</v>
          </cell>
          <cell r="E377">
            <v>4120176680</v>
          </cell>
          <cell r="F377" t="str">
            <v>54</v>
          </cell>
          <cell r="G377" t="str">
            <v>Perjalanan Dinas Diklat</v>
          </cell>
          <cell r="H377" t="str">
            <v>Kab. Majene - Jakarta Barat</v>
          </cell>
          <cell r="I377" t="str">
            <v>20/07/2025 - 24/07/2025</v>
          </cell>
          <cell r="J377" t="str">
            <v>5</v>
          </cell>
          <cell r="K377" t="str">
            <v>Flight One Way</v>
          </cell>
          <cell r="L377" t="str">
            <v>22-07-2025 15:14:54</v>
          </cell>
          <cell r="M377" t="str">
            <v>Garuda Indonesia  CGK Soekarno Hatta International Airport GA-610 - Garuda Indonesia Domestic UPG Hasanuddin GA-610</v>
          </cell>
          <cell r="N377" t="str">
            <v>OF KIN DAN ADM LAY GAN</v>
          </cell>
          <cell r="O377" t="str">
            <v>7409660</v>
          </cell>
          <cell r="P377" t="str">
            <v>24/07/2025 06:55:00 - 24/07/2025 10:30:00</v>
          </cell>
          <cell r="Q377">
            <v>1720500</v>
          </cell>
          <cell r="R377" t="str">
            <v>SUCCESS</v>
          </cell>
        </row>
        <row r="378">
          <cell r="A378">
            <v>1270037737</v>
          </cell>
          <cell r="B378" t="str">
            <v>94171287ZY</v>
          </cell>
          <cell r="C378" t="str">
            <v>MUHAMMAD LUTHFIL HADI SURYADI</v>
          </cell>
          <cell r="D378">
            <v>94177613</v>
          </cell>
          <cell r="E378">
            <v>4120176658</v>
          </cell>
          <cell r="F378" t="str">
            <v>54</v>
          </cell>
          <cell r="G378" t="str">
            <v>Perjalanan Dinas Non-Diklat</v>
          </cell>
          <cell r="H378" t="str">
            <v>Kota Makassar - Jakarta Selatan</v>
          </cell>
          <cell r="I378" t="str">
            <v>16/07/2025 - 18/07/2025</v>
          </cell>
          <cell r="J378" t="str">
            <v>3</v>
          </cell>
          <cell r="K378" t="str">
            <v>Flight One Way</v>
          </cell>
          <cell r="L378" t="str">
            <v>17-07-2025 14:14:23</v>
          </cell>
          <cell r="M378" t="str">
            <v>Garuda Indonesia  CGK Soekarno Hatta International Airport GA-612 - Garuda Indonesia Domestic UPG Hasanuddin GA-612</v>
          </cell>
          <cell r="N378" t="str">
            <v>TL DAL SUSUT</v>
          </cell>
          <cell r="O378" t="str">
            <v>74112803</v>
          </cell>
          <cell r="P378" t="str">
            <v>18/07/2025 14:25:00 - 18/07/2025 18:00:00</v>
          </cell>
          <cell r="Q378">
            <v>2276500</v>
          </cell>
          <cell r="R378" t="str">
            <v>SUCCESS</v>
          </cell>
        </row>
        <row r="379">
          <cell r="A379">
            <v>1269982233</v>
          </cell>
          <cell r="B379" t="str">
            <v>94171599ZY</v>
          </cell>
          <cell r="C379" t="str">
            <v>MUHAMMAD IQBAAL MS</v>
          </cell>
          <cell r="D379">
            <v>94177619</v>
          </cell>
          <cell r="E379">
            <v>4120176705</v>
          </cell>
          <cell r="F379" t="str">
            <v>54</v>
          </cell>
          <cell r="G379" t="str">
            <v>Perjalanan Dinas Non-Diklat</v>
          </cell>
          <cell r="H379" t="str">
            <v>Kota Baubau - Kota Makassar</v>
          </cell>
          <cell r="I379" t="str">
            <v>23/07/2025 - 26/07/2025</v>
          </cell>
          <cell r="J379" t="str">
            <v>4</v>
          </cell>
          <cell r="K379" t="str">
            <v>Flight One Way</v>
          </cell>
          <cell r="L379" t="str">
            <v>17-07-2025 10:39:25</v>
          </cell>
          <cell r="M379" t="str">
            <v>Wings Air  BUW Betoambari IW-1305 - Wings Air Domestic UPG Hasanuddin IW-1305</v>
          </cell>
          <cell r="N379" t="str">
            <v>TL K3L DAN KAM</v>
          </cell>
          <cell r="O379" t="str">
            <v>7412280</v>
          </cell>
          <cell r="P379" t="str">
            <v>23/07/2025 06:30:00 - 23/07/2025 07:40:00</v>
          </cell>
          <cell r="Q379">
            <v>1630700</v>
          </cell>
          <cell r="R379" t="str">
            <v>SUCCESS</v>
          </cell>
        </row>
        <row r="380">
          <cell r="A380">
            <v>1269981141</v>
          </cell>
          <cell r="B380" t="str">
            <v>94171599ZY</v>
          </cell>
          <cell r="C380" t="str">
            <v>MUHAMMAD IQBAAL MS</v>
          </cell>
          <cell r="D380">
            <v>94177619</v>
          </cell>
          <cell r="E380">
            <v>4120176705</v>
          </cell>
          <cell r="F380" t="str">
            <v>54</v>
          </cell>
          <cell r="G380" t="str">
            <v>Perjalanan Dinas Non-Diklat</v>
          </cell>
          <cell r="H380" t="str">
            <v>Kota Baubau - Kota Makassar</v>
          </cell>
          <cell r="I380" t="str">
            <v>23/07/2025 - 26/07/2025</v>
          </cell>
          <cell r="J380" t="str">
            <v>4</v>
          </cell>
          <cell r="K380" t="str">
            <v>Hotel</v>
          </cell>
          <cell r="L380" t="str">
            <v>17-07-2025 10:35:40</v>
          </cell>
          <cell r="M380" t="str">
            <v xml:space="preserve">Four Points by Sheraton Makassar - 4.0 Stars  - </v>
          </cell>
          <cell r="N380" t="str">
            <v>TL K3L DAN KAM</v>
          </cell>
          <cell r="O380" t="str">
            <v>7412280</v>
          </cell>
          <cell r="P380" t="str">
            <v>23/07/2025 14:00:00 - 26/07/2025 12:00:00</v>
          </cell>
          <cell r="Q380">
            <v>2311100</v>
          </cell>
          <cell r="R380" t="str">
            <v>SUCCESS</v>
          </cell>
        </row>
        <row r="381">
          <cell r="A381">
            <v>1273078329</v>
          </cell>
          <cell r="B381" t="str">
            <v>9817016FBY</v>
          </cell>
          <cell r="C381" t="str">
            <v>ANDI ARLANGGA BUSPADI</v>
          </cell>
          <cell r="D381">
            <v>98177607</v>
          </cell>
          <cell r="E381">
            <v>4120176700</v>
          </cell>
          <cell r="F381" t="str">
            <v>54</v>
          </cell>
          <cell r="G381" t="str">
            <v>Perjalanan Dinas Diklat</v>
          </cell>
          <cell r="H381" t="str">
            <v>Kab. Bone - Jakarta Barat</v>
          </cell>
          <cell r="I381" t="str">
            <v>27/07/2025 - 31/07/2025</v>
          </cell>
          <cell r="J381" t="str">
            <v>5</v>
          </cell>
          <cell r="K381" t="str">
            <v>Flight One Way</v>
          </cell>
          <cell r="L381" t="str">
            <v>30-07-2025 14:16:28</v>
          </cell>
          <cell r="M381" t="str">
            <v>Garuda Indonesia  CGK Soekarno Hatta International Airport GA-618 - Garuda Indonesia Domestic UPG Hasanuddin GA-618</v>
          </cell>
          <cell r="N381" t="str">
            <v>JTC PDKB</v>
          </cell>
          <cell r="O381" t="str">
            <v>7409231</v>
          </cell>
          <cell r="P381" t="str">
            <v>30/07/2025 20:15:00 - 30/07/2025 23:50:00</v>
          </cell>
          <cell r="Q381">
            <v>2395400</v>
          </cell>
          <cell r="R381" t="str">
            <v>SUCCESS</v>
          </cell>
        </row>
        <row r="382">
          <cell r="A382">
            <v>1270933899</v>
          </cell>
          <cell r="B382" t="str">
            <v>9817016FBY</v>
          </cell>
          <cell r="C382" t="str">
            <v>ANDI ARLANGGA BUSPADI</v>
          </cell>
          <cell r="D382">
            <v>98177607</v>
          </cell>
          <cell r="E382">
            <v>4120176700</v>
          </cell>
          <cell r="F382" t="str">
            <v>54</v>
          </cell>
          <cell r="G382" t="str">
            <v>Perjalanan Dinas Diklat</v>
          </cell>
          <cell r="H382" t="str">
            <v>Kab. Bone - Jakarta Barat</v>
          </cell>
          <cell r="I382" t="str">
            <v>27/07/2025 - 31/07/2025</v>
          </cell>
          <cell r="J382" t="str">
            <v>5</v>
          </cell>
          <cell r="K382" t="str">
            <v>Flight One Way</v>
          </cell>
          <cell r="L382" t="str">
            <v>21-07-2025 12:31:21</v>
          </cell>
          <cell r="M382" t="str">
            <v>Garuda Indonesia Domestic UPG Hasanuddin GA-609 - Garuda Indonesia  CGK Soekarno Hatta International Airport GA-609</v>
          </cell>
          <cell r="N382" t="str">
            <v>JTC PDKB</v>
          </cell>
          <cell r="O382" t="str">
            <v>7409231</v>
          </cell>
          <cell r="P382" t="str">
            <v>27/07/2025 18:05:00 - 27/07/2025 19:30:00</v>
          </cell>
          <cell r="Q382">
            <v>1457100</v>
          </cell>
          <cell r="R382" t="str">
            <v>SUCCESS</v>
          </cell>
        </row>
        <row r="383">
          <cell r="A383">
            <v>1270070733</v>
          </cell>
          <cell r="B383" t="str">
            <v>94163868ZY</v>
          </cell>
          <cell r="C383" t="str">
            <v>AFRIANTO KURNIAWAN</v>
          </cell>
          <cell r="D383">
            <v>94167640</v>
          </cell>
          <cell r="E383">
            <v>4120176684</v>
          </cell>
          <cell r="F383" t="str">
            <v>54</v>
          </cell>
          <cell r="G383" t="str">
            <v>Perjalanan Dinas Non-Diklat</v>
          </cell>
          <cell r="H383" t="str">
            <v>Kota Makassar - Kota Yogyakarta</v>
          </cell>
          <cell r="I383" t="str">
            <v>16/07/2025 - 18/07/2025</v>
          </cell>
          <cell r="J383" t="str">
            <v>3</v>
          </cell>
          <cell r="K383" t="str">
            <v>Flight One Way</v>
          </cell>
          <cell r="L383" t="str">
            <v>17-07-2025 16:22:16</v>
          </cell>
          <cell r="M383" t="str">
            <v>Lion Air  YIA Yogyakarta International Airport JT-664 - Lion Air Domestic UPG Hasanuddin JT-664</v>
          </cell>
          <cell r="N383" t="str">
            <v>TL RTU DAN PERIPHERAL (MKS)</v>
          </cell>
          <cell r="O383" t="str">
            <v>7408341</v>
          </cell>
          <cell r="P383" t="str">
            <v>18/07/2025 20:00:00 - 18/07/2025 22:55:00</v>
          </cell>
          <cell r="Q383">
            <v>1206900</v>
          </cell>
          <cell r="R383" t="str">
            <v>SUCCESS</v>
          </cell>
        </row>
        <row r="384">
          <cell r="A384">
            <v>1269941303</v>
          </cell>
          <cell r="B384" t="str">
            <v>8309182Z</v>
          </cell>
          <cell r="C384" t="str">
            <v xml:space="preserve">WAHIDAH </v>
          </cell>
          <cell r="D384">
            <v>83093600</v>
          </cell>
          <cell r="E384">
            <v>4120176679</v>
          </cell>
          <cell r="F384" t="str">
            <v>54</v>
          </cell>
          <cell r="G384" t="str">
            <v>Perjalanan Dinas Non-Diklat</v>
          </cell>
          <cell r="H384" t="str">
            <v>Kota Makassar - Jakarta Selatan</v>
          </cell>
          <cell r="I384" t="str">
            <v>16/07/2025 - 19/07/2025</v>
          </cell>
          <cell r="J384" t="str">
            <v>4</v>
          </cell>
          <cell r="K384" t="str">
            <v>Hotel</v>
          </cell>
          <cell r="L384" t="str">
            <v>17-07-2025 07:22:21</v>
          </cell>
          <cell r="M384" t="str">
            <v xml:space="preserve">Discovery Ancol - 4.0 Stars  - </v>
          </cell>
          <cell r="N384" t="str">
            <v>SOF REN DAN</v>
          </cell>
          <cell r="O384" t="str">
            <v>7412000</v>
          </cell>
          <cell r="P384" t="str">
            <v>18/07/2025 14:00:00 - 19/07/2025 12:00:00</v>
          </cell>
          <cell r="Q384">
            <v>882961</v>
          </cell>
          <cell r="R384" t="str">
            <v>SUCCESS</v>
          </cell>
        </row>
        <row r="385">
          <cell r="A385">
            <v>1270616683</v>
          </cell>
          <cell r="B385" t="str">
            <v>8309182Z</v>
          </cell>
          <cell r="C385" t="str">
            <v xml:space="preserve">WAHIDAH </v>
          </cell>
          <cell r="D385">
            <v>83093600</v>
          </cell>
          <cell r="E385">
            <v>4120176679</v>
          </cell>
          <cell r="F385" t="str">
            <v>54</v>
          </cell>
          <cell r="G385" t="str">
            <v>Perjalanan Dinas Non-Diklat</v>
          </cell>
          <cell r="H385" t="str">
            <v>Kota Makassar - Jakarta Selatan</v>
          </cell>
          <cell r="I385" t="str">
            <v>16/07/2025 - 19/07/2025</v>
          </cell>
          <cell r="J385" t="str">
            <v>4</v>
          </cell>
          <cell r="K385" t="str">
            <v>Flight One Way</v>
          </cell>
          <cell r="L385" t="str">
            <v>19-07-2025 20:00:08</v>
          </cell>
          <cell r="M385" t="str">
            <v>Lion Air 1A CGK Soekarno Hatta International Airport JT-984 - Lion Air Domestic UPG Hasanuddin JT-984</v>
          </cell>
          <cell r="N385" t="str">
            <v>SOF REN DAN</v>
          </cell>
          <cell r="O385" t="str">
            <v>7412000</v>
          </cell>
          <cell r="P385" t="str">
            <v>19/07/2025 22:00:00 - 20/07/2025 01:20:00</v>
          </cell>
          <cell r="Q385">
            <v>1085200</v>
          </cell>
          <cell r="R385" t="str">
            <v>SUCCESS</v>
          </cell>
        </row>
        <row r="386">
          <cell r="A386">
            <v>1270304855</v>
          </cell>
          <cell r="B386" t="str">
            <v>9718057FBY</v>
          </cell>
          <cell r="C386" t="str">
            <v>SARIPA ALWIA</v>
          </cell>
          <cell r="D386">
            <v>97187606</v>
          </cell>
          <cell r="E386">
            <v>4120176676</v>
          </cell>
          <cell r="F386" t="str">
            <v>54</v>
          </cell>
          <cell r="G386" t="str">
            <v>Perjalanan Dinas Diklat</v>
          </cell>
          <cell r="H386" t="str">
            <v>Kota Kendari - Kota Makassar</v>
          </cell>
          <cell r="I386" t="str">
            <v>16/07/2025 - 19/07/2025</v>
          </cell>
          <cell r="J386" t="str">
            <v>4</v>
          </cell>
          <cell r="K386" t="str">
            <v>Flight One Way</v>
          </cell>
          <cell r="L386" t="str">
            <v>18-07-2025 14:47:15</v>
          </cell>
          <cell r="M386" t="str">
            <v>Lion Air Domestic UPG Hasanuddin JT-992 - Lion Air  KDI Haluoleo JT-992</v>
          </cell>
          <cell r="N386" t="str">
            <v>JTC KONS LISDES</v>
          </cell>
          <cell r="O386" t="str">
            <v>7412240</v>
          </cell>
          <cell r="P386" t="str">
            <v>19/07/2025 12:45:00 - 19/07/2025 13:50:00</v>
          </cell>
          <cell r="Q386">
            <v>752700</v>
          </cell>
          <cell r="R386" t="str">
            <v>SUCCESS</v>
          </cell>
        </row>
        <row r="387">
          <cell r="A387">
            <v>1270289210</v>
          </cell>
          <cell r="B387" t="str">
            <v>9719687ZY</v>
          </cell>
          <cell r="C387" t="str">
            <v>SINTIA DEWI</v>
          </cell>
          <cell r="D387">
            <v>97196205</v>
          </cell>
          <cell r="E387">
            <v>4120176670</v>
          </cell>
          <cell r="F387" t="str">
            <v>54</v>
          </cell>
          <cell r="G387" t="str">
            <v>Perjalanan Dinas Diklat</v>
          </cell>
          <cell r="H387" t="str">
            <v>Kab. Konawe - Kota Makassar</v>
          </cell>
          <cell r="I387" t="str">
            <v>16/07/2025 - 19/07/2025</v>
          </cell>
          <cell r="J387" t="str">
            <v>4</v>
          </cell>
          <cell r="K387" t="str">
            <v>Flight One Way</v>
          </cell>
          <cell r="L387" t="str">
            <v>18-07-2025 13:47:40</v>
          </cell>
          <cell r="M387" t="str">
            <v>Batik Air Domestic UPG Hasanuddin ID-6751 - Batik Air  KDI Haluoleo ID-6751</v>
          </cell>
          <cell r="N387" t="str">
            <v>TL K3 DAN KAM LAY GAN</v>
          </cell>
          <cell r="O387" t="str">
            <v>7409628</v>
          </cell>
          <cell r="P387" t="str">
            <v>19/07/2025 08:25:00 - 19/07/2025 09:30:00</v>
          </cell>
          <cell r="Q387">
            <v>824200</v>
          </cell>
          <cell r="R387" t="str">
            <v>SUCCESS</v>
          </cell>
        </row>
        <row r="388">
          <cell r="A388">
            <v>1270037811</v>
          </cell>
          <cell r="B388" t="str">
            <v>9009030F</v>
          </cell>
          <cell r="C388" t="str">
            <v>MUH. RENALDI</v>
          </cell>
          <cell r="D388">
            <v>90097605</v>
          </cell>
          <cell r="E388">
            <v>4120176669</v>
          </cell>
          <cell r="F388" t="str">
            <v>54</v>
          </cell>
          <cell r="G388" t="str">
            <v>Perjalanan Dinas Non-Diklat</v>
          </cell>
          <cell r="H388" t="str">
            <v>Kab. Mamuju - Kota Makassar</v>
          </cell>
          <cell r="I388" t="str">
            <v>16/07/2025 - 18/07/2025</v>
          </cell>
          <cell r="J388" t="str">
            <v>3</v>
          </cell>
          <cell r="K388" t="str">
            <v>Hotel</v>
          </cell>
          <cell r="L388" t="str">
            <v>17-07-2025 14:14:39</v>
          </cell>
          <cell r="M388" t="str">
            <v xml:space="preserve">Arthama Hotel Makassar - 4.0 Stars  - </v>
          </cell>
          <cell r="N388" t="str">
            <v>TL HAR MTR TRANSAKSI</v>
          </cell>
          <cell r="O388" t="str">
            <v>7411292</v>
          </cell>
          <cell r="P388" t="str">
            <v>17/07/2025 14:00:00 - 18/07/2025 12:00:00</v>
          </cell>
          <cell r="Q388">
            <v>758625</v>
          </cell>
          <cell r="R388" t="str">
            <v>SUCCESS</v>
          </cell>
        </row>
        <row r="389">
          <cell r="A389">
            <v>1270119439</v>
          </cell>
          <cell r="B389" t="str">
            <v>8609527Z</v>
          </cell>
          <cell r="C389" t="str">
            <v>MUHAMMAD SUSGANDINATA</v>
          </cell>
          <cell r="D389">
            <v>86097601</v>
          </cell>
          <cell r="E389">
            <v>4120176655</v>
          </cell>
          <cell r="F389" t="str">
            <v>54</v>
          </cell>
          <cell r="G389" t="str">
            <v>Perjalanan Dinas Non-Diklat</v>
          </cell>
          <cell r="H389" t="str">
            <v>Kota Makassar - Kota Yogyakarta</v>
          </cell>
          <cell r="I389" t="str">
            <v>16/07/2025 - 19/07/2025</v>
          </cell>
          <cell r="J389" t="str">
            <v>4</v>
          </cell>
          <cell r="K389" t="str">
            <v>Hotel</v>
          </cell>
          <cell r="L389" t="str">
            <v>17-07-2025 19:39:27</v>
          </cell>
          <cell r="M389" t="str">
            <v xml:space="preserve">@HOM Premiere Timoho - 4.0 Stars  - </v>
          </cell>
          <cell r="N389" t="str">
            <v>MAN YAN GAN</v>
          </cell>
          <cell r="O389" t="str">
            <v>7411140</v>
          </cell>
          <cell r="P389" t="str">
            <v>17/07/2025 14:00:00 - 18/07/2025 12:00:00</v>
          </cell>
          <cell r="Q389">
            <v>413690</v>
          </cell>
          <cell r="R389" t="str">
            <v>SUCCESS</v>
          </cell>
        </row>
        <row r="390">
          <cell r="A390">
            <v>1270353813</v>
          </cell>
          <cell r="B390" t="str">
            <v>8609527Z</v>
          </cell>
          <cell r="C390" t="str">
            <v>MUHAMMAD SUSGANDINATA</v>
          </cell>
          <cell r="D390">
            <v>86097601</v>
          </cell>
          <cell r="E390">
            <v>4120176655</v>
          </cell>
          <cell r="F390" t="str">
            <v>54</v>
          </cell>
          <cell r="G390" t="str">
            <v>Perjalanan Dinas Non-Diklat</v>
          </cell>
          <cell r="H390" t="str">
            <v>Kota Makassar - Kota Yogyakarta</v>
          </cell>
          <cell r="I390" t="str">
            <v>16/07/2025 - 19/07/2025</v>
          </cell>
          <cell r="J390" t="str">
            <v>4</v>
          </cell>
          <cell r="K390" t="str">
            <v>Flight One Way</v>
          </cell>
          <cell r="L390" t="str">
            <v>18-07-2025 18:01:55</v>
          </cell>
          <cell r="M390" t="str">
            <v>Citilink 1A SUB Juanda QG-354 - Citilink Domestic UPG Hasanuddin QG-354</v>
          </cell>
          <cell r="N390" t="str">
            <v>MAN YAN GAN</v>
          </cell>
          <cell r="O390" t="str">
            <v>7411140</v>
          </cell>
          <cell r="P390" t="str">
            <v>19/07/2025 21:20:00 - 19/07/2025 23:50:00</v>
          </cell>
          <cell r="Q390">
            <v>835800</v>
          </cell>
          <cell r="R390" t="str">
            <v>SUCCESS</v>
          </cell>
        </row>
        <row r="391">
          <cell r="A391">
            <v>1273689185</v>
          </cell>
          <cell r="B391" t="str">
            <v>9516054FY</v>
          </cell>
          <cell r="C391" t="str">
            <v>HISYAM AS SIDDIQ</v>
          </cell>
          <cell r="D391">
            <v>95167875</v>
          </cell>
          <cell r="E391">
            <v>4120176347</v>
          </cell>
          <cell r="F391" t="str">
            <v>54</v>
          </cell>
          <cell r="G391" t="str">
            <v>Perjalanan Dinas Diklat</v>
          </cell>
          <cell r="H391" t="str">
            <v>Kab. Mamuju - Kota Semarang</v>
          </cell>
          <cell r="I391" t="str">
            <v>06/07/2025 - 28/08/2025</v>
          </cell>
          <cell r="J391" t="str">
            <v>54</v>
          </cell>
          <cell r="K391" t="str">
            <v>Flight One Way</v>
          </cell>
          <cell r="L391" t="str">
            <v>01-08-2025 19:20:26</v>
          </cell>
          <cell r="M391" t="str">
            <v>Lion Air Domestic SRG Achmad Yani JT-908 - Lion Air Domestic UPG Hasanuddin JT-908</v>
          </cell>
          <cell r="N391" t="str">
            <v>JTC PDKB</v>
          </cell>
          <cell r="O391" t="str">
            <v>7409291</v>
          </cell>
          <cell r="P391" t="str">
            <v>27/08/2025 15:35:00 - 27/08/2025 18:20:00</v>
          </cell>
          <cell r="Q391">
            <v>1450600</v>
          </cell>
          <cell r="R391" t="str">
            <v>SUCCESS</v>
          </cell>
        </row>
        <row r="392">
          <cell r="A392">
            <v>1271207087</v>
          </cell>
          <cell r="B392" t="str">
            <v>9112008FY</v>
          </cell>
          <cell r="C392" t="str">
            <v>HARIS</v>
          </cell>
          <cell r="D392">
            <v>91127604</v>
          </cell>
          <cell r="E392">
            <v>4120176623</v>
          </cell>
          <cell r="F392" t="str">
            <v>54</v>
          </cell>
          <cell r="G392" t="str">
            <v>Perjalanan Dinas Diklat</v>
          </cell>
          <cell r="H392" t="str">
            <v>Kab.Mamuju-JakartaBarat</v>
          </cell>
          <cell r="I392" t="str">
            <v>20/07/2025 - 24/07/2025</v>
          </cell>
          <cell r="J392" t="str">
            <v>5</v>
          </cell>
          <cell r="K392" t="str">
            <v>Flight One Way</v>
          </cell>
          <cell r="L392" t="str">
            <v>22-07-2025 15:20:28</v>
          </cell>
          <cell r="M392" t="str">
            <v>Garuda Indonesia  CGK Soekarno Hatta International Airport GA-610 - Garuda Indonesia Domestic UPG Hasanuddin GA-610</v>
          </cell>
          <cell r="N392" t="str">
            <v>OF K3L DAN KAM</v>
          </cell>
          <cell r="O392" t="str">
            <v>0007412290</v>
          </cell>
          <cell r="P392" t="str">
            <v>24/07/2025 06:55:00 - 24/07/2025 10:30:00</v>
          </cell>
          <cell r="Q392">
            <v>1720500</v>
          </cell>
          <cell r="R392" t="str">
            <v>SUCCESS</v>
          </cell>
        </row>
        <row r="393">
          <cell r="A393">
            <v>1273688943</v>
          </cell>
          <cell r="B393" t="str">
            <v>9212016FY</v>
          </cell>
          <cell r="C393" t="str">
            <v>RAFAEL PAERENGAN</v>
          </cell>
          <cell r="D393">
            <v>92127605</v>
          </cell>
          <cell r="E393">
            <v>4120176414</v>
          </cell>
          <cell r="F393" t="str">
            <v>54</v>
          </cell>
          <cell r="G393" t="str">
            <v>Perjalanan Dinas Diklat</v>
          </cell>
          <cell r="H393" t="str">
            <v>Kab.Mamuju-KotaSemarang</v>
          </cell>
          <cell r="I393" t="str">
            <v>06/07/2025 - 28/08/2025</v>
          </cell>
          <cell r="J393" t="str">
            <v>54</v>
          </cell>
          <cell r="K393" t="str">
            <v>Flight One Way</v>
          </cell>
          <cell r="L393" t="str">
            <v>01-08-2025 19:19:36</v>
          </cell>
          <cell r="M393" t="str">
            <v>Lion Air Domestic SRG Achmad Yani JT-908 - Lion Air Domestic UPG Hasanuddin JT-908</v>
          </cell>
          <cell r="N393" t="str">
            <v>TC PDKB</v>
          </cell>
          <cell r="O393" t="str">
            <v>0007409291</v>
          </cell>
          <cell r="P393" t="str">
            <v>27/08/2025 15:35:00 - 27/08/2025 18:20:00</v>
          </cell>
          <cell r="Q393">
            <v>1387300</v>
          </cell>
          <cell r="R393" t="str">
            <v>SUCCESS</v>
          </cell>
        </row>
        <row r="394">
          <cell r="A394">
            <v>1270000718</v>
          </cell>
          <cell r="B394" t="str">
            <v>88112349Z</v>
          </cell>
          <cell r="C394" t="str">
            <v>FAISAL KAMARUDDIN</v>
          </cell>
          <cell r="D394">
            <v>88117614</v>
          </cell>
          <cell r="E394">
            <v>4120176657</v>
          </cell>
          <cell r="F394" t="str">
            <v>54</v>
          </cell>
          <cell r="G394" t="str">
            <v>Perjalanan Dinas Non-Diklat</v>
          </cell>
          <cell r="H394" t="str">
            <v>Kab. Pinrang - Kota Makassar</v>
          </cell>
          <cell r="I394" t="str">
            <v>17/07/2025 - 18/07/2025</v>
          </cell>
          <cell r="J394" t="str">
            <v>2</v>
          </cell>
          <cell r="K394" t="str">
            <v>Hotel</v>
          </cell>
          <cell r="L394" t="str">
            <v>17-07-2025 11:51:09</v>
          </cell>
          <cell r="M394" t="str">
            <v xml:space="preserve">Gammara Hotel Makassar - 4.0 Stars  - </v>
          </cell>
          <cell r="N394" t="str">
            <v>OF KIN TE LIST</v>
          </cell>
          <cell r="O394" t="str">
            <v>7411252</v>
          </cell>
          <cell r="P394" t="str">
            <v>17/07/2025 14:00:00 - 18/07/2025 12:00:00</v>
          </cell>
          <cell r="Q394">
            <v>628625</v>
          </cell>
          <cell r="R394" t="str">
            <v>SUCCESS</v>
          </cell>
        </row>
        <row r="395">
          <cell r="A395">
            <v>1270339349</v>
          </cell>
          <cell r="B395" t="str">
            <v>8711130Z</v>
          </cell>
          <cell r="C395" t="str">
            <v>HADHI BAGUS SETYANTO</v>
          </cell>
          <cell r="D395">
            <v>87117602</v>
          </cell>
          <cell r="E395">
            <v>4120176652</v>
          </cell>
          <cell r="F395" t="str">
            <v>54</v>
          </cell>
          <cell r="G395" t="str">
            <v>Perjalanan Dinas Non-Diklat</v>
          </cell>
          <cell r="H395" t="str">
            <v>Kota Makassar - Kota Semarang</v>
          </cell>
          <cell r="I395" t="str">
            <v>15/07/2025 - 19/07/2025</v>
          </cell>
          <cell r="J395" t="str">
            <v>5</v>
          </cell>
          <cell r="K395" t="str">
            <v>Flight One Way</v>
          </cell>
          <cell r="L395" t="str">
            <v>18-07-2025 17:01:31</v>
          </cell>
          <cell r="M395" t="str">
            <v>Lion Air Domestic SRG Achmad Yani JT-908 - Lion Air Domestic UPG Hasanuddin JT-908</v>
          </cell>
          <cell r="N395" t="str">
            <v>ASMAN MANJ BILLING</v>
          </cell>
          <cell r="O395" t="str">
            <v>7411141</v>
          </cell>
          <cell r="P395" t="str">
            <v>19/07/2025 15:35:00 - 19/07/2025 18:20:00</v>
          </cell>
          <cell r="Q395">
            <v>1318800</v>
          </cell>
          <cell r="R395" t="str">
            <v>SUCCESS</v>
          </cell>
        </row>
        <row r="396">
          <cell r="A396">
            <v>1269939144</v>
          </cell>
          <cell r="B396" t="str">
            <v>8711130Z</v>
          </cell>
          <cell r="C396" t="str">
            <v>HADHI BAGUS SETYANTO</v>
          </cell>
          <cell r="D396">
            <v>87117602</v>
          </cell>
          <cell r="E396">
            <v>4120176652</v>
          </cell>
          <cell r="F396" t="str">
            <v>54</v>
          </cell>
          <cell r="G396" t="str">
            <v>Perjalanan Dinas Non-Diklat</v>
          </cell>
          <cell r="H396" t="str">
            <v>Kota Makassar - Kota Semarang</v>
          </cell>
          <cell r="I396" t="str">
            <v>15/07/2025 - 19/07/2025</v>
          </cell>
          <cell r="J396" t="str">
            <v>5</v>
          </cell>
          <cell r="K396" t="str">
            <v>Hotel</v>
          </cell>
          <cell r="L396" t="str">
            <v>17-07-2025 07:04:46</v>
          </cell>
          <cell r="M396" t="str">
            <v>Louis Kienne Pemuda - 4.0 Stars  - Deluxe</v>
          </cell>
          <cell r="N396" t="str">
            <v>ASMAN MANJ BILLING</v>
          </cell>
          <cell r="O396" t="str">
            <v>7411141</v>
          </cell>
          <cell r="P396" t="str">
            <v>17/07/2025 14:00:00 - 18/07/2025 12:00:00</v>
          </cell>
          <cell r="Q396">
            <v>760808</v>
          </cell>
          <cell r="R396" t="str">
            <v>SUCCESS</v>
          </cell>
        </row>
        <row r="397">
          <cell r="A397">
            <v>1270241413</v>
          </cell>
          <cell r="B397" t="str">
            <v>8709018F</v>
          </cell>
          <cell r="C397" t="str">
            <v>ARIE PRATAMA</v>
          </cell>
          <cell r="D397">
            <v>87097600</v>
          </cell>
          <cell r="E397">
            <v>4120176642</v>
          </cell>
          <cell r="F397" t="str">
            <v>54</v>
          </cell>
          <cell r="G397" t="str">
            <v>Perjalanan Dinas Non-Diklat</v>
          </cell>
          <cell r="H397" t="str">
            <v>Kota Makassar - Kota Semarang</v>
          </cell>
          <cell r="I397" t="str">
            <v>15/07/2025 - 19/07/2025</v>
          </cell>
          <cell r="J397" t="str">
            <v>5</v>
          </cell>
          <cell r="K397" t="str">
            <v>Flight One Way</v>
          </cell>
          <cell r="L397" t="str">
            <v>18-07-2025 10:46:57</v>
          </cell>
          <cell r="M397" t="str">
            <v>Garuda Indonesia Domestic SRG Achmad Yani GA-239 - Garuda Indonesia Domestic UPG Hasanuddin GA-239</v>
          </cell>
          <cell r="N397" t="str">
            <v>ASMAN DAL SIS MTR</v>
          </cell>
          <cell r="O397" t="str">
            <v>7412000</v>
          </cell>
          <cell r="P397" t="str">
            <v>19/07/2025 17:55:00 - 19/07/2025 23:50:00</v>
          </cell>
          <cell r="Q397">
            <v>2916000</v>
          </cell>
          <cell r="R397" t="str">
            <v>SUCCESS</v>
          </cell>
        </row>
        <row r="398">
          <cell r="A398">
            <v>1270146017</v>
          </cell>
          <cell r="B398" t="str">
            <v>93151397ZY</v>
          </cell>
          <cell r="C398" t="str">
            <v>KIKI RESKI ANDRIANI</v>
          </cell>
          <cell r="D398">
            <v>93153811</v>
          </cell>
          <cell r="E398">
            <v>4120176640</v>
          </cell>
          <cell r="F398" t="str">
            <v>54</v>
          </cell>
          <cell r="G398" t="str">
            <v>Perjalanan Dinas Non-Diklat</v>
          </cell>
          <cell r="H398" t="str">
            <v>Kota Makassar - Kota Semarang</v>
          </cell>
          <cell r="I398" t="str">
            <v>15/07/2025 - 19/07/2025</v>
          </cell>
          <cell r="J398" t="str">
            <v>5</v>
          </cell>
          <cell r="K398" t="str">
            <v>Hotel</v>
          </cell>
          <cell r="L398" t="str">
            <v>17-07-2025 21:25:33</v>
          </cell>
          <cell r="M398" t="str">
            <v xml:space="preserve">REZ Hotel - 4.0 Stars  - </v>
          </cell>
          <cell r="N398" t="str">
            <v>ASMAN ADM GAN</v>
          </cell>
          <cell r="O398" t="str">
            <v>7411140</v>
          </cell>
          <cell r="P398" t="str">
            <v>18/07/2025 14:00:00 - 19/07/2025 12:00:00</v>
          </cell>
          <cell r="Q398">
            <v>865046</v>
          </cell>
          <cell r="R398" t="str">
            <v>SUCCESS</v>
          </cell>
        </row>
        <row r="399">
          <cell r="A399">
            <v>1270141035</v>
          </cell>
          <cell r="B399" t="str">
            <v>93151397ZY</v>
          </cell>
          <cell r="C399" t="str">
            <v>KIKI RESKI ANDRIANI</v>
          </cell>
          <cell r="D399">
            <v>93153811</v>
          </cell>
          <cell r="E399">
            <v>4120176640</v>
          </cell>
          <cell r="F399" t="str">
            <v>54</v>
          </cell>
          <cell r="G399" t="str">
            <v>Perjalanan Dinas Non-Diklat</v>
          </cell>
          <cell r="H399" t="str">
            <v>Kota Makassar - Kota Semarang</v>
          </cell>
          <cell r="I399" t="str">
            <v>15/07/2025 - 19/07/2025</v>
          </cell>
          <cell r="J399" t="str">
            <v>5</v>
          </cell>
          <cell r="K399" t="str">
            <v>Flight One Way</v>
          </cell>
          <cell r="L399" t="str">
            <v>17-07-2025 21:04:46</v>
          </cell>
          <cell r="M399" t="str">
            <v>Lion Air Domestic SRG Achmad Yani JT-908 - Lion Air Domestic UPG Hasanuddin JT-908</v>
          </cell>
          <cell r="N399" t="str">
            <v>ASMAN ADM GAN</v>
          </cell>
          <cell r="O399" t="str">
            <v>7411140</v>
          </cell>
          <cell r="P399" t="str">
            <v>19/07/2025 15:35:00 - 19/07/2025 18:20:00</v>
          </cell>
          <cell r="Q399">
            <v>1258900</v>
          </cell>
          <cell r="R399" t="str">
            <v>SUCCESS</v>
          </cell>
        </row>
        <row r="400">
          <cell r="A400">
            <v>1270291759</v>
          </cell>
          <cell r="B400" t="str">
            <v>92151532ZY</v>
          </cell>
          <cell r="C400" t="str">
            <v>ANDY PRADIPTA</v>
          </cell>
          <cell r="D400">
            <v>92157614</v>
          </cell>
          <cell r="E400">
            <v>4120176641</v>
          </cell>
          <cell r="F400" t="str">
            <v>54</v>
          </cell>
          <cell r="G400" t="str">
            <v>Perjalanan Dinas Non-Diklat</v>
          </cell>
          <cell r="H400" t="str">
            <v>Kota Makassar - Kota Semarang</v>
          </cell>
          <cell r="I400" t="str">
            <v>15/07/2025 - 19/07/2025</v>
          </cell>
          <cell r="J400" t="str">
            <v>5</v>
          </cell>
          <cell r="K400" t="str">
            <v>Flight One Way</v>
          </cell>
          <cell r="L400" t="str">
            <v>18-07-2025 13:57:29</v>
          </cell>
          <cell r="M400" t="str">
            <v>Lion Air Domestic SRG Achmad Yani JT-272 - Lion Air Domestic UPG Hasanuddin JT-272</v>
          </cell>
          <cell r="N400" t="str">
            <v>TL TE LIST</v>
          </cell>
          <cell r="O400" t="str">
            <v>74112804</v>
          </cell>
          <cell r="P400" t="str">
            <v>19/07/2025 12:05:00 - 19/07/2025 22:50:00</v>
          </cell>
          <cell r="Q400">
            <v>1880200</v>
          </cell>
          <cell r="R400" t="str">
            <v>SUCCESS</v>
          </cell>
        </row>
        <row r="401">
          <cell r="A401">
            <v>1270235522</v>
          </cell>
          <cell r="B401" t="str">
            <v>92151532ZY</v>
          </cell>
          <cell r="C401" t="str">
            <v>ANDY PRADIPTA</v>
          </cell>
          <cell r="D401">
            <v>92157614</v>
          </cell>
          <cell r="E401">
            <v>4120176641</v>
          </cell>
          <cell r="F401" t="str">
            <v>54</v>
          </cell>
          <cell r="G401" t="str">
            <v>Perjalanan Dinas Non-Diklat</v>
          </cell>
          <cell r="H401" t="str">
            <v>Kota Makassar - Kota Semarang</v>
          </cell>
          <cell r="I401" t="str">
            <v>15/07/2025 - 19/07/2025</v>
          </cell>
          <cell r="J401" t="str">
            <v>5</v>
          </cell>
          <cell r="K401" t="str">
            <v>Hotel</v>
          </cell>
          <cell r="L401" t="str">
            <v>18-07-2025 10:25:40</v>
          </cell>
          <cell r="M401" t="str">
            <v xml:space="preserve">REZ Hotel - 4.0 Stars  - </v>
          </cell>
          <cell r="N401" t="str">
            <v>TL TE LIST</v>
          </cell>
          <cell r="O401" t="str">
            <v>74112804</v>
          </cell>
          <cell r="P401" t="str">
            <v>18/07/2025 14:00:00 - 19/07/2025 12:00:00</v>
          </cell>
          <cell r="Q401">
            <v>744566</v>
          </cell>
          <cell r="R401" t="str">
            <v>SUCCESS</v>
          </cell>
        </row>
        <row r="402">
          <cell r="A402">
            <v>1274822625</v>
          </cell>
          <cell r="B402" t="str">
            <v>9817060FBY</v>
          </cell>
          <cell r="C402" t="str">
            <v>MUH. AIYDIL FADLI FAHRESA PUTRA</v>
          </cell>
          <cell r="D402">
            <v>98177625</v>
          </cell>
          <cell r="E402">
            <v>4120176377</v>
          </cell>
          <cell r="F402" t="str">
            <v>54</v>
          </cell>
          <cell r="G402" t="str">
            <v>Perjalanan Dinas Diklat</v>
          </cell>
          <cell r="H402" t="str">
            <v>KotaPalopo-KotaSemarang</v>
          </cell>
          <cell r="I402" t="str">
            <v>06/07/2025 - 28/08/2025</v>
          </cell>
          <cell r="J402" t="str">
            <v>54</v>
          </cell>
          <cell r="K402" t="str">
            <v>Flight One Way</v>
          </cell>
          <cell r="L402" t="str">
            <v>06-08-2025 09:59:49</v>
          </cell>
          <cell r="M402" t="str">
            <v>Lion Air Domestic SRG Achmad Yani JT-908 - Lion Air Domestic UPG Hasanuddin JT-908</v>
          </cell>
          <cell r="N402" t="str">
            <v>JTC PDKB</v>
          </cell>
          <cell r="O402" t="str">
            <v>0007409261</v>
          </cell>
          <cell r="P402" t="str">
            <v>27/08/2025 16:25:00 - 27/08/2025 19:10:00</v>
          </cell>
          <cell r="Q402">
            <v>1468800</v>
          </cell>
          <cell r="R402" t="str">
            <v>SUCCESS</v>
          </cell>
        </row>
        <row r="403">
          <cell r="A403">
            <v>1274668753</v>
          </cell>
          <cell r="B403" t="str">
            <v>9817060FBY</v>
          </cell>
          <cell r="C403" t="str">
            <v>MUH. AIYDIL FADLI FAHRESA PUTRA</v>
          </cell>
          <cell r="D403">
            <v>98177625</v>
          </cell>
          <cell r="E403">
            <v>4120176377</v>
          </cell>
          <cell r="F403" t="str">
            <v>54</v>
          </cell>
          <cell r="G403" t="str">
            <v>Perjalanan Dinas Diklat</v>
          </cell>
          <cell r="H403" t="str">
            <v>KotaPalopo-KotaSemarang</v>
          </cell>
          <cell r="I403" t="str">
            <v>06/07/2025 - 28/08/2025</v>
          </cell>
          <cell r="J403" t="str">
            <v>54</v>
          </cell>
          <cell r="K403" t="str">
            <v>Flight One Way</v>
          </cell>
          <cell r="L403" t="str">
            <v>05-08-2025 17:01:57</v>
          </cell>
          <cell r="M403" t="str">
            <v>Lion Air Domestic SRG Achmad Yani JT-908 - Lion Air Domestic UPG Hasanuddin JT-908</v>
          </cell>
          <cell r="N403" t="str">
            <v>JTC PDKB</v>
          </cell>
          <cell r="O403" t="str">
            <v>0007409261</v>
          </cell>
          <cell r="P403" t="str">
            <v>27/08/2025 16:25:00 - 27/08/2025 19:10:00</v>
          </cell>
          <cell r="Q403">
            <v>1469800</v>
          </cell>
          <cell r="R403" t="str">
            <v>FAILED</v>
          </cell>
        </row>
        <row r="404">
          <cell r="A404">
            <v>1274395658</v>
          </cell>
          <cell r="B404" t="str">
            <v>9817060FBY</v>
          </cell>
          <cell r="C404" t="str">
            <v>MUH. AIYDIL FADLI FAHRESA PUTRA</v>
          </cell>
          <cell r="D404">
            <v>98177625</v>
          </cell>
          <cell r="E404">
            <v>4120176377</v>
          </cell>
          <cell r="F404" t="str">
            <v>54</v>
          </cell>
          <cell r="G404" t="str">
            <v>Perjalanan Dinas Diklat</v>
          </cell>
          <cell r="H404" t="str">
            <v>KotaPalopo-KotaSemarang</v>
          </cell>
          <cell r="I404" t="str">
            <v>06/07/2025 - 28/08/2025</v>
          </cell>
          <cell r="J404" t="str">
            <v>54</v>
          </cell>
          <cell r="K404" t="str">
            <v>Flight One Way</v>
          </cell>
          <cell r="L404" t="str">
            <v>04-08-2025 15:59:41</v>
          </cell>
          <cell r="M404" t="str">
            <v>Lion Air Domestic SRG Achmad Yani JT-908 - Lion Air Domestic UPG Hasanuddin JT-908</v>
          </cell>
          <cell r="N404" t="str">
            <v>JTC PDKB</v>
          </cell>
          <cell r="O404" t="str">
            <v>0007409261</v>
          </cell>
          <cell r="P404" t="str">
            <v>27/08/2025 16:25:00 - 27/08/2025 19:10:00</v>
          </cell>
          <cell r="Q404">
            <v>1474900</v>
          </cell>
          <cell r="R404" t="str">
            <v>FAILED</v>
          </cell>
        </row>
        <row r="405">
          <cell r="A405">
            <v>1270116243</v>
          </cell>
          <cell r="B405" t="str">
            <v>9008094F</v>
          </cell>
          <cell r="C405" t="str">
            <v>ERIK WICAKSONO</v>
          </cell>
          <cell r="D405">
            <v>90087609</v>
          </cell>
          <cell r="E405">
            <v>4120176608</v>
          </cell>
          <cell r="F405" t="str">
            <v>54</v>
          </cell>
          <cell r="G405" t="str">
            <v>Perjalanan Dinas Non-Diklat</v>
          </cell>
          <cell r="H405" t="str">
            <v>Kota Kendari - Kota Makassar</v>
          </cell>
          <cell r="I405" t="str">
            <v>16/07/2025 - 18/07/2025</v>
          </cell>
          <cell r="J405" t="str">
            <v>3</v>
          </cell>
          <cell r="K405" t="str">
            <v>Flight One Way</v>
          </cell>
          <cell r="L405" t="str">
            <v>17-07-2025 19:26:35</v>
          </cell>
          <cell r="M405" t="str">
            <v>Garuda Indonesia Domestic UPG Hasanuddin GA-604 - Garuda Indonesia  KDI Haluoleo GA-604</v>
          </cell>
          <cell r="N405" t="str">
            <v>TL HAR MTR TRANSAKSI</v>
          </cell>
          <cell r="O405" t="str">
            <v>7411242</v>
          </cell>
          <cell r="P405" t="str">
            <v>18/07/2025 07:25:00 - 18/07/2025 08:25:00</v>
          </cell>
          <cell r="Q405">
            <v>925400</v>
          </cell>
          <cell r="R405" t="str">
            <v>SUCCESS</v>
          </cell>
        </row>
        <row r="406">
          <cell r="A406">
            <v>1270164844</v>
          </cell>
          <cell r="B406" t="str">
            <v>8408025F</v>
          </cell>
          <cell r="C406" t="str">
            <v>HARYADI KASIM</v>
          </cell>
          <cell r="D406">
            <v>84087606</v>
          </cell>
          <cell r="E406">
            <v>4120176581</v>
          </cell>
          <cell r="F406" t="str">
            <v>54</v>
          </cell>
          <cell r="G406" t="str">
            <v>Perjalanan Dinas Non-Diklat</v>
          </cell>
          <cell r="H406" t="str">
            <v>Kota Makassar - Jakarta Selatan - Yogyakarta</v>
          </cell>
          <cell r="I406" t="str">
            <v>13/07/2025 - 19/07/2025</v>
          </cell>
          <cell r="J406" t="str">
            <v>7</v>
          </cell>
          <cell r="K406" t="str">
            <v>Flight One Way</v>
          </cell>
          <cell r="L406" t="str">
            <v>17-07-2025 22:52:56</v>
          </cell>
          <cell r="M406" t="str">
            <v>Lion Air  YIA Yogyakarta International Airport JT-640 - Lion Air Domestic UPG Hasanuddin JT-640</v>
          </cell>
          <cell r="N406" t="str">
            <v>ASMAN PDKB</v>
          </cell>
          <cell r="O406" t="str">
            <v>7412000</v>
          </cell>
          <cell r="P406" t="str">
            <v>19/07/2025 10:15:00 - 19/07/2025 13:10:00</v>
          </cell>
          <cell r="Q406">
            <v>1460000</v>
          </cell>
          <cell r="R406" t="str">
            <v>SUCCESS</v>
          </cell>
        </row>
      </sheetData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ge 2"/>
      <sheetName val="report"/>
      <sheetName val="Lampiran (2)"/>
    </sheetNames>
    <sheetDataSet>
      <sheetData sheetId="0" refreshError="1"/>
      <sheetData sheetId="1">
        <row r="2">
          <cell r="A2">
            <v>1270037737</v>
          </cell>
          <cell r="B2" t="str">
            <v>94171287ZY</v>
          </cell>
          <cell r="C2" t="str">
            <v>MUHAMMAD LUTHFIL HADI SURYADI</v>
          </cell>
          <cell r="D2">
            <v>94177613</v>
          </cell>
          <cell r="E2">
            <v>4120176658</v>
          </cell>
          <cell r="F2">
            <v>54</v>
          </cell>
          <cell r="G2" t="str">
            <v>Perjalanan Dinas Non-Diklat</v>
          </cell>
          <cell r="H2" t="str">
            <v>Kota Makassar - Jakarta Selatan</v>
          </cell>
          <cell r="I2" t="str">
            <v>16/07/2025 - 18/07/2025</v>
          </cell>
          <cell r="J2" t="str">
            <v>3</v>
          </cell>
          <cell r="K2" t="str">
            <v>Flight One Way</v>
          </cell>
          <cell r="M2" t="str">
            <v>17-07-2025 14:14:23</v>
          </cell>
          <cell r="N2" t="str">
            <v>Garuda Indonesia  CGK Soekarno Hatta International Airport GA-612 - Garuda Indonesia Domestic UPG Hasanuddin GA-612</v>
          </cell>
          <cell r="O2" t="str">
            <v>TL DAL SUSUT</v>
          </cell>
          <cell r="P2" t="str">
            <v>74112803</v>
          </cell>
          <cell r="Q2" t="str">
            <v>18/07/2025 14:25:00 - 18/07/2025 18:00:00</v>
          </cell>
          <cell r="R2">
            <v>2276500</v>
          </cell>
        </row>
        <row r="3">
          <cell r="A3">
            <v>1269981141</v>
          </cell>
          <cell r="B3" t="str">
            <v>94171599ZY</v>
          </cell>
          <cell r="C3" t="str">
            <v>MUHAMMAD IQBAAL MS</v>
          </cell>
          <cell r="D3">
            <v>94177619</v>
          </cell>
          <cell r="E3">
            <v>4120176705</v>
          </cell>
          <cell r="F3">
            <v>54</v>
          </cell>
          <cell r="G3" t="str">
            <v>Perjalanan Dinas Non-Diklat</v>
          </cell>
          <cell r="H3" t="str">
            <v>Kota Baubau - Kota Makassar</v>
          </cell>
          <cell r="I3" t="str">
            <v>23/07/2025 - 26/07/2025</v>
          </cell>
          <cell r="J3" t="str">
            <v>4</v>
          </cell>
          <cell r="K3" t="str">
            <v>Hotel</v>
          </cell>
          <cell r="M3" t="str">
            <v>17-07-2025 10:35:40</v>
          </cell>
          <cell r="N3" t="str">
            <v xml:space="preserve">Four Points by Sheraton Makassar - 4.0 Stars  - </v>
          </cell>
          <cell r="O3" t="str">
            <v>TL K3L DAN KAM</v>
          </cell>
          <cell r="P3" t="str">
            <v>7412280</v>
          </cell>
          <cell r="Q3" t="str">
            <v>23/07/2025 14:00:00 - 26/07/2025 12:00:00</v>
          </cell>
          <cell r="R3">
            <v>2311100</v>
          </cell>
        </row>
        <row r="4">
          <cell r="A4">
            <v>1269982233</v>
          </cell>
          <cell r="B4" t="str">
            <v>94171599ZY</v>
          </cell>
          <cell r="C4" t="str">
            <v>MUHAMMAD IQBAAL MS</v>
          </cell>
          <cell r="D4">
            <v>94177619</v>
          </cell>
          <cell r="E4">
            <v>4120176705</v>
          </cell>
          <cell r="F4">
            <v>54</v>
          </cell>
          <cell r="G4" t="str">
            <v>Perjalanan Dinas Non-Diklat</v>
          </cell>
          <cell r="H4" t="str">
            <v>Kota Baubau - Kota Makassar</v>
          </cell>
          <cell r="I4" t="str">
            <v>23/07/2025 - 26/07/2025</v>
          </cell>
          <cell r="J4" t="str">
            <v>4</v>
          </cell>
          <cell r="K4" t="str">
            <v>Flight One Way</v>
          </cell>
          <cell r="M4" t="str">
            <v>17-07-2025 10:39:25</v>
          </cell>
          <cell r="N4" t="str">
            <v>Wings Air  BUW Betoambari IW-1305 - Wings Air Domestic UPG Hasanuddin IW-1305</v>
          </cell>
          <cell r="O4" t="str">
            <v>TL K3L DAN KAM</v>
          </cell>
          <cell r="P4" t="str">
            <v>7412280</v>
          </cell>
          <cell r="Q4" t="str">
            <v>23/07/2025 06:30:00 - 23/07/2025 07:40:00</v>
          </cell>
          <cell r="R4">
            <v>1630700</v>
          </cell>
        </row>
        <row r="5">
          <cell r="A5">
            <v>1269821193</v>
          </cell>
          <cell r="B5" t="str">
            <v>9520544ZY</v>
          </cell>
          <cell r="C5" t="str">
            <v>AKHMAD MILZAM WILLY PRATAMA</v>
          </cell>
          <cell r="D5">
            <v>95207603</v>
          </cell>
          <cell r="E5">
            <v>4120176694</v>
          </cell>
          <cell r="F5">
            <v>54</v>
          </cell>
          <cell r="G5" t="str">
            <v>Perjalanan Dinas Non-Diklat</v>
          </cell>
          <cell r="H5" t="str">
            <v>Kota Palopo - Kota Makassar</v>
          </cell>
          <cell r="I5" t="str">
            <v>16/07/2025 - 18/07/2025</v>
          </cell>
          <cell r="J5" t="str">
            <v>3</v>
          </cell>
          <cell r="K5" t="str">
            <v>Hotel</v>
          </cell>
          <cell r="M5" t="str">
            <v>16-07-2025 16:42:24</v>
          </cell>
          <cell r="N5" t="str">
            <v xml:space="preserve">CLARO Makassar - 4.0 Stars  - </v>
          </cell>
          <cell r="O5" t="str">
            <v>OF KIN TE LIST</v>
          </cell>
          <cell r="P5" t="str">
            <v>7411262</v>
          </cell>
          <cell r="Q5" t="str">
            <v>17/07/2025 14:00:00 - 18/07/2025 12:00:00</v>
          </cell>
          <cell r="R5">
            <v>768802</v>
          </cell>
        </row>
        <row r="6">
          <cell r="A6">
            <v>1269732711</v>
          </cell>
          <cell r="B6" t="str">
            <v>9115474ZY</v>
          </cell>
          <cell r="C6" t="str">
            <v>ANDI MUH ASYIK</v>
          </cell>
          <cell r="D6">
            <v>91157605</v>
          </cell>
          <cell r="E6">
            <v>4120176692</v>
          </cell>
          <cell r="F6">
            <v>54</v>
          </cell>
          <cell r="G6" t="str">
            <v>Perjalanan Dinas Non-Diklat</v>
          </cell>
          <cell r="H6" t="str">
            <v>Kab. Bulukumba - Kota Makassar</v>
          </cell>
          <cell r="I6" t="str">
            <v>17/07/2025 - 18/07/2025</v>
          </cell>
          <cell r="J6" t="str">
            <v>2</v>
          </cell>
          <cell r="K6" t="str">
            <v>Hotel</v>
          </cell>
          <cell r="M6" t="str">
            <v>16-07-2025 10:52:57</v>
          </cell>
          <cell r="N6" t="str">
            <v xml:space="preserve">Dalton Makassar - 3.0 Stars  - </v>
          </cell>
          <cell r="O6" t="str">
            <v>TL HAR MTR TRANSAKSI</v>
          </cell>
          <cell r="P6" t="str">
            <v>7411273</v>
          </cell>
          <cell r="Q6" t="str">
            <v>17/07/2025 14:00:00 - 18/07/2025 12:00:00</v>
          </cell>
          <cell r="R6">
            <v>625000</v>
          </cell>
        </row>
        <row r="7">
          <cell r="A7">
            <v>1270070733</v>
          </cell>
          <cell r="B7" t="str">
            <v>94163868ZY</v>
          </cell>
          <cell r="C7" t="str">
            <v>AFRIANTO KURNIAWAN</v>
          </cell>
          <cell r="D7">
            <v>94167640</v>
          </cell>
          <cell r="E7">
            <v>4120176684</v>
          </cell>
          <cell r="F7">
            <v>54</v>
          </cell>
          <cell r="G7" t="str">
            <v>Perjalanan Dinas Non-Diklat</v>
          </cell>
          <cell r="H7" t="str">
            <v>Kota Makassar - Kota Yogyakarta</v>
          </cell>
          <cell r="I7" t="str">
            <v>16/07/2025 - 18/07/2025</v>
          </cell>
          <cell r="J7" t="str">
            <v>3</v>
          </cell>
          <cell r="K7" t="str">
            <v>Flight One Way</v>
          </cell>
          <cell r="M7" t="str">
            <v>17-07-2025 16:22:16</v>
          </cell>
          <cell r="N7" t="str">
            <v>Lion Air  YIA Yogyakarta International Airport JT-664 - Lion Air Domestic UPG Hasanuddin JT-664</v>
          </cell>
          <cell r="O7" t="str">
            <v>TL RTU DAN PERIPHERAL (MKS)</v>
          </cell>
          <cell r="P7" t="str">
            <v>7408341</v>
          </cell>
          <cell r="Q7" t="str">
            <v>18/07/2025 20:00:00 - 18/07/2025 22:55:00</v>
          </cell>
          <cell r="R7">
            <v>1206900</v>
          </cell>
        </row>
        <row r="8">
          <cell r="A8">
            <v>1269817401</v>
          </cell>
          <cell r="B8" t="str">
            <v>94163868ZY</v>
          </cell>
          <cell r="C8" t="str">
            <v>AFRIANTO KURNIAWAN</v>
          </cell>
          <cell r="D8">
            <v>94167640</v>
          </cell>
          <cell r="E8">
            <v>4120176684</v>
          </cell>
          <cell r="F8">
            <v>54</v>
          </cell>
          <cell r="G8" t="str">
            <v>Perjalanan Dinas Non-Diklat</v>
          </cell>
          <cell r="H8" t="str">
            <v>Kota Makassar - Kota Yogyakarta</v>
          </cell>
          <cell r="I8" t="str">
            <v>16/07/2025 - 18/07/2025</v>
          </cell>
          <cell r="J8" t="str">
            <v>3</v>
          </cell>
          <cell r="K8" t="str">
            <v>Hotel</v>
          </cell>
          <cell r="M8" t="str">
            <v>16-07-2025 16:26:22</v>
          </cell>
          <cell r="N8" t="str">
            <v xml:space="preserve">Aston Gejayan Yogyakarta Hotel &amp; Conference Center - 4.0 Stars  - </v>
          </cell>
          <cell r="O8" t="str">
            <v>TL RTU DAN PERIPHERAL (MKS)</v>
          </cell>
          <cell r="P8" t="str">
            <v>7408341</v>
          </cell>
          <cell r="Q8" t="str">
            <v>16/07/2025 14:00:00 - 18/07/2025 12:00:00</v>
          </cell>
          <cell r="R8">
            <v>1660212</v>
          </cell>
        </row>
        <row r="9">
          <cell r="A9">
            <v>1269722286</v>
          </cell>
          <cell r="B9" t="str">
            <v>94163868ZY</v>
          </cell>
          <cell r="C9" t="str">
            <v>AFRIANTO KURNIAWAN</v>
          </cell>
          <cell r="D9">
            <v>94167640</v>
          </cell>
          <cell r="E9">
            <v>4120176684</v>
          </cell>
          <cell r="F9">
            <v>54</v>
          </cell>
          <cell r="G9" t="str">
            <v>Perjalanan Dinas Non-Diklat</v>
          </cell>
          <cell r="H9" t="str">
            <v>Kota Makassar - Kota Yogyakarta</v>
          </cell>
          <cell r="I9" t="str">
            <v>16/07/2025 - 18/07/2025</v>
          </cell>
          <cell r="J9" t="str">
            <v>3</v>
          </cell>
          <cell r="K9" t="str">
            <v>Flight One Way</v>
          </cell>
          <cell r="M9" t="str">
            <v>16-07-2025 10:14:03</v>
          </cell>
          <cell r="N9" t="str">
            <v>Lion Air Domestic UPG Hasanuddin JT-665 - Lion Air  YIA Yogyakarta International Airport JT-665</v>
          </cell>
          <cell r="O9" t="str">
            <v>TL RTU DAN PERIPHERAL (MKS)</v>
          </cell>
          <cell r="P9" t="str">
            <v>7408341</v>
          </cell>
          <cell r="Q9" t="str">
            <v>16/07/2025 18:55:00 - 16/07/2025 19:50:00</v>
          </cell>
          <cell r="R9">
            <v>1264800</v>
          </cell>
        </row>
        <row r="10">
          <cell r="A10">
            <v>1269686930</v>
          </cell>
          <cell r="B10" t="str">
            <v>8512114ZY</v>
          </cell>
          <cell r="C10" t="str">
            <v>ANDI MUH. ARMIN YUSFIN</v>
          </cell>
          <cell r="D10">
            <v>85127600</v>
          </cell>
          <cell r="E10">
            <v>4120176681</v>
          </cell>
          <cell r="F10">
            <v>54</v>
          </cell>
          <cell r="G10" t="str">
            <v>Perjalanan Dinas Non-Diklat</v>
          </cell>
          <cell r="H10" t="str">
            <v>Kota Makassar - Kota Palu</v>
          </cell>
          <cell r="I10" t="str">
            <v>16/07/2025 - 18/07/2025</v>
          </cell>
          <cell r="J10" t="str">
            <v>3</v>
          </cell>
          <cell r="K10" t="str">
            <v>Hotel</v>
          </cell>
          <cell r="M10" t="str">
            <v>16-07-2025 07:01:09</v>
          </cell>
          <cell r="N10" t="str">
            <v xml:space="preserve">Grand Sya Hotel - 4.0 Stars  - </v>
          </cell>
          <cell r="O10" t="str">
            <v>ASMAN OP SIS DIST</v>
          </cell>
          <cell r="P10" t="str">
            <v>7409342</v>
          </cell>
          <cell r="Q10" t="str">
            <v>16/07/2025 14:00:00 - 18/07/2025 12:00:00</v>
          </cell>
          <cell r="R10">
            <v>1810000</v>
          </cell>
        </row>
        <row r="11">
          <cell r="A11">
            <v>1269836833</v>
          </cell>
          <cell r="B11" t="str">
            <v>7090007F</v>
          </cell>
          <cell r="C11" t="str">
            <v xml:space="preserve">NASRUN </v>
          </cell>
          <cell r="D11">
            <v>70907603</v>
          </cell>
          <cell r="E11">
            <v>4120176660</v>
          </cell>
          <cell r="F11">
            <v>54</v>
          </cell>
          <cell r="G11" t="str">
            <v>Perjalanan Dinas Non-Diklat</v>
          </cell>
          <cell r="H11" t="str">
            <v>Kota Makassar - Kota Palopo</v>
          </cell>
          <cell r="I11" t="str">
            <v>15/07/2025 - 18/07/2025</v>
          </cell>
          <cell r="J11" t="str">
            <v>4</v>
          </cell>
          <cell r="K11" t="str">
            <v>Hotel</v>
          </cell>
          <cell r="M11" t="str">
            <v>16-07-2025 17:51:06</v>
          </cell>
          <cell r="N11" t="str">
            <v xml:space="preserve">Luta Resort Toraja - 0.0 Stars  - </v>
          </cell>
          <cell r="O11" t="str">
            <v>ASMAN ASET PROP</v>
          </cell>
          <cell r="P11" t="str">
            <v>7412164</v>
          </cell>
          <cell r="Q11" t="str">
            <v>16/07/2025 14:00:00 - 18/07/2025 12:00:00</v>
          </cell>
          <cell r="R11">
            <v>1615000</v>
          </cell>
        </row>
        <row r="12">
          <cell r="A12">
            <v>1269682015</v>
          </cell>
          <cell r="B12" t="str">
            <v>8309182Z</v>
          </cell>
          <cell r="C12" t="str">
            <v xml:space="preserve">WAHIDAH </v>
          </cell>
          <cell r="D12">
            <v>83093600</v>
          </cell>
          <cell r="E12">
            <v>4120176679</v>
          </cell>
          <cell r="F12">
            <v>54</v>
          </cell>
          <cell r="G12" t="str">
            <v>Perjalanan Dinas Non-Diklat</v>
          </cell>
          <cell r="H12" t="str">
            <v>Kota Makassar - Jakarta Selatan</v>
          </cell>
          <cell r="I12" t="str">
            <v>16/07/2025 - 19/07/2025</v>
          </cell>
          <cell r="J12" t="str">
            <v>4</v>
          </cell>
          <cell r="K12" t="str">
            <v>Hotel</v>
          </cell>
          <cell r="M12" t="str">
            <v>16-07-2025 06:05:19</v>
          </cell>
          <cell r="N12" t="str">
            <v xml:space="preserve">SOTIS Hotel Falatehan, Blok M, Jakarta - 3.0 Stars  - </v>
          </cell>
          <cell r="O12" t="str">
            <v>SOF REN DAN</v>
          </cell>
          <cell r="P12" t="str">
            <v>7412000</v>
          </cell>
          <cell r="Q12" t="str">
            <v>16/07/2025 14:00:00 - 18/07/2025 12:00:00</v>
          </cell>
          <cell r="R12">
            <v>1466400</v>
          </cell>
        </row>
        <row r="13">
          <cell r="A13">
            <v>1269617739</v>
          </cell>
          <cell r="B13" t="str">
            <v>8309182Z</v>
          </cell>
          <cell r="C13" t="str">
            <v xml:space="preserve">WAHIDAH </v>
          </cell>
          <cell r="D13">
            <v>83093600</v>
          </cell>
          <cell r="E13">
            <v>4120176679</v>
          </cell>
          <cell r="F13">
            <v>54</v>
          </cell>
          <cell r="G13" t="str">
            <v>Perjalanan Dinas Non-Diklat</v>
          </cell>
          <cell r="H13" t="str">
            <v>Kota Makassar - Jakarta Selatan</v>
          </cell>
          <cell r="I13" t="str">
            <v>16/07/2025 - 19/07/2025</v>
          </cell>
          <cell r="J13" t="str">
            <v>4</v>
          </cell>
          <cell r="K13" t="str">
            <v>Flight One Way</v>
          </cell>
          <cell r="M13" t="str">
            <v>15-07-2025 20:01:01</v>
          </cell>
          <cell r="N13" t="str">
            <v>Garuda Indonesia Domestic UPG Hasanuddin GA-617 - Garuda Indonesia  CGK Soekarno Hatta International Airport GA-617</v>
          </cell>
          <cell r="O13" t="str">
            <v>SOF REN DAN</v>
          </cell>
          <cell r="P13" t="str">
            <v>7412000</v>
          </cell>
          <cell r="Q13" t="str">
            <v>16/07/2025 07:15:00 - 16/07/2025 08:45:00</v>
          </cell>
          <cell r="R13">
            <v>1465100</v>
          </cell>
        </row>
        <row r="14">
          <cell r="A14">
            <v>1269941303</v>
          </cell>
          <cell r="B14" t="str">
            <v>8309182Z</v>
          </cell>
          <cell r="C14" t="str">
            <v xml:space="preserve">WAHIDAH </v>
          </cell>
          <cell r="D14">
            <v>83093600</v>
          </cell>
          <cell r="E14">
            <v>4120176679</v>
          </cell>
          <cell r="F14">
            <v>54</v>
          </cell>
          <cell r="G14" t="str">
            <v>Perjalanan Dinas Non-Diklat</v>
          </cell>
          <cell r="H14" t="str">
            <v>Kota Makassar - Jakarta Selatan</v>
          </cell>
          <cell r="I14" t="str">
            <v>16/07/2025 - 19/07/2025</v>
          </cell>
          <cell r="J14" t="str">
            <v>4</v>
          </cell>
          <cell r="K14" t="str">
            <v>Hotel</v>
          </cell>
          <cell r="M14" t="str">
            <v>17-07-2025 07:22:21</v>
          </cell>
          <cell r="N14" t="str">
            <v xml:space="preserve">Discovery Ancol - 4.0 Stars  - </v>
          </cell>
          <cell r="O14" t="str">
            <v>SOF REN DAN</v>
          </cell>
          <cell r="P14" t="str">
            <v>7412000</v>
          </cell>
          <cell r="Q14" t="str">
            <v>18/07/2025 14:00:00 - 19/07/2025 12:00:00</v>
          </cell>
          <cell r="R14">
            <v>882961</v>
          </cell>
        </row>
        <row r="15">
          <cell r="A15">
            <v>1269618427</v>
          </cell>
          <cell r="B15" t="str">
            <v>9718057FBY</v>
          </cell>
          <cell r="C15" t="str">
            <v>SARIPA ALWIA</v>
          </cell>
          <cell r="D15">
            <v>97187606</v>
          </cell>
          <cell r="E15">
            <v>4120176676</v>
          </cell>
          <cell r="F15">
            <v>54</v>
          </cell>
          <cell r="G15" t="str">
            <v>Perjalanan Dinas Diklat</v>
          </cell>
          <cell r="H15" t="str">
            <v>Kota Kendari - Kota Makassar</v>
          </cell>
          <cell r="I15" t="str">
            <v>16/07/2025 - 19/07/2025</v>
          </cell>
          <cell r="J15" t="str">
            <v>4</v>
          </cell>
          <cell r="K15" t="str">
            <v>Flight One Way</v>
          </cell>
          <cell r="M15" t="str">
            <v>15-07-2025 20:03:12</v>
          </cell>
          <cell r="N15" t="str">
            <v>Batik Air  KDI Haluoleo ID-6750 - Batik Air Domestic UPG Hasanuddin ID-6750</v>
          </cell>
          <cell r="O15" t="str">
            <v>JTC KONS LISDES</v>
          </cell>
          <cell r="P15" t="str">
            <v>7412240</v>
          </cell>
          <cell r="Q15" t="str">
            <v>16/07/2025 10:10:00 - 16/07/2025 11:05:00</v>
          </cell>
          <cell r="R15">
            <v>773200</v>
          </cell>
        </row>
        <row r="16">
          <cell r="A16">
            <v>1269684040</v>
          </cell>
          <cell r="B16" t="str">
            <v>94162107ZY</v>
          </cell>
          <cell r="C16" t="str">
            <v>ALDIS AL FADJRIN</v>
          </cell>
          <cell r="D16">
            <v>94167622</v>
          </cell>
          <cell r="E16">
            <v>4120176663</v>
          </cell>
          <cell r="F16">
            <v>54</v>
          </cell>
          <cell r="G16" t="str">
            <v>Perjalanan Dinas Non-Diklat</v>
          </cell>
          <cell r="H16" t="str">
            <v>Kota Kendari - Kab. Bombana - Kab. Kolaka Utara - Kab. Kolaka</v>
          </cell>
          <cell r="I16" t="str">
            <v>15/07/2025 - 18/07/2025</v>
          </cell>
          <cell r="J16" t="str">
            <v>4</v>
          </cell>
          <cell r="K16" t="str">
            <v>Hotel</v>
          </cell>
          <cell r="M16" t="str">
            <v>16-07-2025 06:30:14</v>
          </cell>
          <cell r="N16" t="str">
            <v xml:space="preserve">Hotel Puri Yasmin Potowanua Lasusua Mitra RedDoorz - 1.0 Stars  - </v>
          </cell>
          <cell r="O16" t="str">
            <v>TL LOG</v>
          </cell>
          <cell r="P16" t="str">
            <v>7412240</v>
          </cell>
          <cell r="Q16" t="str">
            <v>16/07/2025 14:00:00 - 17/07/2025 12:00:00</v>
          </cell>
          <cell r="R16">
            <v>395694</v>
          </cell>
        </row>
        <row r="17">
          <cell r="A17">
            <v>1269597956</v>
          </cell>
          <cell r="B17" t="str">
            <v>9719687ZY</v>
          </cell>
          <cell r="C17" t="str">
            <v>SINTIA DEWI</v>
          </cell>
          <cell r="D17">
            <v>97196205</v>
          </cell>
          <cell r="E17">
            <v>4120176670</v>
          </cell>
          <cell r="F17">
            <v>54</v>
          </cell>
          <cell r="G17" t="str">
            <v>Perjalanan Dinas Diklat</v>
          </cell>
          <cell r="H17" t="str">
            <v>Kab. Konawe - Kota Makassar</v>
          </cell>
          <cell r="I17" t="str">
            <v>16/07/2025 - 19/07/2025</v>
          </cell>
          <cell r="J17" t="str">
            <v>4</v>
          </cell>
          <cell r="K17" t="str">
            <v>Flight One Way</v>
          </cell>
          <cell r="M17" t="str">
            <v>15-07-2025 18:37:57</v>
          </cell>
          <cell r="N17" t="str">
            <v>Lion Air  KDI Haluoleo JT-997 - Lion Air Domestic UPG Hasanuddin JT-997</v>
          </cell>
          <cell r="O17" t="str">
            <v>TL K3 DAN KAM LAY GAN</v>
          </cell>
          <cell r="P17" t="str">
            <v>7409628</v>
          </cell>
          <cell r="Q17" t="str">
            <v>16/07/2025 15:35:00 - 16/07/2025 16:30:00</v>
          </cell>
          <cell r="R17">
            <v>695400</v>
          </cell>
        </row>
        <row r="18">
          <cell r="A18">
            <v>1270037811</v>
          </cell>
          <cell r="B18" t="str">
            <v>9009030F</v>
          </cell>
          <cell r="C18" t="str">
            <v>MUH. RENALDI</v>
          </cell>
          <cell r="D18">
            <v>90097605</v>
          </cell>
          <cell r="E18">
            <v>4120176669</v>
          </cell>
          <cell r="F18">
            <v>54</v>
          </cell>
          <cell r="G18" t="str">
            <v>Perjalanan Dinas Non-Diklat</v>
          </cell>
          <cell r="H18" t="str">
            <v>Kab. Mamuju - Kota Makassar</v>
          </cell>
          <cell r="I18" t="str">
            <v>16/07/2025 - 18/07/2025</v>
          </cell>
          <cell r="J18" t="str">
            <v>3</v>
          </cell>
          <cell r="K18" t="str">
            <v>Hotel</v>
          </cell>
          <cell r="M18" t="str">
            <v>17-07-2025 14:14:39</v>
          </cell>
          <cell r="N18" t="str">
            <v xml:space="preserve">Arthama Hotel Makassar - 4.0 Stars  - </v>
          </cell>
          <cell r="O18" t="str">
            <v>TL HAR MTR TRANSAKSI</v>
          </cell>
          <cell r="P18" t="str">
            <v>7411292</v>
          </cell>
          <cell r="Q18" t="str">
            <v>17/07/2025 14:00:00 - 18/07/2025 12:00:00</v>
          </cell>
          <cell r="R18">
            <v>758625</v>
          </cell>
        </row>
        <row r="19">
          <cell r="A19">
            <v>1269648166</v>
          </cell>
          <cell r="B19" t="str">
            <v>9008084F</v>
          </cell>
          <cell r="C19" t="str">
            <v>ZAKI ASHARI</v>
          </cell>
          <cell r="D19">
            <v>90087607</v>
          </cell>
          <cell r="E19">
            <v>4120176654</v>
          </cell>
          <cell r="F19">
            <v>54</v>
          </cell>
          <cell r="G19" t="str">
            <v>Perjalanan Dinas Non-Diklat</v>
          </cell>
          <cell r="H19" t="str">
            <v>Kota Makassar - Kota Yogyakarta</v>
          </cell>
          <cell r="I19" t="str">
            <v>16/07/2025 - 19/07/2025</v>
          </cell>
          <cell r="J19" t="str">
            <v>4</v>
          </cell>
          <cell r="K19" t="str">
            <v>Hotel</v>
          </cell>
          <cell r="M19" t="str">
            <v>15-07-2025 22:07:13</v>
          </cell>
          <cell r="N19" t="str">
            <v xml:space="preserve">Hotel New Saphir Yogyakarta - 4.0 Stars  - </v>
          </cell>
          <cell r="O19" t="str">
            <v>OF STR SAR</v>
          </cell>
          <cell r="P19" t="str">
            <v>7411143</v>
          </cell>
          <cell r="Q19" t="str">
            <v>17/07/2025 14:00:00 - 18/07/2025 12:00:00</v>
          </cell>
          <cell r="R19">
            <v>738075</v>
          </cell>
        </row>
        <row r="20">
          <cell r="A20">
            <v>1269566806</v>
          </cell>
          <cell r="B20" t="str">
            <v>9008084F</v>
          </cell>
          <cell r="C20" t="str">
            <v>ZAKI ASHARI</v>
          </cell>
          <cell r="D20">
            <v>90087607</v>
          </cell>
          <cell r="E20">
            <v>4120176654</v>
          </cell>
          <cell r="F20">
            <v>54</v>
          </cell>
          <cell r="G20" t="str">
            <v>Perjalanan Dinas Non-Diklat</v>
          </cell>
          <cell r="H20" t="str">
            <v>Kota Makassar - Kota Yogyakarta</v>
          </cell>
          <cell r="I20" t="str">
            <v>16/07/2025 - 19/07/2025</v>
          </cell>
          <cell r="J20" t="str">
            <v>4</v>
          </cell>
          <cell r="K20" t="str">
            <v>Flight Round-Trip</v>
          </cell>
          <cell r="M20" t="str">
            <v>15-07-2025 16:23:29</v>
          </cell>
          <cell r="N20" t="str">
            <v>Lion Air Domestic UPG Hasanuddin JT-641 - Lion Air  YIA Yogyakarta International Airport JT-641</v>
          </cell>
          <cell r="O20" t="str">
            <v>OF STR SAR</v>
          </cell>
          <cell r="P20" t="str">
            <v>7411143</v>
          </cell>
          <cell r="Q20" t="str">
            <v>16/07/2025 08:40:00 - 16/07/2025 09:35:00</v>
          </cell>
          <cell r="R20">
            <v>2622100</v>
          </cell>
        </row>
        <row r="21">
          <cell r="A21">
            <v>1269630057</v>
          </cell>
          <cell r="B21" t="str">
            <v>9008084F</v>
          </cell>
          <cell r="C21" t="str">
            <v>ZAKI ASHARI</v>
          </cell>
          <cell r="D21">
            <v>90087607</v>
          </cell>
          <cell r="E21">
            <v>4120176654</v>
          </cell>
          <cell r="F21">
            <v>54</v>
          </cell>
          <cell r="G21" t="str">
            <v>Perjalanan Dinas Non-Diklat</v>
          </cell>
          <cell r="H21" t="str">
            <v>Kota Makassar - Kota Yogyakarta</v>
          </cell>
          <cell r="I21" t="str">
            <v>16/07/2025 - 19/07/2025</v>
          </cell>
          <cell r="J21" t="str">
            <v>4</v>
          </cell>
          <cell r="K21" t="str">
            <v>Hotel</v>
          </cell>
          <cell r="M21" t="str">
            <v>15-07-2025 20:49:33</v>
          </cell>
          <cell r="N21" t="str">
            <v xml:space="preserve">Hotel FortunaGrande Seturan Yogyakarta By Fosia Hotels - 4.0 Stars  - </v>
          </cell>
          <cell r="O21" t="str">
            <v>OF STR SAR</v>
          </cell>
          <cell r="P21" t="str">
            <v>7411143</v>
          </cell>
          <cell r="Q21" t="str">
            <v>16/07/2025 14:00:00 - 17/07/2025 12:00:00</v>
          </cell>
          <cell r="R21">
            <v>660488</v>
          </cell>
        </row>
        <row r="22">
          <cell r="A22">
            <v>1269898268</v>
          </cell>
          <cell r="B22" t="str">
            <v>9008084F</v>
          </cell>
          <cell r="C22" t="str">
            <v>ZAKI ASHARI</v>
          </cell>
          <cell r="D22">
            <v>90087607</v>
          </cell>
          <cell r="E22">
            <v>4120176654</v>
          </cell>
          <cell r="F22">
            <v>54</v>
          </cell>
          <cell r="G22" t="str">
            <v>Perjalanan Dinas Non-Diklat</v>
          </cell>
          <cell r="H22" t="str">
            <v>Kota Makassar - Kota Yogyakarta</v>
          </cell>
          <cell r="I22" t="str">
            <v>16/07/2025 - 19/07/2025</v>
          </cell>
          <cell r="J22" t="str">
            <v>4</v>
          </cell>
          <cell r="K22" t="str">
            <v>Hotel</v>
          </cell>
          <cell r="M22" t="str">
            <v>16-07-2025 22:06:26</v>
          </cell>
          <cell r="N22" t="str">
            <v xml:space="preserve">YATS Colony - 3.0 Stars  - </v>
          </cell>
          <cell r="O22" t="str">
            <v>OF STR SAR</v>
          </cell>
          <cell r="P22" t="str">
            <v>7411143</v>
          </cell>
          <cell r="Q22" t="str">
            <v>18/07/2025 14:00:00 - 19/07/2025 12:00:00</v>
          </cell>
          <cell r="R22">
            <v>813280</v>
          </cell>
        </row>
        <row r="23">
          <cell r="A23">
            <v>1270119439</v>
          </cell>
          <cell r="B23" t="str">
            <v>8609527Z</v>
          </cell>
          <cell r="C23" t="str">
            <v>MUHAMMAD SUSGANDINATA</v>
          </cell>
          <cell r="D23">
            <v>86097601</v>
          </cell>
          <cell r="E23">
            <v>4120176655</v>
          </cell>
          <cell r="F23">
            <v>54</v>
          </cell>
          <cell r="G23" t="str">
            <v>Perjalanan Dinas Non-Diklat</v>
          </cell>
          <cell r="H23" t="str">
            <v>Kota Makassar - Kota Yogyakarta</v>
          </cell>
          <cell r="I23" t="str">
            <v>16/07/2025 - 19/07/2025</v>
          </cell>
          <cell r="J23" t="str">
            <v>4</v>
          </cell>
          <cell r="K23" t="str">
            <v>Hotel</v>
          </cell>
          <cell r="M23" t="str">
            <v>17-07-2025 19:39:27</v>
          </cell>
          <cell r="N23" t="str">
            <v xml:space="preserve">@HOM Premiere Timoho - 4.0 Stars  - </v>
          </cell>
          <cell r="O23" t="str">
            <v>MAN YAN GAN</v>
          </cell>
          <cell r="P23" t="str">
            <v>7411140</v>
          </cell>
          <cell r="Q23" t="str">
            <v>17/07/2025 14:00:00 - 18/07/2025 12:00:00</v>
          </cell>
          <cell r="R23">
            <v>413690</v>
          </cell>
        </row>
        <row r="24">
          <cell r="A24">
            <v>1269893465</v>
          </cell>
          <cell r="B24" t="str">
            <v>8609527Z</v>
          </cell>
          <cell r="C24" t="str">
            <v>MUHAMMAD SUSGANDINATA</v>
          </cell>
          <cell r="D24">
            <v>86097601</v>
          </cell>
          <cell r="E24">
            <v>4120176655</v>
          </cell>
          <cell r="F24">
            <v>54</v>
          </cell>
          <cell r="G24" t="str">
            <v>Perjalanan Dinas Non-Diklat</v>
          </cell>
          <cell r="H24" t="str">
            <v>Kota Makassar - Kota Yogyakarta</v>
          </cell>
          <cell r="I24" t="str">
            <v>16/07/2025 - 19/07/2025</v>
          </cell>
          <cell r="J24" t="str">
            <v>4</v>
          </cell>
          <cell r="K24" t="str">
            <v>Hotel</v>
          </cell>
          <cell r="M24" t="str">
            <v>16-07-2025 21:44:45</v>
          </cell>
          <cell r="N24" t="str">
            <v xml:space="preserve">GAIA Cosmo Hotel - 4.0 Stars  - </v>
          </cell>
          <cell r="O24" t="str">
            <v>MAN YAN GAN</v>
          </cell>
          <cell r="P24" t="str">
            <v>7411140</v>
          </cell>
          <cell r="Q24" t="str">
            <v>16/07/2025 14:00:00 - 17/07/2025 12:00:00</v>
          </cell>
          <cell r="R24">
            <v>920000</v>
          </cell>
        </row>
        <row r="25">
          <cell r="A25">
            <v>1269536996</v>
          </cell>
          <cell r="B25" t="str">
            <v>8609527Z</v>
          </cell>
          <cell r="C25" t="str">
            <v>MUHAMMAD SUSGANDINATA</v>
          </cell>
          <cell r="D25">
            <v>86097601</v>
          </cell>
          <cell r="E25">
            <v>4120176655</v>
          </cell>
          <cell r="F25">
            <v>54</v>
          </cell>
          <cell r="G25" t="str">
            <v>Perjalanan Dinas Non-Diklat</v>
          </cell>
          <cell r="H25" t="str">
            <v>Kota Makassar - Kota Yogyakarta</v>
          </cell>
          <cell r="I25" t="str">
            <v>16/07/2025 - 19/07/2025</v>
          </cell>
          <cell r="J25" t="str">
            <v>4</v>
          </cell>
          <cell r="K25" t="str">
            <v>Flight One Way</v>
          </cell>
          <cell r="M25" t="str">
            <v>15-07-2025 14:24:55</v>
          </cell>
          <cell r="N25" t="str">
            <v>Lion Air Domestic UPG Hasanuddin JT-665 - Lion Air  YIA Yogyakarta International Airport JT-665</v>
          </cell>
          <cell r="O25" t="str">
            <v>MAN YAN GAN</v>
          </cell>
          <cell r="P25" t="str">
            <v>7411140</v>
          </cell>
          <cell r="Q25" t="str">
            <v>16/07/2025 18:55:00 - 16/07/2025 19:50:00</v>
          </cell>
          <cell r="R25">
            <v>1264800</v>
          </cell>
        </row>
        <row r="26">
          <cell r="A26">
            <v>1270000718</v>
          </cell>
          <cell r="B26" t="str">
            <v>88112349Z</v>
          </cell>
          <cell r="C26" t="str">
            <v>FAISAL KAMARUDDIN</v>
          </cell>
          <cell r="D26">
            <v>88117614</v>
          </cell>
          <cell r="E26">
            <v>4120176657</v>
          </cell>
          <cell r="F26">
            <v>54</v>
          </cell>
          <cell r="G26" t="str">
            <v>Perjalanan Dinas Non-Diklat</v>
          </cell>
          <cell r="H26" t="str">
            <v>Kab. Pinrang - Kota Makassar</v>
          </cell>
          <cell r="I26" t="str">
            <v>17/07/2025 - 18/07/2025</v>
          </cell>
          <cell r="J26" t="str">
            <v>2</v>
          </cell>
          <cell r="K26" t="str">
            <v>Hotel</v>
          </cell>
          <cell r="M26" t="str">
            <v>17-07-2025 11:51:09</v>
          </cell>
          <cell r="N26" t="str">
            <v xml:space="preserve">Gammara Hotel Makassar - 4.0 Stars  - </v>
          </cell>
          <cell r="O26" t="str">
            <v>OF KIN TE LIST</v>
          </cell>
          <cell r="P26" t="str">
            <v>7411252</v>
          </cell>
          <cell r="Q26" t="str">
            <v>17/07/2025 14:00:00 - 18/07/2025 12:00:00</v>
          </cell>
          <cell r="R26">
            <v>628625</v>
          </cell>
        </row>
        <row r="27">
          <cell r="A27">
            <v>1269490036</v>
          </cell>
          <cell r="B27" t="str">
            <v>9923467ZY</v>
          </cell>
          <cell r="C27" t="str">
            <v>VINKY SRIWAHYUNI MARITO MARPAUNG</v>
          </cell>
          <cell r="D27">
            <v>99237600</v>
          </cell>
          <cell r="E27">
            <v>4120176664</v>
          </cell>
          <cell r="F27">
            <v>54</v>
          </cell>
          <cell r="G27" t="str">
            <v>Perjalanan Dinas Diklat</v>
          </cell>
          <cell r="H27" t="str">
            <v>Kab. Muna - Kota Makassar</v>
          </cell>
          <cell r="I27" t="str">
            <v>16/07/2025 - 19/07/2025</v>
          </cell>
          <cell r="J27" t="str">
            <v>4</v>
          </cell>
          <cell r="K27" t="str">
            <v>Flight One Way</v>
          </cell>
          <cell r="M27" t="str">
            <v>15-07-2025 11:21:10</v>
          </cell>
          <cell r="N27" t="str">
            <v>Super Air Jet  BUW Betoambari IU-573 - Super Air Jet  UPG Hasanuddin IU-573</v>
          </cell>
          <cell r="O27" t="str">
            <v>JTC OP DAN HAR DIST</v>
          </cell>
          <cell r="P27" t="str">
            <v>7409651</v>
          </cell>
          <cell r="Q27" t="str">
            <v>16/07/2025 15:35:00 - 16/07/2025 16:20:00</v>
          </cell>
          <cell r="R27">
            <v>705300</v>
          </cell>
        </row>
        <row r="28">
          <cell r="A28">
            <v>1269498248</v>
          </cell>
          <cell r="B28" t="str">
            <v>9619975ZY</v>
          </cell>
          <cell r="C28" t="str">
            <v>SEKARWATI CIPTOROSO</v>
          </cell>
          <cell r="D28">
            <v>96197610</v>
          </cell>
          <cell r="E28">
            <v>4120176661</v>
          </cell>
          <cell r="F28">
            <v>54</v>
          </cell>
          <cell r="G28" t="str">
            <v>Perjalanan Dinas Diklat</v>
          </cell>
          <cell r="H28" t="str">
            <v>Kota Baubau - Kota Makassar</v>
          </cell>
          <cell r="I28" t="str">
            <v>16/07/2025 - 19/07/2025</v>
          </cell>
          <cell r="J28" t="str">
            <v>4</v>
          </cell>
          <cell r="K28" t="str">
            <v>Flight Round-Trip</v>
          </cell>
          <cell r="M28" t="str">
            <v>15-07-2025 11:52:38</v>
          </cell>
          <cell r="N28" t="str">
            <v>Super Air Jet  BUW Betoambari IU-573 - Super Air Jet  UPG Hasanuddin IU-573</v>
          </cell>
          <cell r="O28" t="str">
            <v>OF KIN KEU DAN MUM</v>
          </cell>
          <cell r="P28" t="str">
            <v>7412280</v>
          </cell>
          <cell r="Q28" t="str">
            <v>16/07/2025 15:35:00 - 16/07/2025 16:20:00</v>
          </cell>
          <cell r="R28">
            <v>1510500</v>
          </cell>
        </row>
        <row r="29">
          <cell r="A29">
            <v>1269482749</v>
          </cell>
          <cell r="B29" t="str">
            <v>8106034F</v>
          </cell>
          <cell r="C29" t="str">
            <v>DIAN ADHIRAMA ACHDAR</v>
          </cell>
          <cell r="D29">
            <v>81067606</v>
          </cell>
          <cell r="E29">
            <v>4120176653</v>
          </cell>
          <cell r="F29">
            <v>54</v>
          </cell>
          <cell r="G29" t="str">
            <v>Perjalanan Dinas Non-Diklat</v>
          </cell>
          <cell r="H29" t="str">
            <v>Kota Makassar - Kota Palopo</v>
          </cell>
          <cell r="I29" t="str">
            <v>15/07/2025 - 18/07/2025</v>
          </cell>
          <cell r="J29" t="str">
            <v>4</v>
          </cell>
          <cell r="K29" t="str">
            <v>Hotel</v>
          </cell>
          <cell r="M29" t="str">
            <v>15-07-2025 10:53:48</v>
          </cell>
          <cell r="N29" t="str">
            <v xml:space="preserve">BM Residence Hotel Palopo - 1.0 Stars  - </v>
          </cell>
          <cell r="O29" t="str">
            <v>TC HAR ELEKTRO</v>
          </cell>
          <cell r="P29" t="str">
            <v>7412340</v>
          </cell>
          <cell r="Q29" t="str">
            <v>15/07/2025 14:00:00 - 17/07/2025 12:00:00</v>
          </cell>
          <cell r="R29">
            <v>1050000</v>
          </cell>
        </row>
        <row r="30">
          <cell r="A30">
            <v>1269440874</v>
          </cell>
          <cell r="B30" t="str">
            <v>8711130Z</v>
          </cell>
          <cell r="C30" t="str">
            <v>HADHI BAGUS SETYANTO</v>
          </cell>
          <cell r="D30">
            <v>87117602</v>
          </cell>
          <cell r="E30">
            <v>4120176652</v>
          </cell>
          <cell r="F30">
            <v>54</v>
          </cell>
          <cell r="G30" t="str">
            <v>Perjalanan Dinas Non-Diklat</v>
          </cell>
          <cell r="H30" t="str">
            <v>Kota Makassar - Kota Semarang</v>
          </cell>
          <cell r="I30" t="str">
            <v>15/07/2025 - 19/07/2025</v>
          </cell>
          <cell r="J30" t="str">
            <v>5</v>
          </cell>
          <cell r="K30" t="str">
            <v>Flight One Way</v>
          </cell>
          <cell r="M30" t="str">
            <v>15-07-2025 07:28:03</v>
          </cell>
          <cell r="N30" t="str">
            <v>Citilink Domestic UPG Hasanuddin QG-213 - Citilink Domestic SRG Achmad Yani QG-213</v>
          </cell>
          <cell r="O30" t="str">
            <v>ASMAN MANJ BILLING</v>
          </cell>
          <cell r="P30" t="str">
            <v>7411141</v>
          </cell>
          <cell r="Q30" t="str">
            <v>15/07/2025 13:35:00 - 15/07/2025 17:15:00</v>
          </cell>
          <cell r="R30">
            <v>1819700</v>
          </cell>
        </row>
        <row r="31">
          <cell r="A31">
            <v>1269939144</v>
          </cell>
          <cell r="B31" t="str">
            <v>8711130Z</v>
          </cell>
          <cell r="C31" t="str">
            <v>HADHI BAGUS SETYANTO</v>
          </cell>
          <cell r="D31">
            <v>87117602</v>
          </cell>
          <cell r="E31">
            <v>4120176652</v>
          </cell>
          <cell r="F31">
            <v>54</v>
          </cell>
          <cell r="G31" t="str">
            <v>Perjalanan Dinas Non-Diklat</v>
          </cell>
          <cell r="H31" t="str">
            <v>Kota Makassar - Kota Semarang</v>
          </cell>
          <cell r="I31" t="str">
            <v>15/07/2025 - 19/07/2025</v>
          </cell>
          <cell r="J31" t="str">
            <v>5</v>
          </cell>
          <cell r="K31" t="str">
            <v>Hotel</v>
          </cell>
          <cell r="M31" t="str">
            <v>17-07-2025 07:04:46</v>
          </cell>
          <cell r="N31" t="str">
            <v>Louis Kienne Pemuda - 4.0 Stars  - Deluxe</v>
          </cell>
          <cell r="O31" t="str">
            <v>ASMAN MANJ BILLING</v>
          </cell>
          <cell r="P31" t="str">
            <v>7411141</v>
          </cell>
          <cell r="Q31" t="str">
            <v>17/07/2025 14:00:00 - 18/07/2025 12:00:00</v>
          </cell>
          <cell r="R31">
            <v>760808</v>
          </cell>
        </row>
        <row r="32">
          <cell r="A32">
            <v>1269441755</v>
          </cell>
          <cell r="B32" t="str">
            <v>8711130Z</v>
          </cell>
          <cell r="C32" t="str">
            <v>HADHI BAGUS SETYANTO</v>
          </cell>
          <cell r="D32">
            <v>87117602</v>
          </cell>
          <cell r="E32">
            <v>4120176652</v>
          </cell>
          <cell r="F32">
            <v>54</v>
          </cell>
          <cell r="G32" t="str">
            <v>Perjalanan Dinas Non-Diklat</v>
          </cell>
          <cell r="H32" t="str">
            <v>Kota Makassar - Kota Semarang</v>
          </cell>
          <cell r="I32" t="str">
            <v>15/07/2025 - 19/07/2025</v>
          </cell>
          <cell r="J32" t="str">
            <v>5</v>
          </cell>
          <cell r="K32" t="str">
            <v>Hotel</v>
          </cell>
          <cell r="M32" t="str">
            <v>15-07-2025 07:34:56</v>
          </cell>
          <cell r="N32" t="str">
            <v>Louis Kienne Pemuda - 4.0 Stars  - Deluxe</v>
          </cell>
          <cell r="O32" t="str">
            <v>ASMAN MANJ BILLING</v>
          </cell>
          <cell r="P32" t="str">
            <v>7411141</v>
          </cell>
          <cell r="Q32" t="str">
            <v>15/07/2025 14:00:00 - 17/07/2025 12:00:00</v>
          </cell>
          <cell r="R32">
            <v>1606800</v>
          </cell>
        </row>
        <row r="33">
          <cell r="A33">
            <v>1269369838</v>
          </cell>
          <cell r="B33" t="str">
            <v>8106329Z</v>
          </cell>
          <cell r="C33" t="str">
            <v>ANDI BASO MAKKARAKA</v>
          </cell>
          <cell r="D33">
            <v>81067403</v>
          </cell>
          <cell r="E33">
            <v>4120176649</v>
          </cell>
          <cell r="F33">
            <v>54</v>
          </cell>
          <cell r="G33" t="str">
            <v>Perjalanan Dinas Non-Diklat</v>
          </cell>
          <cell r="H33" t="str">
            <v>Kota Makassar - Kab. Bone</v>
          </cell>
          <cell r="I33" t="str">
            <v>15/07/2025 - 18/07/2025</v>
          </cell>
          <cell r="J33" t="str">
            <v>4</v>
          </cell>
          <cell r="K33" t="str">
            <v>Hotel</v>
          </cell>
          <cell r="M33" t="str">
            <v>14-07-2025 19:50:00</v>
          </cell>
          <cell r="N33" t="str">
            <v xml:space="preserve">Helios Hotel and Convention - 3.0 Stars  - </v>
          </cell>
          <cell r="O33" t="str">
            <v>SPC PAT GM</v>
          </cell>
          <cell r="P33" t="str">
            <v>7412110</v>
          </cell>
          <cell r="Q33" t="str">
            <v>15/07/2025 14:00:00 - 18/07/2025 12:00:00</v>
          </cell>
          <cell r="R33">
            <v>2349540</v>
          </cell>
        </row>
        <row r="34">
          <cell r="A34">
            <v>1269823201</v>
          </cell>
          <cell r="B34" t="str">
            <v>92172062ZY</v>
          </cell>
          <cell r="C34" t="str">
            <v>DESHINTA AMALIA SHOLIHAH</v>
          </cell>
          <cell r="D34">
            <v>92177616</v>
          </cell>
          <cell r="E34">
            <v>4120176635</v>
          </cell>
          <cell r="F34">
            <v>54</v>
          </cell>
          <cell r="G34" t="str">
            <v>Perjalanan Dinas Non-Diklat</v>
          </cell>
          <cell r="H34" t="str">
            <v>Kota Makassar - Kab. Bone</v>
          </cell>
          <cell r="I34" t="str">
            <v>15/07/2025 - 18/07/2025</v>
          </cell>
          <cell r="J34" t="str">
            <v>4</v>
          </cell>
          <cell r="K34" t="str">
            <v>Hotel</v>
          </cell>
          <cell r="M34" t="str">
            <v>16-07-2025 16:50:59</v>
          </cell>
          <cell r="N34" t="str">
            <v xml:space="preserve">Helios Hotel and Convention - 3.0 Stars  - </v>
          </cell>
          <cell r="O34" t="str">
            <v>ASMAN AKT MUM DAN BIAYA</v>
          </cell>
          <cell r="P34" t="str">
            <v>7412152</v>
          </cell>
          <cell r="Q34" t="str">
            <v>17/07/2025 14:00:00 - 18/07/2025 12:00:00</v>
          </cell>
          <cell r="R34">
            <v>783180</v>
          </cell>
        </row>
        <row r="35">
          <cell r="A35">
            <v>1269477640</v>
          </cell>
          <cell r="B35" t="str">
            <v>92172062ZY</v>
          </cell>
          <cell r="C35" t="str">
            <v>DESHINTA AMALIA SHOLIHAH</v>
          </cell>
          <cell r="D35">
            <v>92177616</v>
          </cell>
          <cell r="E35">
            <v>4120176635</v>
          </cell>
          <cell r="F35">
            <v>54</v>
          </cell>
          <cell r="G35" t="str">
            <v>Perjalanan Dinas Non-Diklat</v>
          </cell>
          <cell r="H35" t="str">
            <v>Kota Makassar - Kab. Bone</v>
          </cell>
          <cell r="I35" t="str">
            <v>15/07/2025 - 18/07/2025</v>
          </cell>
          <cell r="J35" t="str">
            <v>4</v>
          </cell>
          <cell r="K35" t="str">
            <v>Hotel</v>
          </cell>
          <cell r="M35" t="str">
            <v>15-07-2025 10:33:18</v>
          </cell>
          <cell r="N35" t="str">
            <v xml:space="preserve">Helios Hotel and Convention - 3.0 Stars  - </v>
          </cell>
          <cell r="O35" t="str">
            <v>ASMAN AKT MUM DAN BIAYA</v>
          </cell>
          <cell r="P35" t="str">
            <v>7412152</v>
          </cell>
          <cell r="Q35" t="str">
            <v>15/07/2025 14:00:00 - 17/07/2025 12:00:00</v>
          </cell>
          <cell r="R35">
            <v>1566360</v>
          </cell>
        </row>
        <row r="36">
          <cell r="A36">
            <v>1269369982</v>
          </cell>
          <cell r="B36" t="str">
            <v>8709018F</v>
          </cell>
          <cell r="C36" t="str">
            <v>ARIE PRATAMA</v>
          </cell>
          <cell r="D36">
            <v>87097600</v>
          </cell>
          <cell r="E36">
            <v>4120176642</v>
          </cell>
          <cell r="F36">
            <v>54</v>
          </cell>
          <cell r="G36" t="str">
            <v>Perjalanan Dinas Non-Diklat</v>
          </cell>
          <cell r="H36" t="str">
            <v>Kota Makassar - Kota Semarang</v>
          </cell>
          <cell r="I36" t="str">
            <v>15/07/2025 - 19/07/2025</v>
          </cell>
          <cell r="J36" t="str">
            <v>5</v>
          </cell>
          <cell r="K36" t="str">
            <v>Hotel</v>
          </cell>
          <cell r="M36" t="str">
            <v>14-07-2025 19:50:45</v>
          </cell>
          <cell r="N36" t="str">
            <v xml:space="preserve">Louis Kienne Pemuda - 4.0 Stars  - </v>
          </cell>
          <cell r="O36" t="str">
            <v>ASMAN DAL SIS MTR</v>
          </cell>
          <cell r="P36" t="str">
            <v>7412000</v>
          </cell>
          <cell r="Q36" t="str">
            <v>15/07/2025 14:00:00 - 19/07/2025 12:00:00</v>
          </cell>
          <cell r="R36">
            <v>3612496</v>
          </cell>
        </row>
        <row r="37">
          <cell r="A37">
            <v>1269394599</v>
          </cell>
          <cell r="B37" t="str">
            <v>8709018F</v>
          </cell>
          <cell r="C37" t="str">
            <v>ARIE PRATAMA</v>
          </cell>
          <cell r="D37">
            <v>87097600</v>
          </cell>
          <cell r="E37">
            <v>4120176642</v>
          </cell>
          <cell r="F37">
            <v>54</v>
          </cell>
          <cell r="G37" t="str">
            <v>Perjalanan Dinas Non-Diklat</v>
          </cell>
          <cell r="H37" t="str">
            <v>Kota Makassar - Kota Semarang</v>
          </cell>
          <cell r="I37" t="str">
            <v>15/07/2025 - 19/07/2025</v>
          </cell>
          <cell r="J37" t="str">
            <v>5</v>
          </cell>
          <cell r="K37" t="str">
            <v>Flight One Way</v>
          </cell>
          <cell r="M37" t="str">
            <v>14-07-2025 21:36:14</v>
          </cell>
          <cell r="N37" t="str">
            <v>Lion Air Domestic UPG Hasanuddin JT-909 - Lion Air Domestic SRG Achmad Yani JT-909</v>
          </cell>
          <cell r="O37" t="str">
            <v>ASMAN DAL SIS MTR</v>
          </cell>
          <cell r="P37" t="str">
            <v>7412000</v>
          </cell>
          <cell r="Q37" t="str">
            <v>15/07/2025 14:05:00 - 15/07/2025 14:50:00</v>
          </cell>
          <cell r="R37">
            <v>1444000</v>
          </cell>
        </row>
        <row r="38">
          <cell r="A38">
            <v>1269363510</v>
          </cell>
          <cell r="B38" t="str">
            <v>93151397ZY</v>
          </cell>
          <cell r="C38" t="str">
            <v>KIKI RESKI ANDRIANI</v>
          </cell>
          <cell r="D38">
            <v>93153811</v>
          </cell>
          <cell r="E38">
            <v>4120176640</v>
          </cell>
          <cell r="F38">
            <v>54</v>
          </cell>
          <cell r="G38" t="str">
            <v>Perjalanan Dinas Non-Diklat</v>
          </cell>
          <cell r="H38" t="str">
            <v>Kota Makassar - Kota Semarang</v>
          </cell>
          <cell r="I38" t="str">
            <v>15/07/2025 - 19/07/2025</v>
          </cell>
          <cell r="J38" t="str">
            <v>5</v>
          </cell>
          <cell r="K38" t="str">
            <v>Flight One Way</v>
          </cell>
          <cell r="M38" t="str">
            <v>14-07-2025 19:22:00</v>
          </cell>
          <cell r="N38" t="str">
            <v>Lion Air Domestic UPG Hasanuddin JT-909 - Lion Air Domestic SRG Achmad Yani JT-909</v>
          </cell>
          <cell r="O38" t="str">
            <v>ASMAN ADM GAN</v>
          </cell>
          <cell r="P38" t="str">
            <v>7411140</v>
          </cell>
          <cell r="Q38" t="str">
            <v>15/07/2025 14:05:00 - 15/07/2025 14:50:00</v>
          </cell>
          <cell r="R38">
            <v>1384100</v>
          </cell>
        </row>
        <row r="39">
          <cell r="A39">
            <v>1270141035</v>
          </cell>
          <cell r="B39" t="str">
            <v>93151397ZY</v>
          </cell>
          <cell r="C39" t="str">
            <v>KIKI RESKI ANDRIANI</v>
          </cell>
          <cell r="D39">
            <v>93153811</v>
          </cell>
          <cell r="E39">
            <v>4120176640</v>
          </cell>
          <cell r="F39">
            <v>54</v>
          </cell>
          <cell r="G39" t="str">
            <v>Perjalanan Dinas Non-Diklat</v>
          </cell>
          <cell r="H39" t="str">
            <v>Kota Makassar - Kota Semarang</v>
          </cell>
          <cell r="I39" t="str">
            <v>15/07/2025 - 19/07/2025</v>
          </cell>
          <cell r="J39" t="str">
            <v>5</v>
          </cell>
          <cell r="K39" t="str">
            <v>Flight One Way</v>
          </cell>
          <cell r="M39" t="str">
            <v>17-07-2025 21:04:46</v>
          </cell>
          <cell r="N39" t="str">
            <v>Lion Air Domestic SRG Achmad Yani JT-908 - Lion Air Domestic UPG Hasanuddin JT-908</v>
          </cell>
          <cell r="O39" t="str">
            <v>ASMAN ADM GAN</v>
          </cell>
          <cell r="P39" t="str">
            <v>7411140</v>
          </cell>
          <cell r="Q39" t="str">
            <v>19/07/2025 15:35:00 - 19/07/2025 18:20:00</v>
          </cell>
          <cell r="R39">
            <v>1258900</v>
          </cell>
        </row>
        <row r="40">
          <cell r="A40">
            <v>1269756879</v>
          </cell>
          <cell r="B40" t="str">
            <v>93151397ZY</v>
          </cell>
          <cell r="C40" t="str">
            <v>KIKI RESKI ANDRIANI</v>
          </cell>
          <cell r="D40">
            <v>93153811</v>
          </cell>
          <cell r="E40">
            <v>4120176640</v>
          </cell>
          <cell r="F40">
            <v>54</v>
          </cell>
          <cell r="G40" t="str">
            <v>Perjalanan Dinas Non-Diklat</v>
          </cell>
          <cell r="H40" t="str">
            <v>Kota Makassar - Kota Semarang</v>
          </cell>
          <cell r="I40" t="str">
            <v>15/07/2025 - 19/07/2025</v>
          </cell>
          <cell r="J40" t="str">
            <v>5</v>
          </cell>
          <cell r="K40" t="str">
            <v>Hotel</v>
          </cell>
          <cell r="M40" t="str">
            <v>16-07-2025 12:24:37</v>
          </cell>
          <cell r="N40" t="str">
            <v>Louis Kienne Pemuda - 4.0 Stars  - Deluxe</v>
          </cell>
          <cell r="O40" t="str">
            <v>ASMAN ADM GAN</v>
          </cell>
          <cell r="P40" t="str">
            <v>7411140</v>
          </cell>
          <cell r="Q40" t="str">
            <v>17/07/2025 14:00:00 - 18/07/2025 12:00:00</v>
          </cell>
          <cell r="R40">
            <v>760808</v>
          </cell>
        </row>
        <row r="41">
          <cell r="A41">
            <v>1269370997</v>
          </cell>
          <cell r="B41" t="str">
            <v>93151397ZY</v>
          </cell>
          <cell r="C41" t="str">
            <v>KIKI RESKI ANDRIANI</v>
          </cell>
          <cell r="D41">
            <v>93153811</v>
          </cell>
          <cell r="E41">
            <v>4120176640</v>
          </cell>
          <cell r="F41">
            <v>54</v>
          </cell>
          <cell r="G41" t="str">
            <v>Perjalanan Dinas Non-Diklat</v>
          </cell>
          <cell r="H41" t="str">
            <v>Kota Makassar - Kota Semarang</v>
          </cell>
          <cell r="I41" t="str">
            <v>15/07/2025 - 19/07/2025</v>
          </cell>
          <cell r="J41" t="str">
            <v>5</v>
          </cell>
          <cell r="K41" t="str">
            <v>Hotel</v>
          </cell>
          <cell r="M41" t="str">
            <v>14-07-2025 19:55:24</v>
          </cell>
          <cell r="N41" t="str">
            <v>Louis Kienne Pemuda - 4.0 Stars  - Deluxe</v>
          </cell>
          <cell r="O41" t="str">
            <v>ASMAN ADM GAN</v>
          </cell>
          <cell r="P41" t="str">
            <v>7411140</v>
          </cell>
          <cell r="Q41" t="str">
            <v>15/07/2025 14:00:00 - 17/07/2025 12:00:00</v>
          </cell>
          <cell r="R41">
            <v>1607528</v>
          </cell>
        </row>
        <row r="42">
          <cell r="A42">
            <v>1270146017</v>
          </cell>
          <cell r="B42" t="str">
            <v>93151397ZY</v>
          </cell>
          <cell r="C42" t="str">
            <v>KIKI RESKI ANDRIANI</v>
          </cell>
          <cell r="D42">
            <v>93153811</v>
          </cell>
          <cell r="E42">
            <v>4120176640</v>
          </cell>
          <cell r="F42">
            <v>54</v>
          </cell>
          <cell r="G42" t="str">
            <v>Perjalanan Dinas Non-Diklat</v>
          </cell>
          <cell r="H42" t="str">
            <v>Kota Makassar - Kota Semarang</v>
          </cell>
          <cell r="I42" t="str">
            <v>15/07/2025 - 19/07/2025</v>
          </cell>
          <cell r="J42" t="str">
            <v>5</v>
          </cell>
          <cell r="K42" t="str">
            <v>Hotel</v>
          </cell>
          <cell r="M42" t="str">
            <v>17-07-2025 21:25:33</v>
          </cell>
          <cell r="N42" t="str">
            <v xml:space="preserve">REZ Hotel - 4.0 Stars  - </v>
          </cell>
          <cell r="O42" t="str">
            <v>ASMAN ADM GAN</v>
          </cell>
          <cell r="P42" t="str">
            <v>7411140</v>
          </cell>
          <cell r="Q42" t="str">
            <v>18/07/2025 14:00:00 - 19/07/2025 12:00:00</v>
          </cell>
          <cell r="R42">
            <v>865046</v>
          </cell>
        </row>
        <row r="43">
          <cell r="A43">
            <v>1269350198</v>
          </cell>
          <cell r="B43" t="str">
            <v>8510284Z</v>
          </cell>
          <cell r="C43" t="str">
            <v>RAHMAT BUDIYANA</v>
          </cell>
          <cell r="D43">
            <v>85107601</v>
          </cell>
          <cell r="E43">
            <v>4120176648</v>
          </cell>
          <cell r="F43">
            <v>54</v>
          </cell>
          <cell r="G43" t="str">
            <v>Perjalanan Dinas Non-Diklat</v>
          </cell>
          <cell r="H43" t="str">
            <v>Kota Makassar - Kota Semarang</v>
          </cell>
          <cell r="I43" t="str">
            <v>15/07/2025 - 19/07/2025</v>
          </cell>
          <cell r="J43" t="str">
            <v>5</v>
          </cell>
          <cell r="K43" t="str">
            <v>Flight One Way</v>
          </cell>
          <cell r="M43" t="str">
            <v>14-07-2025 18:23:27</v>
          </cell>
          <cell r="N43" t="str">
            <v>Lion Air Domestic UPG Hasanuddin JT-909 - Lion Air Domestic SRG Achmad Yani JT-909</v>
          </cell>
          <cell r="O43" t="str">
            <v>ASMAN TE LIST</v>
          </cell>
          <cell r="P43" t="str">
            <v>74112701</v>
          </cell>
          <cell r="Q43" t="str">
            <v>15/07/2025 14:05:00 - 15/07/2025 14:50:00</v>
          </cell>
          <cell r="R43">
            <v>1324300</v>
          </cell>
        </row>
        <row r="44">
          <cell r="A44">
            <v>1269378101</v>
          </cell>
          <cell r="B44" t="str">
            <v>8510284Z</v>
          </cell>
          <cell r="C44" t="str">
            <v>RAHMAT BUDIYANA</v>
          </cell>
          <cell r="D44">
            <v>85107601</v>
          </cell>
          <cell r="E44">
            <v>4120176648</v>
          </cell>
          <cell r="F44">
            <v>54</v>
          </cell>
          <cell r="G44" t="str">
            <v>Perjalanan Dinas Non-Diklat</v>
          </cell>
          <cell r="H44" t="str">
            <v>Kota Makassar - Kota Semarang</v>
          </cell>
          <cell r="I44" t="str">
            <v>15/07/2025 - 19/07/2025</v>
          </cell>
          <cell r="J44" t="str">
            <v>5</v>
          </cell>
          <cell r="K44" t="str">
            <v>Hotel</v>
          </cell>
          <cell r="M44" t="str">
            <v>14-07-2025 20:25:52</v>
          </cell>
          <cell r="N44" t="str">
            <v>Louis Kienne Pemuda - 4.0 Stars  - Deluxe</v>
          </cell>
          <cell r="O44" t="str">
            <v>ASMAN TE LIST</v>
          </cell>
          <cell r="P44" t="str">
            <v>74112701</v>
          </cell>
          <cell r="Q44" t="str">
            <v>15/07/2025 14:00:00 - 18/07/2025 12:00:00</v>
          </cell>
          <cell r="R44">
            <v>2411292</v>
          </cell>
        </row>
        <row r="45">
          <cell r="A45">
            <v>1269332436</v>
          </cell>
          <cell r="B45" t="str">
            <v>93161901ZY</v>
          </cell>
          <cell r="C45" t="str">
            <v>RISA WAHYU GUNTORO</v>
          </cell>
          <cell r="D45">
            <v>93167622</v>
          </cell>
          <cell r="E45">
            <v>4120176645</v>
          </cell>
          <cell r="F45">
            <v>54</v>
          </cell>
          <cell r="G45" t="str">
            <v>Perjalanan Dinas Non-Diklat</v>
          </cell>
          <cell r="H45" t="str">
            <v>Kab. Bulukumba - Kab. Kepulauan Selayar</v>
          </cell>
          <cell r="I45" t="str">
            <v>15/07/2025 - 16/07/2025</v>
          </cell>
          <cell r="J45" t="str">
            <v>2</v>
          </cell>
          <cell r="K45" t="str">
            <v>Hotel</v>
          </cell>
          <cell r="M45" t="str">
            <v>14-07-2025 17:03:11</v>
          </cell>
          <cell r="N45" t="str">
            <v xml:space="preserve">Rayhan Square Hotel - 3.0 Stars  - </v>
          </cell>
          <cell r="O45" t="str">
            <v>TL TE LIST</v>
          </cell>
          <cell r="P45" t="str">
            <v>7411273</v>
          </cell>
          <cell r="Q45" t="str">
            <v>15/07/2025 14:00:00 - 16/07/2025 12:00:00</v>
          </cell>
          <cell r="R45">
            <v>800000</v>
          </cell>
        </row>
        <row r="46">
          <cell r="A46">
            <v>1269330514</v>
          </cell>
          <cell r="B46" t="str">
            <v>9115474ZY</v>
          </cell>
          <cell r="C46" t="str">
            <v>ANDI MUH ASYIK</v>
          </cell>
          <cell r="D46">
            <v>91157605</v>
          </cell>
          <cell r="E46">
            <v>4120176619</v>
          </cell>
          <cell r="F46">
            <v>54</v>
          </cell>
          <cell r="G46" t="str">
            <v>Perjalanan Dinas Non-Diklat</v>
          </cell>
          <cell r="H46" t="str">
            <v>Kab. Bulukumba - Kab. Kepulauan Selayar</v>
          </cell>
          <cell r="I46" t="str">
            <v>15/07/2025 - 16/07/2025</v>
          </cell>
          <cell r="J46" t="str">
            <v>2</v>
          </cell>
          <cell r="K46" t="str">
            <v>Hotel</v>
          </cell>
          <cell r="M46" t="str">
            <v>14-07-2025 16:54:35</v>
          </cell>
          <cell r="N46" t="str">
            <v xml:space="preserve">Rayhan Square Hotel - 3.0 Stars  - </v>
          </cell>
          <cell r="O46" t="str">
            <v>TL HAR MTR TRANSAKSI</v>
          </cell>
          <cell r="P46" t="str">
            <v>7411273</v>
          </cell>
          <cell r="Q46" t="str">
            <v>15/07/2025 14:00:00 - 16/07/2025 12:00:00</v>
          </cell>
          <cell r="R46">
            <v>800000</v>
          </cell>
        </row>
        <row r="47">
          <cell r="A47">
            <v>1269330594</v>
          </cell>
          <cell r="B47" t="str">
            <v>9823328ZY</v>
          </cell>
          <cell r="C47" t="str">
            <v>ANDI FAUZAN ALIM</v>
          </cell>
          <cell r="D47">
            <v>98237600</v>
          </cell>
          <cell r="E47">
            <v>4120176618</v>
          </cell>
          <cell r="F47">
            <v>54</v>
          </cell>
          <cell r="G47" t="str">
            <v>Perjalanan Dinas Non-Diklat</v>
          </cell>
          <cell r="H47" t="str">
            <v>Kab. Bulukumba - Kab. Kepulauan Selayar</v>
          </cell>
          <cell r="I47" t="str">
            <v>15/07/2025 - 16/07/2025</v>
          </cell>
          <cell r="J47" t="str">
            <v>2</v>
          </cell>
          <cell r="K47" t="str">
            <v>Hotel</v>
          </cell>
          <cell r="M47" t="str">
            <v>14-07-2025 16:54:58</v>
          </cell>
          <cell r="N47" t="str">
            <v xml:space="preserve">Rayhan Square Hotel - 3.0 Stars  - </v>
          </cell>
          <cell r="O47" t="str">
            <v>TC DAL SUSUT</v>
          </cell>
          <cell r="P47" t="str">
            <v>7411273</v>
          </cell>
          <cell r="Q47" t="str">
            <v>15/07/2025 14:00:00 - 16/07/2025 12:00:00</v>
          </cell>
          <cell r="R47">
            <v>800000</v>
          </cell>
        </row>
        <row r="48">
          <cell r="A48">
            <v>1269332809</v>
          </cell>
          <cell r="B48" t="str">
            <v>92151532ZY</v>
          </cell>
          <cell r="C48" t="str">
            <v>ANDY PRADIPTA</v>
          </cell>
          <cell r="D48">
            <v>92157614</v>
          </cell>
          <cell r="E48">
            <v>4120176641</v>
          </cell>
          <cell r="F48">
            <v>54</v>
          </cell>
          <cell r="G48" t="str">
            <v>Perjalanan Dinas Non-Diklat</v>
          </cell>
          <cell r="H48" t="str">
            <v>Kota Makassar - Kota Semarang</v>
          </cell>
          <cell r="I48" t="str">
            <v>15/07/2025 - 19/07/2025</v>
          </cell>
          <cell r="J48" t="str">
            <v>5</v>
          </cell>
          <cell r="K48" t="str">
            <v>Flight One Way</v>
          </cell>
          <cell r="M48" t="str">
            <v>14-07-2025 17:04:58</v>
          </cell>
          <cell r="N48" t="str">
            <v>Lion Air Domestic UPG Hasanuddin JT-909 - Lion Air Domestic SRG Achmad Yani JT-909</v>
          </cell>
          <cell r="O48" t="str">
            <v>TL TE LIST</v>
          </cell>
          <cell r="P48" t="str">
            <v>74112804</v>
          </cell>
          <cell r="Q48" t="str">
            <v>15/07/2025 14:05:00 - 15/07/2025 14:50:00</v>
          </cell>
          <cell r="R48">
            <v>1324300</v>
          </cell>
        </row>
        <row r="49">
          <cell r="A49">
            <v>1269369314</v>
          </cell>
          <cell r="B49" t="str">
            <v>92151532ZY</v>
          </cell>
          <cell r="C49" t="str">
            <v>ANDY PRADIPTA</v>
          </cell>
          <cell r="D49">
            <v>92157614</v>
          </cell>
          <cell r="E49">
            <v>4120176641</v>
          </cell>
          <cell r="F49">
            <v>54</v>
          </cell>
          <cell r="G49" t="str">
            <v>Perjalanan Dinas Non-Diklat</v>
          </cell>
          <cell r="H49" t="str">
            <v>Kota Makassar - Kota Semarang</v>
          </cell>
          <cell r="I49" t="str">
            <v>15/07/2025 - 19/07/2025</v>
          </cell>
          <cell r="J49" t="str">
            <v>5</v>
          </cell>
          <cell r="K49" t="str">
            <v>Hotel</v>
          </cell>
          <cell r="M49" t="str">
            <v>14-07-2025 19:47:52</v>
          </cell>
          <cell r="N49" t="str">
            <v>Louis Kienne Pemuda - 4.0 Stars  - Deluxe Double Or Twin</v>
          </cell>
          <cell r="O49" t="str">
            <v>TL TE LIST</v>
          </cell>
          <cell r="P49" t="str">
            <v>74112804</v>
          </cell>
          <cell r="Q49" t="str">
            <v>15/07/2025 14:00:00 - 18/07/2025 12:00:00</v>
          </cell>
          <cell r="R49">
            <v>2411292</v>
          </cell>
        </row>
        <row r="50">
          <cell r="A50">
            <v>1269382195</v>
          </cell>
          <cell r="B50" t="str">
            <v>9617046FBY</v>
          </cell>
          <cell r="C50" t="str">
            <v xml:space="preserve">IBRAHIM </v>
          </cell>
          <cell r="D50">
            <v>96177612</v>
          </cell>
          <cell r="E50">
            <v>4120176357</v>
          </cell>
          <cell r="F50">
            <v>54</v>
          </cell>
          <cell r="G50" t="str">
            <v>Perjalanan Dinas Diklat</v>
          </cell>
          <cell r="H50" t="str">
            <v>Kota Palopo - Kota Semarang</v>
          </cell>
          <cell r="I50" t="str">
            <v>06/07/2025 - 28/08/2025</v>
          </cell>
          <cell r="J50" t="str">
            <v>54</v>
          </cell>
          <cell r="K50" t="str">
            <v>Flight One Way</v>
          </cell>
          <cell r="M50" t="str">
            <v>14-07-2025 20:42:38</v>
          </cell>
          <cell r="N50" t="str">
            <v>Lion Air Domestic SRG Achmad Yani JT-908 - Lion Air Domestic UPG Hasanuddin JT-908</v>
          </cell>
          <cell r="O50" t="str">
            <v>JTC PDKB</v>
          </cell>
          <cell r="P50" t="str">
            <v>7409261</v>
          </cell>
          <cell r="Q50" t="str">
            <v>27/08/2025 15:35:00 - 27/08/2025 18:20:00</v>
          </cell>
          <cell r="R50">
            <v>1387300</v>
          </cell>
        </row>
        <row r="51">
          <cell r="A51">
            <v>1269521711</v>
          </cell>
          <cell r="B51" t="str">
            <v>9213081FY</v>
          </cell>
          <cell r="C51" t="str">
            <v>KRESKY YULIANTO</v>
          </cell>
          <cell r="D51">
            <v>96137676</v>
          </cell>
          <cell r="E51">
            <v>4120176633</v>
          </cell>
          <cell r="F51">
            <v>54</v>
          </cell>
          <cell r="G51" t="str">
            <v>Perjalanan Dinas Non-Diklat</v>
          </cell>
          <cell r="H51" t="str">
            <v>Kota Makassar - Kota Parepare</v>
          </cell>
          <cell r="I51" t="str">
            <v>15/07/2025 - 18/07/2025</v>
          </cell>
          <cell r="J51" t="str">
            <v>4</v>
          </cell>
          <cell r="K51" t="str">
            <v>Hotel</v>
          </cell>
          <cell r="M51" t="str">
            <v>15-07-2025 13:26:04</v>
          </cell>
          <cell r="N51" t="str">
            <v xml:space="preserve">Pare Beach Hotel - 0.0 Stars  - </v>
          </cell>
          <cell r="O51" t="str">
            <v>TC HAR ELEKTRO</v>
          </cell>
          <cell r="P51" t="str">
            <v>7412340</v>
          </cell>
          <cell r="Q51" t="str">
            <v>15/07/2025 14:00:00 - 17/07/2025 12:00:00</v>
          </cell>
          <cell r="R51">
            <v>1000000</v>
          </cell>
        </row>
        <row r="52">
          <cell r="A52">
            <v>1269522507</v>
          </cell>
          <cell r="B52" t="str">
            <v>8810040F</v>
          </cell>
          <cell r="C52" t="str">
            <v xml:space="preserve">IBRAHIM </v>
          </cell>
          <cell r="D52">
            <v>88107607</v>
          </cell>
          <cell r="E52">
            <v>4120176634</v>
          </cell>
          <cell r="F52">
            <v>54</v>
          </cell>
          <cell r="G52" t="str">
            <v>Perjalanan Dinas Non-Diklat</v>
          </cell>
          <cell r="H52" t="str">
            <v>Kota Makassar - Kota Parepare</v>
          </cell>
          <cell r="I52" t="str">
            <v>15/07/2025 - 18/07/2025</v>
          </cell>
          <cell r="J52" t="str">
            <v>4</v>
          </cell>
          <cell r="K52" t="str">
            <v>Hotel</v>
          </cell>
          <cell r="M52" t="str">
            <v>15-07-2025 13:29:07</v>
          </cell>
          <cell r="N52" t="str">
            <v xml:space="preserve">Pare Beach Hotel - 0.0 Stars  - </v>
          </cell>
          <cell r="O52" t="str">
            <v>TL HAR ELEKTRO (MKS BAG UTARA)</v>
          </cell>
          <cell r="P52" t="str">
            <v>7409342</v>
          </cell>
          <cell r="Q52" t="str">
            <v>15/07/2025 14:00:00 - 17/07/2025 12:00:00</v>
          </cell>
          <cell r="R52">
            <v>1000000</v>
          </cell>
        </row>
        <row r="53">
          <cell r="A53">
            <v>1269323164</v>
          </cell>
          <cell r="B53" t="str">
            <v>9618016FBY</v>
          </cell>
          <cell r="C53" t="str">
            <v xml:space="preserve">MARJUANZA </v>
          </cell>
          <cell r="D53">
            <v>96187617</v>
          </cell>
          <cell r="E53">
            <v>4120176601</v>
          </cell>
          <cell r="F53">
            <v>54</v>
          </cell>
          <cell r="G53" t="str">
            <v>Perjalanan Dinas Non-Diklat</v>
          </cell>
          <cell r="H53" t="str">
            <v>Kota Parepare - Kota Makassar</v>
          </cell>
          <cell r="I53" t="str">
            <v>14/07/2025 - 16/07/2025</v>
          </cell>
          <cell r="J53" t="str">
            <v>3</v>
          </cell>
          <cell r="K53" t="str">
            <v>Hotel</v>
          </cell>
          <cell r="M53" t="str">
            <v>14-07-2025 16:23:07</v>
          </cell>
          <cell r="N53" t="str">
            <v xml:space="preserve">Arthama Hotel Makassar - 4.0 Stars  - </v>
          </cell>
          <cell r="O53" t="str">
            <v>JTC PDKB</v>
          </cell>
          <cell r="P53" t="str">
            <v>7409221</v>
          </cell>
          <cell r="Q53" t="str">
            <v>14/07/2025 14:00:00 - 16/07/2025 12:00:00</v>
          </cell>
          <cell r="R53">
            <v>1252991</v>
          </cell>
        </row>
        <row r="54">
          <cell r="A54">
            <v>1269330106</v>
          </cell>
          <cell r="B54" t="str">
            <v>8308020F</v>
          </cell>
          <cell r="C54" t="str">
            <v>IQRAL LATIF</v>
          </cell>
          <cell r="D54">
            <v>83087612</v>
          </cell>
          <cell r="E54">
            <v>4120176588</v>
          </cell>
          <cell r="F54">
            <v>54</v>
          </cell>
          <cell r="G54" t="str">
            <v>Perjalanan Dinas Non-Diklat</v>
          </cell>
          <cell r="H54" t="str">
            <v>Kota Parepare - Kota Makassar</v>
          </cell>
          <cell r="I54" t="str">
            <v>14/07/2025 - 16/07/2025</v>
          </cell>
          <cell r="J54" t="str">
            <v>3</v>
          </cell>
          <cell r="K54" t="str">
            <v>Hotel</v>
          </cell>
          <cell r="M54" t="str">
            <v>14-07-2025 16:52:39</v>
          </cell>
          <cell r="N54" t="str">
            <v xml:space="preserve">Arthama Hotel Makassar - 4.0 Stars  - </v>
          </cell>
          <cell r="O54" t="str">
            <v>TL PDKB</v>
          </cell>
          <cell r="P54" t="str">
            <v>7409221</v>
          </cell>
          <cell r="Q54" t="str">
            <v>14/07/2025 14:00:00 - 16/07/2025 12:00:00</v>
          </cell>
          <cell r="R54">
            <v>1252991</v>
          </cell>
        </row>
        <row r="55">
          <cell r="A55">
            <v>1269220374</v>
          </cell>
          <cell r="B55" t="str">
            <v>8308022F</v>
          </cell>
          <cell r="C55" t="str">
            <v xml:space="preserve">BAHARUDDIN </v>
          </cell>
          <cell r="D55">
            <v>83087614</v>
          </cell>
          <cell r="E55">
            <v>4120176622</v>
          </cell>
          <cell r="F55">
            <v>54</v>
          </cell>
          <cell r="G55" t="str">
            <v>Perjalanan Dinas Non-Diklat</v>
          </cell>
          <cell r="H55" t="str">
            <v>Kota Parepare - Kota Makassar</v>
          </cell>
          <cell r="I55" t="str">
            <v>17/07/2025 - 18/07/2025</v>
          </cell>
          <cell r="J55" t="str">
            <v>2</v>
          </cell>
          <cell r="K55" t="str">
            <v>Hotel</v>
          </cell>
          <cell r="M55" t="str">
            <v>14-07-2025 09:17:07</v>
          </cell>
          <cell r="N55" t="str">
            <v xml:space="preserve">Aryaduta Makassar - 5.0 Stars  - </v>
          </cell>
          <cell r="O55" t="str">
            <v>TL HAR MTR TRANSAKSI</v>
          </cell>
          <cell r="P55" t="str">
            <v>7411222</v>
          </cell>
          <cell r="Q55" t="str">
            <v>17/07/2025 14:00:00 - 18/07/2025 12:00:00</v>
          </cell>
          <cell r="R55">
            <v>760000</v>
          </cell>
        </row>
        <row r="56">
          <cell r="A56">
            <v>1269318140</v>
          </cell>
          <cell r="B56" t="str">
            <v>94162178ZY</v>
          </cell>
          <cell r="C56" t="str">
            <v>BAKHARUDDIN YUSUF</v>
          </cell>
          <cell r="D56">
            <v>94167625</v>
          </cell>
          <cell r="E56">
            <v>4120176571</v>
          </cell>
          <cell r="F56">
            <v>54</v>
          </cell>
          <cell r="G56" t="str">
            <v>Perjalanan Dinas Non-Diklat</v>
          </cell>
          <cell r="H56" t="str">
            <v>KotaBaubau-KotaMakassar</v>
          </cell>
          <cell r="I56" t="str">
            <v>16/07/2025 - 18/07/2025</v>
          </cell>
          <cell r="J56" t="str">
            <v>3</v>
          </cell>
          <cell r="K56" t="str">
            <v>Hotel</v>
          </cell>
          <cell r="M56" t="str">
            <v>14-07-2025 16:02:52</v>
          </cell>
          <cell r="N56" t="str">
            <v>CLARO Makassar - 4.0 Stars  - Deluxe King Bed</v>
          </cell>
          <cell r="O56" t="str">
            <v>TL HAR MTR TRANSAKSI</v>
          </cell>
          <cell r="P56" t="str">
            <v>0007411284</v>
          </cell>
          <cell r="Q56" t="str">
            <v>16/07/2025 14:00:00 - 18/07/2025 12:00:00</v>
          </cell>
          <cell r="R56">
            <v>1739686</v>
          </cell>
        </row>
        <row r="57">
          <cell r="A57">
            <v>1269440449</v>
          </cell>
          <cell r="B57" t="str">
            <v>94162178ZY</v>
          </cell>
          <cell r="C57" t="str">
            <v>BAKHARUDDIN YUSUF</v>
          </cell>
          <cell r="D57">
            <v>94167625</v>
          </cell>
          <cell r="E57">
            <v>4120176571</v>
          </cell>
          <cell r="F57">
            <v>54</v>
          </cell>
          <cell r="G57" t="str">
            <v>Perjalanan Dinas Non-Diklat</v>
          </cell>
          <cell r="H57" t="str">
            <v>KotaBaubau-KotaMakassar</v>
          </cell>
          <cell r="I57" t="str">
            <v>16/07/2025 - 18/07/2025</v>
          </cell>
          <cell r="J57" t="str">
            <v>3</v>
          </cell>
          <cell r="K57" t="str">
            <v>Flight One Way</v>
          </cell>
          <cell r="M57" t="str">
            <v>15-07-2025 07:25:07</v>
          </cell>
          <cell r="N57" t="str">
            <v>Super Air Jet  UPG Hasanuddin IU-572 - Super Air Jet  BUW Betoambari IU-572</v>
          </cell>
          <cell r="O57" t="str">
            <v>TL HAR MTR TRANSAKSI</v>
          </cell>
          <cell r="P57" t="str">
            <v>0007411284</v>
          </cell>
          <cell r="Q57" t="str">
            <v>18/07/2025 14:10:00 - 18/07/2025 14:55:00</v>
          </cell>
          <cell r="R57">
            <v>805200</v>
          </cell>
        </row>
        <row r="58">
          <cell r="A58">
            <v>1269209110</v>
          </cell>
          <cell r="B58" t="str">
            <v>94162178ZY</v>
          </cell>
          <cell r="C58" t="str">
            <v>BAKHARUDDIN YUSUF</v>
          </cell>
          <cell r="D58">
            <v>94167625</v>
          </cell>
          <cell r="E58">
            <v>4120176571</v>
          </cell>
          <cell r="F58">
            <v>54</v>
          </cell>
          <cell r="G58" t="str">
            <v>Perjalanan Dinas Non-Diklat</v>
          </cell>
          <cell r="H58" t="str">
            <v>Kota Baubau - Kota Makassar</v>
          </cell>
          <cell r="I58" t="str">
            <v>16/07/2025 - 18/07/2025</v>
          </cell>
          <cell r="J58" t="str">
            <v>3</v>
          </cell>
          <cell r="K58" t="str">
            <v>Flight One Way</v>
          </cell>
          <cell r="M58" t="str">
            <v>14-07-2025 08:12:09</v>
          </cell>
          <cell r="N58" t="str">
            <v>Super Air Jet  BUW Betoambari IU-573 - Super Air Jet  UPG Hasanuddin IU-573</v>
          </cell>
          <cell r="O58" t="str">
            <v>TL HAR MTR TRANSAKSI</v>
          </cell>
          <cell r="P58" t="str">
            <v>7411284</v>
          </cell>
          <cell r="Q58" t="str">
            <v>16/07/2025 15:35:00 - 16/07/2025 16:20:00</v>
          </cell>
          <cell r="R58">
            <v>705300</v>
          </cell>
        </row>
        <row r="59">
          <cell r="A59">
            <v>1269302431</v>
          </cell>
          <cell r="B59" t="str">
            <v>8307221Z</v>
          </cell>
          <cell r="C59" t="str">
            <v>JONI ALEXANDER HEYT SITORUS</v>
          </cell>
          <cell r="D59">
            <v>83075800</v>
          </cell>
          <cell r="E59">
            <v>4120176610</v>
          </cell>
          <cell r="F59">
            <v>54</v>
          </cell>
          <cell r="G59" t="str">
            <v>Perjalanan Dinas Non-Diklat</v>
          </cell>
          <cell r="H59" t="str">
            <v>KotaKendari-Kab.MunaBarat</v>
          </cell>
          <cell r="I59" t="str">
            <v>14/07/2025 - 17/07/2025</v>
          </cell>
          <cell r="J59" t="str">
            <v>4</v>
          </cell>
          <cell r="K59" t="str">
            <v>Hotel</v>
          </cell>
          <cell r="M59" t="str">
            <v>14-07-2025 14:58:31</v>
          </cell>
          <cell r="N59" t="str">
            <v xml:space="preserve">NES_inn Hotel - 0.0 Stars  - </v>
          </cell>
          <cell r="O59" t="str">
            <v>MUP UP2K (PROV SULTRA)</v>
          </cell>
          <cell r="P59" t="str">
            <v>0007412240</v>
          </cell>
          <cell r="Q59" t="str">
            <v>14/07/2025 14:00:00 - 15/07/2025 12:00:00</v>
          </cell>
          <cell r="R59">
            <v>810000</v>
          </cell>
        </row>
        <row r="60">
          <cell r="A60">
            <v>1269238690</v>
          </cell>
          <cell r="B60" t="str">
            <v>93191874ZY</v>
          </cell>
          <cell r="C60" t="str">
            <v>FAISHAL ADLI SANTOSO</v>
          </cell>
          <cell r="D60">
            <v>93197613</v>
          </cell>
          <cell r="E60">
            <v>4120176596</v>
          </cell>
          <cell r="F60">
            <v>54</v>
          </cell>
          <cell r="G60" t="str">
            <v>Perjalanan Dinas Non-Diklat</v>
          </cell>
          <cell r="H60" t="str">
            <v>Kab. Pinrang - Kota Makassar</v>
          </cell>
          <cell r="I60" t="str">
            <v>17/07/2025 - 18/07/2025</v>
          </cell>
          <cell r="J60" t="str">
            <v>2</v>
          </cell>
          <cell r="K60" t="str">
            <v>Hotel</v>
          </cell>
          <cell r="M60" t="str">
            <v>14-07-2025 10:40:40</v>
          </cell>
          <cell r="N60" t="str">
            <v xml:space="preserve">CLARO Makassar - 4.0 Stars  - </v>
          </cell>
          <cell r="O60" t="str">
            <v>TL HAR MTR TRANSAKSI</v>
          </cell>
          <cell r="P60" t="str">
            <v>7411252</v>
          </cell>
          <cell r="Q60" t="str">
            <v>17/07/2025 14:00:00 - 18/07/2025 12:00:00</v>
          </cell>
          <cell r="R60">
            <v>794216</v>
          </cell>
        </row>
        <row r="61">
          <cell r="A61">
            <v>1270116243</v>
          </cell>
          <cell r="B61" t="str">
            <v>9008094F</v>
          </cell>
          <cell r="C61" t="str">
            <v>ERIK WICAKSONO</v>
          </cell>
          <cell r="D61">
            <v>90087609</v>
          </cell>
          <cell r="E61">
            <v>4120176608</v>
          </cell>
          <cell r="F61">
            <v>54</v>
          </cell>
          <cell r="G61" t="str">
            <v>Perjalanan Dinas Non-Diklat</v>
          </cell>
          <cell r="H61" t="str">
            <v>Kota Kendari - Kota Makassar</v>
          </cell>
          <cell r="I61" t="str">
            <v>16/07/2025 - 18/07/2025</v>
          </cell>
          <cell r="J61" t="str">
            <v>3</v>
          </cell>
          <cell r="K61" t="str">
            <v>Flight One Way</v>
          </cell>
          <cell r="M61" t="str">
            <v>17-07-2025 19:26:35</v>
          </cell>
          <cell r="N61" t="str">
            <v>Garuda Indonesia Domestic UPG Hasanuddin GA-604 - Garuda Indonesia  KDI Haluoleo GA-604</v>
          </cell>
          <cell r="O61" t="str">
            <v>TL HAR MTR TRANSAKSI</v>
          </cell>
          <cell r="P61" t="str">
            <v>7411242</v>
          </cell>
          <cell r="Q61" t="str">
            <v>18/07/2025 07:25:00 - 18/07/2025 08:25:00</v>
          </cell>
          <cell r="R61">
            <v>925400</v>
          </cell>
        </row>
        <row r="62">
          <cell r="A62">
            <v>1269799566</v>
          </cell>
          <cell r="B62" t="str">
            <v>9008094F</v>
          </cell>
          <cell r="C62" t="str">
            <v>ERIK WICAKSONO</v>
          </cell>
          <cell r="D62">
            <v>90087609</v>
          </cell>
          <cell r="E62">
            <v>4120176608</v>
          </cell>
          <cell r="F62">
            <v>54</v>
          </cell>
          <cell r="G62" t="str">
            <v>Perjalanan Dinas Non-Diklat</v>
          </cell>
          <cell r="H62" t="str">
            <v>Kota Kendari - Kota Makassar</v>
          </cell>
          <cell r="I62" t="str">
            <v>16/07/2025 - 18/07/2025</v>
          </cell>
          <cell r="J62" t="str">
            <v>3</v>
          </cell>
          <cell r="K62" t="str">
            <v>Hotel</v>
          </cell>
          <cell r="M62" t="str">
            <v>16-07-2025 15:12:39</v>
          </cell>
          <cell r="N62" t="str">
            <v xml:space="preserve">Aston Makassar Hotel &amp; Convention Center - 4.0 Stars  - </v>
          </cell>
          <cell r="O62" t="str">
            <v>TL HAR MTR TRANSAKSI</v>
          </cell>
          <cell r="P62" t="str">
            <v>7411242</v>
          </cell>
          <cell r="Q62" t="str">
            <v>17/07/2025 14:00:00 - 18/07/2025 12:00:00</v>
          </cell>
          <cell r="R62">
            <v>790602</v>
          </cell>
        </row>
        <row r="63">
          <cell r="A63">
            <v>1269073179</v>
          </cell>
          <cell r="B63" t="str">
            <v>9008094F</v>
          </cell>
          <cell r="C63" t="str">
            <v>ERIK WICAKSONO</v>
          </cell>
          <cell r="D63">
            <v>90087609</v>
          </cell>
          <cell r="E63">
            <v>4120176608</v>
          </cell>
          <cell r="F63">
            <v>54</v>
          </cell>
          <cell r="G63" t="str">
            <v>Perjalanan Dinas Non-Diklat</v>
          </cell>
          <cell r="H63" t="str">
            <v>Kota Kendari - Kota Makassar</v>
          </cell>
          <cell r="I63" t="str">
            <v>16/07/2025 - 18/07/2025</v>
          </cell>
          <cell r="J63" t="str">
            <v>3</v>
          </cell>
          <cell r="K63" t="str">
            <v>Flight One Way</v>
          </cell>
          <cell r="M63" t="str">
            <v>13-07-2025 13:55:05</v>
          </cell>
          <cell r="N63" t="str">
            <v>Garuda Indonesia  KDI Haluoleo GA-605 - Garuda Indonesia Domestic UPG Hasanuddin GA-605</v>
          </cell>
          <cell r="O63" t="str">
            <v>TL HAR MTR TRANSAKSI</v>
          </cell>
          <cell r="P63" t="str">
            <v>7411242</v>
          </cell>
          <cell r="Q63" t="str">
            <v>16/07/2025 09:10:00 - 16/07/2025 10:10:00</v>
          </cell>
          <cell r="R63">
            <v>855200</v>
          </cell>
        </row>
        <row r="64">
          <cell r="A64">
            <v>1269181927</v>
          </cell>
          <cell r="B64" t="str">
            <v>9008094F</v>
          </cell>
          <cell r="C64" t="str">
            <v>ERIK WICAKSONO</v>
          </cell>
          <cell r="D64">
            <v>90087609</v>
          </cell>
          <cell r="E64">
            <v>4120176608</v>
          </cell>
          <cell r="F64">
            <v>54</v>
          </cell>
          <cell r="G64" t="str">
            <v>Perjalanan Dinas Non-Diklat</v>
          </cell>
          <cell r="H64" t="str">
            <v>Kota Kendari - Kota Makassar</v>
          </cell>
          <cell r="I64" t="str">
            <v>16/07/2025 - 18/07/2025</v>
          </cell>
          <cell r="J64" t="str">
            <v>3</v>
          </cell>
          <cell r="K64" t="str">
            <v>Hotel</v>
          </cell>
          <cell r="M64" t="str">
            <v>13-07-2025 23:42:48</v>
          </cell>
          <cell r="N64" t="str">
            <v xml:space="preserve">Swiss-Belinn Panakkukang - 3.0 Stars  - </v>
          </cell>
          <cell r="O64" t="str">
            <v>TL HAR MTR TRANSAKSI</v>
          </cell>
          <cell r="P64" t="str">
            <v>7411242</v>
          </cell>
          <cell r="Q64" t="str">
            <v>16/07/2025 14:00:00 - 17/07/2025 12:00:00</v>
          </cell>
          <cell r="R64">
            <v>770000</v>
          </cell>
        </row>
        <row r="65">
          <cell r="A65">
            <v>1268945881</v>
          </cell>
          <cell r="B65" t="str">
            <v>9014706ZY</v>
          </cell>
          <cell r="C65" t="str">
            <v>ROLANDI TUMPAL FERNANDES MARTUA SIREGAR</v>
          </cell>
          <cell r="D65">
            <v>90147609</v>
          </cell>
          <cell r="E65">
            <v>4120176420</v>
          </cell>
          <cell r="F65">
            <v>54</v>
          </cell>
          <cell r="G65" t="str">
            <v>Perjalanan Dinas Diklat</v>
          </cell>
          <cell r="H65" t="str">
            <v>Kab. Bone - Kota Surabaya</v>
          </cell>
          <cell r="I65" t="str">
            <v>11/07/2025 - 15/07/2025</v>
          </cell>
          <cell r="J65" t="str">
            <v>5</v>
          </cell>
          <cell r="K65" t="str">
            <v>Flight One Way</v>
          </cell>
          <cell r="M65" t="str">
            <v>12-07-2025 21:17:06</v>
          </cell>
          <cell r="N65" t="str">
            <v>Citilink 1A SUB Juanda QG-350 - Citilink Domestic UPG Hasanuddin QG-350</v>
          </cell>
          <cell r="O65" t="str">
            <v>ASMAN TE LIST</v>
          </cell>
          <cell r="P65" t="str">
            <v>7411232</v>
          </cell>
          <cell r="Q65" t="str">
            <v>15/07/2025 10:20:00 - 15/07/2025 12:55:00</v>
          </cell>
          <cell r="R65">
            <v>1393300</v>
          </cell>
        </row>
        <row r="66">
          <cell r="A66">
            <v>1269239263</v>
          </cell>
          <cell r="B66" t="str">
            <v>9212053FY</v>
          </cell>
          <cell r="C66" t="str">
            <v>CHANDRA HALIM AMIR</v>
          </cell>
          <cell r="D66">
            <v>92127622</v>
          </cell>
          <cell r="E66">
            <v>4120176559</v>
          </cell>
          <cell r="F66">
            <v>54</v>
          </cell>
          <cell r="G66" t="str">
            <v>Perjalanan Dinas Non-Diklat</v>
          </cell>
          <cell r="H66" t="str">
            <v>Kota Makassar - Kota Kendari</v>
          </cell>
          <cell r="I66" t="str">
            <v>14/07/2025 - 17/07/2025</v>
          </cell>
          <cell r="J66" t="str">
            <v>4</v>
          </cell>
          <cell r="K66" t="str">
            <v>Flight One Way</v>
          </cell>
          <cell r="M66" t="str">
            <v>14-07-2025 10:43:01</v>
          </cell>
          <cell r="N66" t="str">
            <v>Lion Air  KDI Haluoleo JT-993 - Lion Air Domestic UPG Hasanuddin JT-993</v>
          </cell>
          <cell r="O66" t="str">
            <v>TC DATA DAN GAMBAR</v>
          </cell>
          <cell r="P66" t="str">
            <v>7409342</v>
          </cell>
          <cell r="Q66" t="str">
            <v>17/07/2025 14:30:00 - 17/07/2025 15:25:00</v>
          </cell>
          <cell r="R66">
            <v>729000</v>
          </cell>
        </row>
        <row r="67">
          <cell r="A67">
            <v>1269238746</v>
          </cell>
          <cell r="B67" t="str">
            <v>95162243ZY</v>
          </cell>
          <cell r="C67" t="str">
            <v>ZUL AFDY</v>
          </cell>
          <cell r="D67">
            <v>95167604</v>
          </cell>
          <cell r="E67">
            <v>4120176560</v>
          </cell>
          <cell r="F67">
            <v>54</v>
          </cell>
          <cell r="G67" t="str">
            <v>Perjalanan Dinas Non-Diklat</v>
          </cell>
          <cell r="H67" t="str">
            <v>Kota Makassar - Kota Kendari</v>
          </cell>
          <cell r="I67" t="str">
            <v>14/07/2025 - 17/07/2025</v>
          </cell>
          <cell r="J67" t="str">
            <v>4</v>
          </cell>
          <cell r="K67" t="str">
            <v>Flight One Way</v>
          </cell>
          <cell r="M67" t="str">
            <v>14-07-2025 10:40:49</v>
          </cell>
          <cell r="N67" t="str">
            <v>Lion Air  KDI Haluoleo JT-993 - Lion Air Domestic UPG Hasanuddin JT-993</v>
          </cell>
          <cell r="O67" t="str">
            <v>TL LOLA DATA DAN GAMBAR</v>
          </cell>
          <cell r="P67" t="str">
            <v>7409342</v>
          </cell>
          <cell r="Q67" t="str">
            <v>17/07/2025 14:30:00 - 17/07/2025 15:25:00</v>
          </cell>
          <cell r="R67">
            <v>729000</v>
          </cell>
        </row>
        <row r="68">
          <cell r="A68">
            <v>1268179149</v>
          </cell>
          <cell r="B68" t="str">
            <v>7190010F</v>
          </cell>
          <cell r="C68" t="str">
            <v>HUSLAN HUSAIN</v>
          </cell>
          <cell r="D68">
            <v>71907601</v>
          </cell>
          <cell r="E68">
            <v>4120176582</v>
          </cell>
          <cell r="F68">
            <v>54</v>
          </cell>
          <cell r="G68" t="str">
            <v>Perjalanan Dinas Non-Diklat</v>
          </cell>
          <cell r="H68" t="str">
            <v>Kota Makassar - Kota Parepare</v>
          </cell>
          <cell r="I68" t="str">
            <v>10/07/2025 - 11/07/2025</v>
          </cell>
          <cell r="J68" t="str">
            <v>2</v>
          </cell>
          <cell r="K68" t="str">
            <v>Hotel</v>
          </cell>
          <cell r="M68" t="str">
            <v>10-07-2025 08:05:11</v>
          </cell>
          <cell r="N68" t="str">
            <v xml:space="preserve">Pare Beach Hotel - 0.0 Stars  - </v>
          </cell>
          <cell r="O68" t="str">
            <v>SM REN</v>
          </cell>
          <cell r="P68" t="str">
            <v>7412110</v>
          </cell>
          <cell r="Q68" t="str">
            <v>10/07/2025 14:00:00 - 11/07/2025 12:00:00</v>
          </cell>
          <cell r="R68">
            <v>650000</v>
          </cell>
        </row>
        <row r="69">
          <cell r="A69">
            <v>1268754574</v>
          </cell>
          <cell r="B69" t="str">
            <v>8408025F</v>
          </cell>
          <cell r="C69" t="str">
            <v>HARYADI KASIM</v>
          </cell>
          <cell r="D69">
            <v>84087606</v>
          </cell>
          <cell r="E69">
            <v>4120176581</v>
          </cell>
          <cell r="F69">
            <v>54</v>
          </cell>
          <cell r="G69" t="str">
            <v>Perjalanan Dinas Non-Diklat</v>
          </cell>
          <cell r="H69" t="str">
            <v>Kota Makassar - Jakarta Selatan - Yogyakarta</v>
          </cell>
          <cell r="I69" t="str">
            <v>13/07/2025 - 19/07/2025</v>
          </cell>
          <cell r="J69" t="str">
            <v>7</v>
          </cell>
          <cell r="K69" t="str">
            <v>Flight One Way</v>
          </cell>
          <cell r="M69" t="str">
            <v>12-07-2025 07:51:21</v>
          </cell>
          <cell r="N69" t="str">
            <v>Garuda Indonesia  CGK Soekarno Hatta International Airport GA-208 - Garuda Indonesia  YIA Yogyakarta International Airport GA-208</v>
          </cell>
          <cell r="O69" t="str">
            <v>ASMAN PDKB</v>
          </cell>
          <cell r="P69" t="str">
            <v>7412000</v>
          </cell>
          <cell r="Q69" t="str">
            <v>16/07/2025 11:30:00 - 16/07/2025 12:50:00</v>
          </cell>
          <cell r="R69">
            <v>1149800</v>
          </cell>
        </row>
        <row r="70">
          <cell r="A70">
            <v>1268029901</v>
          </cell>
          <cell r="B70" t="str">
            <v>8408025F</v>
          </cell>
          <cell r="C70" t="str">
            <v>HARYADI KASIM</v>
          </cell>
          <cell r="D70">
            <v>84087606</v>
          </cell>
          <cell r="E70">
            <v>4120176581</v>
          </cell>
          <cell r="F70">
            <v>54</v>
          </cell>
          <cell r="G70" t="str">
            <v>Perjalanan Dinas Non-Diklat</v>
          </cell>
          <cell r="H70" t="str">
            <v>Kota Makassar - Jakarta Selatan</v>
          </cell>
          <cell r="I70" t="str">
            <v>13/07/2025 - 15/07/2025</v>
          </cell>
          <cell r="J70" t="str">
            <v>3</v>
          </cell>
          <cell r="K70" t="str">
            <v>Flight One Way</v>
          </cell>
          <cell r="M70" t="str">
            <v>09-07-2025 16:44:05</v>
          </cell>
          <cell r="N70" t="str">
            <v>Citilink Domestic UPG Hasanuddin QG-213 - Citilink 1B CGK Soekarno Hatta International Airport QG-213</v>
          </cell>
          <cell r="O70" t="str">
            <v>ASMAN PDKB</v>
          </cell>
          <cell r="P70" t="str">
            <v>7412000</v>
          </cell>
          <cell r="Q70" t="str">
            <v>13/07/2025 13:25:00 - 13/07/2025 14:35:00</v>
          </cell>
          <cell r="R70">
            <v>1655300</v>
          </cell>
        </row>
        <row r="71">
          <cell r="A71">
            <v>1270164844</v>
          </cell>
          <cell r="B71" t="str">
            <v>8408025F</v>
          </cell>
          <cell r="C71" t="str">
            <v>HARYADI KASIM</v>
          </cell>
          <cell r="D71">
            <v>84087606</v>
          </cell>
          <cell r="E71">
            <v>4120176581</v>
          </cell>
          <cell r="F71">
            <v>54</v>
          </cell>
          <cell r="G71" t="str">
            <v>Perjalanan Dinas Non-Diklat</v>
          </cell>
          <cell r="H71" t="str">
            <v>Kota Makassar - Jakarta Selatan - Yogyakarta</v>
          </cell>
          <cell r="I71" t="str">
            <v>13/07/2025 - 19/07/2025</v>
          </cell>
          <cell r="J71" t="str">
            <v>7</v>
          </cell>
          <cell r="K71" t="str">
            <v>Flight One Way</v>
          </cell>
          <cell r="M71" t="str">
            <v>17-07-2025 22:52:56</v>
          </cell>
          <cell r="N71" t="str">
            <v>Lion Air  YIA Yogyakarta International Airport JT-640 - Lion Air Domestic UPG Hasanuddin JT-640</v>
          </cell>
          <cell r="O71" t="str">
            <v>ASMAN PDKB</v>
          </cell>
          <cell r="P71" t="str">
            <v>7412000</v>
          </cell>
          <cell r="Q71" t="str">
            <v>19/07/2025 10:15:00 - 19/07/2025 13:10:00</v>
          </cell>
          <cell r="R71">
            <v>1460000</v>
          </cell>
        </row>
        <row r="72">
          <cell r="A72">
            <v>1268753750</v>
          </cell>
          <cell r="B72" t="str">
            <v>8408025F</v>
          </cell>
          <cell r="C72" t="str">
            <v>HARYADI KASIM</v>
          </cell>
          <cell r="D72">
            <v>84087606</v>
          </cell>
          <cell r="E72">
            <v>4120176581</v>
          </cell>
          <cell r="F72">
            <v>54</v>
          </cell>
          <cell r="G72" t="str">
            <v>Perjalanan Dinas Non-Diklat</v>
          </cell>
          <cell r="H72" t="str">
            <v>Kota Makassar - Jakarta Selatan - Yogyakarta</v>
          </cell>
          <cell r="I72" t="str">
            <v>13/07/2025 - 19/07/2025</v>
          </cell>
          <cell r="J72" t="str">
            <v>7</v>
          </cell>
          <cell r="K72" t="str">
            <v>Hotel</v>
          </cell>
          <cell r="M72" t="str">
            <v>12-07-2025 07:46:38</v>
          </cell>
          <cell r="N72" t="str">
            <v>Hotel FortunaGrande Malioboro Yogyakarta By Fosia Hotels - 4.0 Stars  - Standard</v>
          </cell>
          <cell r="O72" t="str">
            <v>ASMAN PDKB</v>
          </cell>
          <cell r="P72" t="str">
            <v>7412000</v>
          </cell>
          <cell r="Q72" t="str">
            <v>16/07/2025 14:00:00 - 19/07/2025 12:00:00</v>
          </cell>
          <cell r="R72">
            <v>2598170</v>
          </cell>
        </row>
        <row r="73">
          <cell r="A73">
            <v>1268208888</v>
          </cell>
          <cell r="B73" t="str">
            <v>8306059F</v>
          </cell>
          <cell r="C73" t="str">
            <v>A. HENDRA HERIANTO R.</v>
          </cell>
          <cell r="D73">
            <v>83067603</v>
          </cell>
          <cell r="E73">
            <v>4120176573</v>
          </cell>
          <cell r="F73">
            <v>54</v>
          </cell>
          <cell r="G73" t="str">
            <v>Perjalanan Dinas Non-Diklat</v>
          </cell>
          <cell r="H73" t="str">
            <v>Kab. Pinrang - Jakarta Selatan</v>
          </cell>
          <cell r="I73" t="str">
            <v>13/07/2025 - 15/07/2025</v>
          </cell>
          <cell r="J73" t="str">
            <v>3</v>
          </cell>
          <cell r="K73" t="str">
            <v>Hotel</v>
          </cell>
          <cell r="M73" t="str">
            <v>10-07-2025 10:07:13</v>
          </cell>
          <cell r="N73" t="str">
            <v>Mercure Jakarta Simatupang - 4.0 Stars  - Standard 1 King - Size Bed</v>
          </cell>
          <cell r="O73" t="str">
            <v>ASMAN RING DAN KONS</v>
          </cell>
          <cell r="P73" t="str">
            <v>7409251</v>
          </cell>
          <cell r="Q73" t="str">
            <v>13/07/2025 14:00:00 - 15/07/2025 12:00:00</v>
          </cell>
          <cell r="R73">
            <v>1975930</v>
          </cell>
        </row>
        <row r="74">
          <cell r="A74">
            <v>1268014748</v>
          </cell>
          <cell r="B74" t="str">
            <v>8306059F</v>
          </cell>
          <cell r="C74" t="str">
            <v>A. HENDRA HERIANTO R.</v>
          </cell>
          <cell r="D74">
            <v>83067603</v>
          </cell>
          <cell r="E74">
            <v>4120176573</v>
          </cell>
          <cell r="F74">
            <v>54</v>
          </cell>
          <cell r="G74" t="str">
            <v>Perjalanan Dinas Non-Diklat</v>
          </cell>
          <cell r="H74" t="str">
            <v>Kab. Pinrang - Jakarta Selatan</v>
          </cell>
          <cell r="I74" t="str">
            <v>13/07/2025 - 15/07/2025</v>
          </cell>
          <cell r="J74" t="str">
            <v>3</v>
          </cell>
          <cell r="K74" t="str">
            <v>Flight Round-Trip</v>
          </cell>
          <cell r="M74" t="str">
            <v>09-07-2025 15:52:08</v>
          </cell>
          <cell r="N74" t="str">
            <v>Citilink Domestic UPG Hasanuddin QG-213 - Citilink 1B CGK Soekarno Hatta International Airport QG-213</v>
          </cell>
          <cell r="O74" t="str">
            <v>ASMAN RING DAN KONS</v>
          </cell>
          <cell r="P74" t="str">
            <v>7409251</v>
          </cell>
          <cell r="Q74" t="str">
            <v>13/07/2025 13:25:00 - 13/07/2025 14:35:00</v>
          </cell>
          <cell r="R74">
            <v>3360800</v>
          </cell>
        </row>
        <row r="75">
          <cell r="A75">
            <v>1267744772</v>
          </cell>
          <cell r="B75" t="str">
            <v>9113252ZY</v>
          </cell>
          <cell r="C75" t="str">
            <v>SADLI ALI IMRAN</v>
          </cell>
          <cell r="D75">
            <v>91137601</v>
          </cell>
          <cell r="E75">
            <v>4120176535</v>
          </cell>
          <cell r="F75">
            <v>54</v>
          </cell>
          <cell r="G75" t="str">
            <v>Perjalanan Dinas Non-Diklat</v>
          </cell>
          <cell r="H75" t="str">
            <v>Kota Makassar - Kota Parepare</v>
          </cell>
          <cell r="I75" t="str">
            <v>10/07/2025 - 12/07/2025</v>
          </cell>
          <cell r="J75" t="str">
            <v>3</v>
          </cell>
          <cell r="K75" t="str">
            <v>Hotel</v>
          </cell>
          <cell r="M75" t="str">
            <v>08-07-2025 17:41:25</v>
          </cell>
          <cell r="N75" t="str">
            <v xml:space="preserve">Pare Beach Hotel - 0.0 Stars  - </v>
          </cell>
          <cell r="O75" t="str">
            <v>OF REN PNGUSHAN DAN KIN</v>
          </cell>
          <cell r="P75" t="str">
            <v>7412111</v>
          </cell>
          <cell r="Q75" t="str">
            <v>10/07/2025 14:00:00 - 12/07/2025 12:00:00</v>
          </cell>
          <cell r="R75">
            <v>1300000</v>
          </cell>
        </row>
        <row r="76">
          <cell r="A76">
            <v>1267740783</v>
          </cell>
          <cell r="B76" t="str">
            <v>7802014F</v>
          </cell>
          <cell r="C76" t="str">
            <v>MUHAMMAD ISMAIL</v>
          </cell>
          <cell r="D76">
            <v>78027603</v>
          </cell>
          <cell r="E76">
            <v>4120176547</v>
          </cell>
          <cell r="F76">
            <v>54</v>
          </cell>
          <cell r="G76" t="str">
            <v>Perjalanan Dinas Non-Diklat</v>
          </cell>
          <cell r="H76" t="str">
            <v>Kota Makassar - Kota Bogor</v>
          </cell>
          <cell r="I76" t="str">
            <v>09/07/2025 - 12/07/2025</v>
          </cell>
          <cell r="J76" t="str">
            <v>4</v>
          </cell>
          <cell r="K76" t="str">
            <v>Flight One Way</v>
          </cell>
          <cell r="M76" t="str">
            <v>08-07-2025 17:26:34</v>
          </cell>
          <cell r="N76" t="str">
            <v>Lion Air Domestic UPG Hasanuddin JT-793 - Lion Air 1A CGK Soekarno Hatta International Airport JT-793</v>
          </cell>
          <cell r="O76" t="str">
            <v>MAN IPP DAN EXCESS POWER</v>
          </cell>
          <cell r="P76" t="str">
            <v>7412110</v>
          </cell>
          <cell r="Q76" t="str">
            <v>09/07/2025 16:45:00 - 09/07/2025 18:05:00</v>
          </cell>
          <cell r="R76">
            <v>1105100</v>
          </cell>
        </row>
        <row r="77">
          <cell r="A77">
            <v>1267873532</v>
          </cell>
          <cell r="B77" t="str">
            <v>7802014F</v>
          </cell>
          <cell r="C77" t="str">
            <v>MUHAMMAD ISMAIL</v>
          </cell>
          <cell r="D77">
            <v>78027603</v>
          </cell>
          <cell r="E77">
            <v>4120176547</v>
          </cell>
          <cell r="F77">
            <v>54</v>
          </cell>
          <cell r="G77" t="str">
            <v>Perjalanan Dinas Non-Diklat</v>
          </cell>
          <cell r="H77" t="str">
            <v>Kota Makassar - Kota Bogor</v>
          </cell>
          <cell r="I77" t="str">
            <v>09/07/2025 - 12/07/2025</v>
          </cell>
          <cell r="J77" t="str">
            <v>4</v>
          </cell>
          <cell r="K77" t="str">
            <v>Hotel</v>
          </cell>
          <cell r="M77" t="str">
            <v>09-07-2025 07:24:49</v>
          </cell>
          <cell r="N77" t="str">
            <v xml:space="preserve">Amaris Hotel Pakuan Bogor - 2.0 Stars  - </v>
          </cell>
          <cell r="O77" t="str">
            <v>MAN IPP DAN EXCESS POWER</v>
          </cell>
          <cell r="P77" t="str">
            <v>7412110</v>
          </cell>
          <cell r="Q77" t="str">
            <v>09/07/2025 14:00:00 - 10/07/2025 12:00:00</v>
          </cell>
          <cell r="R77">
            <v>750000</v>
          </cell>
        </row>
        <row r="78">
          <cell r="A78">
            <v>1268986259</v>
          </cell>
          <cell r="B78" t="str">
            <v>7802014F</v>
          </cell>
          <cell r="C78" t="str">
            <v>MUHAMMAD ISMAIL</v>
          </cell>
          <cell r="D78">
            <v>78027603</v>
          </cell>
          <cell r="E78">
            <v>4120176547</v>
          </cell>
          <cell r="F78">
            <v>54</v>
          </cell>
          <cell r="G78" t="str">
            <v>Perjalanan Dinas Non-Diklat</v>
          </cell>
          <cell r="H78" t="str">
            <v>Kota Makassar - Kota Bogor</v>
          </cell>
          <cell r="I78" t="str">
            <v>09/07/2025 - 15/07/2025</v>
          </cell>
          <cell r="J78" t="str">
            <v>7</v>
          </cell>
          <cell r="K78" t="str">
            <v>Hotel</v>
          </cell>
          <cell r="M78" t="str">
            <v>13-07-2025 04:34:14</v>
          </cell>
          <cell r="N78" t="str">
            <v xml:space="preserve">Hotel GranDhika Iskandarsyah - 4.0 Stars  - </v>
          </cell>
          <cell r="O78" t="str">
            <v>MAN IPP DAN EXCESS POWER</v>
          </cell>
          <cell r="P78" t="str">
            <v>7412110</v>
          </cell>
          <cell r="Q78" t="str">
            <v>13/07/2025 14:00:00 - 14/07/2025 12:00:00</v>
          </cell>
          <cell r="R78">
            <v>1058000</v>
          </cell>
        </row>
        <row r="79">
          <cell r="A79">
            <v>1267775583</v>
          </cell>
          <cell r="B79" t="str">
            <v>7802014F</v>
          </cell>
          <cell r="C79" t="str">
            <v>MUHAMMAD ISMAIL</v>
          </cell>
          <cell r="D79">
            <v>78027603</v>
          </cell>
          <cell r="E79">
            <v>4120176547</v>
          </cell>
          <cell r="F79">
            <v>54</v>
          </cell>
          <cell r="G79" t="str">
            <v>Perjalanan Dinas Non-Diklat</v>
          </cell>
          <cell r="H79" t="str">
            <v>Kota Makassar - Kota Bogor</v>
          </cell>
          <cell r="I79" t="str">
            <v>09/07/2025 - 12/07/2025</v>
          </cell>
          <cell r="J79" t="str">
            <v>4</v>
          </cell>
          <cell r="K79" t="str">
            <v>Hotel</v>
          </cell>
          <cell r="M79" t="str">
            <v>08-07-2025 19:32:24</v>
          </cell>
          <cell r="N79" t="str">
            <v xml:space="preserve">Swiss-Belinn Bogor - 4.0 Stars  - </v>
          </cell>
          <cell r="O79" t="str">
            <v>MAN IPP DAN EXCESS POWER</v>
          </cell>
          <cell r="P79" t="str">
            <v>7412110</v>
          </cell>
          <cell r="Q79" t="str">
            <v>10/07/2025 14:00:00 - 12/07/2025 12:00:00</v>
          </cell>
          <cell r="R79">
            <v>2040000</v>
          </cell>
        </row>
        <row r="80">
          <cell r="A80">
            <v>1268489089</v>
          </cell>
          <cell r="B80" t="str">
            <v>95191270ZY</v>
          </cell>
          <cell r="C80" t="str">
            <v>SEPTYANTO NUGROHO</v>
          </cell>
          <cell r="D80">
            <v>95197610</v>
          </cell>
          <cell r="E80">
            <v>4120176545</v>
          </cell>
          <cell r="F80">
            <v>54</v>
          </cell>
          <cell r="G80" t="str">
            <v>Perjalanan Dinas Non-Diklat</v>
          </cell>
          <cell r="H80" t="str">
            <v>Kota Makassar - Kota Bogor</v>
          </cell>
          <cell r="I80" t="str">
            <v>09/07/2025 - 15/07/2025</v>
          </cell>
          <cell r="J80" t="str">
            <v>7</v>
          </cell>
          <cell r="K80" t="str">
            <v>Flight One Way</v>
          </cell>
          <cell r="M80" t="str">
            <v>11-07-2025 09:22:07</v>
          </cell>
          <cell r="N80" t="str">
            <v>Garuda Indonesia  CGK Soekarno Hatta International Airport GA-6121 - Garuda Indonesia Domestic UPG Hasanuddin GA-6121</v>
          </cell>
          <cell r="O80" t="str">
            <v>OF IPP DAN EXCESS POWER</v>
          </cell>
          <cell r="P80" t="str">
            <v>7412110</v>
          </cell>
          <cell r="Q80" t="str">
            <v>15/07/2025 13:10:00 - 15/07/2025 16:35:00</v>
          </cell>
          <cell r="R80">
            <v>1515100</v>
          </cell>
        </row>
        <row r="81">
          <cell r="A81">
            <v>1268993843</v>
          </cell>
          <cell r="B81" t="str">
            <v>95191270ZY</v>
          </cell>
          <cell r="C81" t="str">
            <v>SEPTYANTO NUGROHO</v>
          </cell>
          <cell r="D81">
            <v>95197610</v>
          </cell>
          <cell r="E81">
            <v>4120176545</v>
          </cell>
          <cell r="F81">
            <v>54</v>
          </cell>
          <cell r="G81" t="str">
            <v>Perjalanan Dinas Non-Diklat</v>
          </cell>
          <cell r="H81" t="str">
            <v>Kota Makassar - Kota Bogor</v>
          </cell>
          <cell r="I81" t="str">
            <v>09/07/2025 - 15/07/2025</v>
          </cell>
          <cell r="J81" t="str">
            <v>7</v>
          </cell>
          <cell r="K81" t="str">
            <v>Hotel</v>
          </cell>
          <cell r="M81" t="str">
            <v>13-07-2025 06:51:33</v>
          </cell>
          <cell r="N81" t="str">
            <v xml:space="preserve">favehotel Melawai - 2.0 Stars  - </v>
          </cell>
          <cell r="O81" t="str">
            <v>OF IPP DAN EXCESS POWER</v>
          </cell>
          <cell r="P81" t="str">
            <v>7412110</v>
          </cell>
          <cell r="Q81" t="str">
            <v>13/07/2025 14:00:00 - 15/07/2025 12:00:00</v>
          </cell>
          <cell r="R81">
            <v>1281130</v>
          </cell>
        </row>
        <row r="82">
          <cell r="A82">
            <v>1267787007</v>
          </cell>
          <cell r="B82" t="str">
            <v>95191270ZY</v>
          </cell>
          <cell r="C82" t="str">
            <v>SEPTYANTO NUGROHO</v>
          </cell>
          <cell r="D82">
            <v>95197610</v>
          </cell>
          <cell r="E82">
            <v>4120176545</v>
          </cell>
          <cell r="F82">
            <v>54</v>
          </cell>
          <cell r="G82" t="str">
            <v>Perjalanan Dinas Non-Diklat</v>
          </cell>
          <cell r="H82" t="str">
            <v>Kota Makassar - Kota Bogor</v>
          </cell>
          <cell r="I82" t="str">
            <v>09/07/2025 - 12/07/2025</v>
          </cell>
          <cell r="J82" t="str">
            <v>4</v>
          </cell>
          <cell r="K82" t="str">
            <v>Hotel</v>
          </cell>
          <cell r="M82" t="str">
            <v>08-07-2025 20:12:16</v>
          </cell>
          <cell r="N82" t="str">
            <v xml:space="preserve">Amaris Hotel Pakuan Bogor - 2.0 Stars  - </v>
          </cell>
          <cell r="O82" t="str">
            <v>OF IPP DAN EXCESS POWER</v>
          </cell>
          <cell r="P82" t="str">
            <v>7412110</v>
          </cell>
          <cell r="Q82" t="str">
            <v>09/07/2025 14:00:00 - 12/07/2025 12:00:00</v>
          </cell>
          <cell r="R82">
            <v>2250000</v>
          </cell>
        </row>
        <row r="83">
          <cell r="A83">
            <v>1267735848</v>
          </cell>
          <cell r="B83" t="str">
            <v>95191270ZY</v>
          </cell>
          <cell r="C83" t="str">
            <v>SEPTYANTO NUGROHO</v>
          </cell>
          <cell r="D83">
            <v>95197610</v>
          </cell>
          <cell r="E83">
            <v>4120176545</v>
          </cell>
          <cell r="F83">
            <v>54</v>
          </cell>
          <cell r="G83" t="str">
            <v>Perjalanan Dinas Non-Diklat</v>
          </cell>
          <cell r="H83" t="str">
            <v>Kota Makassar - Kota Bogor</v>
          </cell>
          <cell r="I83" t="str">
            <v>09/07/2025 - 12/07/2025</v>
          </cell>
          <cell r="J83" t="str">
            <v>4</v>
          </cell>
          <cell r="K83" t="str">
            <v>Flight One Way</v>
          </cell>
          <cell r="M83" t="str">
            <v>08-07-2025 17:07:47</v>
          </cell>
          <cell r="N83" t="str">
            <v>Lion Air Domestic UPG Hasanuddin JT-793 - Lion Air 1A CGK Soekarno Hatta International Airport JT-793</v>
          </cell>
          <cell r="O83" t="str">
            <v>OF IPP DAN EXCESS POWER</v>
          </cell>
          <cell r="P83" t="str">
            <v>7412110</v>
          </cell>
          <cell r="Q83" t="str">
            <v>09/07/2025 16:45:00 - 09/07/2025 18:05:00</v>
          </cell>
          <cell r="R83">
            <v>1105100</v>
          </cell>
        </row>
        <row r="84">
          <cell r="A84">
            <v>1267779070</v>
          </cell>
          <cell r="B84" t="str">
            <v>8609336Z</v>
          </cell>
          <cell r="C84" t="str">
            <v>RATHY SHINTA UTAMI</v>
          </cell>
          <cell r="D84">
            <v>86093800</v>
          </cell>
          <cell r="E84">
            <v>4120176543</v>
          </cell>
          <cell r="F84">
            <v>54</v>
          </cell>
          <cell r="G84" t="str">
            <v>Perjalanan Dinas Non-Diklat</v>
          </cell>
          <cell r="H84" t="str">
            <v>Kota Makassar - Kab. Bandung</v>
          </cell>
          <cell r="I84" t="str">
            <v>09/07/2025 - 11/07/2025</v>
          </cell>
          <cell r="J84" t="str">
            <v>3</v>
          </cell>
          <cell r="K84" t="str">
            <v>Hotel</v>
          </cell>
          <cell r="M84" t="str">
            <v>08-07-2025 19:45:29</v>
          </cell>
          <cell r="N84" t="str">
            <v>ibis Styles Bandung Grand Central - 3.0 Stars  - Superior With 1 Double Bed</v>
          </cell>
          <cell r="O84" t="str">
            <v>SPC KIN DIST</v>
          </cell>
          <cell r="P84" t="str">
            <v>7412000</v>
          </cell>
          <cell r="Q84" t="str">
            <v>09/07/2025 14:00:00 - 11/07/2025 12:00:00</v>
          </cell>
          <cell r="R84">
            <v>2499959</v>
          </cell>
        </row>
        <row r="85">
          <cell r="A85">
            <v>1267653894</v>
          </cell>
          <cell r="B85" t="str">
            <v>8609336Z</v>
          </cell>
          <cell r="C85" t="str">
            <v>RATHY SHINTA UTAMI</v>
          </cell>
          <cell r="D85">
            <v>86093800</v>
          </cell>
          <cell r="E85">
            <v>4120176543</v>
          </cell>
          <cell r="F85">
            <v>54</v>
          </cell>
          <cell r="G85" t="str">
            <v>Perjalanan Dinas Non-Diklat</v>
          </cell>
          <cell r="H85" t="str">
            <v>Kota Makassar - Kab. Bandung</v>
          </cell>
          <cell r="I85" t="str">
            <v>09/07/2025 - 11/07/2025</v>
          </cell>
          <cell r="J85" t="str">
            <v>3</v>
          </cell>
          <cell r="K85" t="str">
            <v>Flight One Way</v>
          </cell>
          <cell r="M85" t="str">
            <v>08-07-2025 12:28:42</v>
          </cell>
          <cell r="N85" t="str">
            <v>Garuda Indonesia Domestic UPG Hasanuddin GA-611 - Garuda Indonesia  CGK Soekarno Hatta International Airport GA-611</v>
          </cell>
          <cell r="O85" t="str">
            <v>SPC KIN DIST</v>
          </cell>
          <cell r="P85" t="str">
            <v>7412000</v>
          </cell>
          <cell r="Q85" t="str">
            <v>09/07/2025 11:20:00 - 09/07/2025 12:45:00</v>
          </cell>
          <cell r="R85">
            <v>2225100</v>
          </cell>
        </row>
        <row r="86">
          <cell r="A86">
            <v>1268053519</v>
          </cell>
          <cell r="B86" t="str">
            <v>8609336Z</v>
          </cell>
          <cell r="C86" t="str">
            <v>RATHY SHINTA UTAMI</v>
          </cell>
          <cell r="D86">
            <v>86093800</v>
          </cell>
          <cell r="E86">
            <v>4120176543</v>
          </cell>
          <cell r="F86">
            <v>54</v>
          </cell>
          <cell r="G86" t="str">
            <v>Perjalanan Dinas Non-Diklat</v>
          </cell>
          <cell r="H86" t="str">
            <v>Kota Makassar - Kab. Bandung</v>
          </cell>
          <cell r="I86" t="str">
            <v>09/07/2025 - 11/07/2025</v>
          </cell>
          <cell r="J86" t="str">
            <v>3</v>
          </cell>
          <cell r="K86" t="str">
            <v>Flight One Way</v>
          </cell>
          <cell r="M86" t="str">
            <v>09-07-2025 18:09:15</v>
          </cell>
          <cell r="N86" t="str">
            <v>Pelita Air 3 CGK Soekarno Hatta International Airport IP-802 - Pelita Air  UPG Hasanuddin IP-802</v>
          </cell>
          <cell r="O86" t="str">
            <v>SPC KIN DIST</v>
          </cell>
          <cell r="P86" t="str">
            <v>7412000</v>
          </cell>
          <cell r="Q86" t="str">
            <v>11/07/2025 11:30:00 - 11/07/2025 14:50:00</v>
          </cell>
          <cell r="R86">
            <v>1523377</v>
          </cell>
        </row>
        <row r="87">
          <cell r="A87">
            <v>1268052539</v>
          </cell>
          <cell r="B87" t="str">
            <v>8710691Z</v>
          </cell>
          <cell r="C87" t="str">
            <v>AHMAD AMIRUL SYARIF</v>
          </cell>
          <cell r="D87">
            <v>87108002</v>
          </cell>
          <cell r="E87">
            <v>4120176536</v>
          </cell>
          <cell r="F87">
            <v>54</v>
          </cell>
          <cell r="G87" t="str">
            <v>Perjalanan Dinas Non-Diklat</v>
          </cell>
          <cell r="H87" t="str">
            <v>Kota Makassar - Kota Bandung</v>
          </cell>
          <cell r="I87" t="str">
            <v>09/07/2025 - 11/07/2025</v>
          </cell>
          <cell r="J87" t="str">
            <v>3</v>
          </cell>
          <cell r="K87" t="str">
            <v>Flight One Way</v>
          </cell>
          <cell r="M87" t="str">
            <v>09-07-2025 18:05:57</v>
          </cell>
          <cell r="N87" t="str">
            <v>Pelita Air 3 CGK Soekarno Hatta International Airport IP-802 - Pelita Air  UPG Hasanuddin IP-802</v>
          </cell>
          <cell r="O87" t="str">
            <v>MAN KOM DAN TJSL</v>
          </cell>
          <cell r="P87" t="str">
            <v>7412163</v>
          </cell>
          <cell r="Q87" t="str">
            <v>11/07/2025 11:30:00 - 11/07/2025 14:50:00</v>
          </cell>
          <cell r="R87">
            <v>1523377</v>
          </cell>
        </row>
        <row r="88">
          <cell r="A88">
            <v>1267775063</v>
          </cell>
          <cell r="B88" t="str">
            <v>8710691Z</v>
          </cell>
          <cell r="C88" t="str">
            <v>AHMAD AMIRUL SYARIF</v>
          </cell>
          <cell r="D88">
            <v>87108002</v>
          </cell>
          <cell r="E88">
            <v>4120176536</v>
          </cell>
          <cell r="F88">
            <v>54</v>
          </cell>
          <cell r="G88" t="str">
            <v>Perjalanan Dinas Non-Diklat</v>
          </cell>
          <cell r="H88" t="str">
            <v>Kota Makassar - Kota Bandung</v>
          </cell>
          <cell r="I88" t="str">
            <v>09/07/2025 - 11/07/2025</v>
          </cell>
          <cell r="J88" t="str">
            <v>3</v>
          </cell>
          <cell r="K88" t="str">
            <v>Hotel</v>
          </cell>
          <cell r="M88" t="str">
            <v>08-07-2025 19:30:57</v>
          </cell>
          <cell r="N88" t="str">
            <v xml:space="preserve">ibis Styles Bandung Grand Central - 3.0 Stars  - </v>
          </cell>
          <cell r="O88" t="str">
            <v>MAN KOM DAN TJSL</v>
          </cell>
          <cell r="P88" t="str">
            <v>7412163</v>
          </cell>
          <cell r="Q88" t="str">
            <v>09/07/2025 14:00:00 - 11/07/2025 12:00:00</v>
          </cell>
          <cell r="R88">
            <v>2699962</v>
          </cell>
        </row>
        <row r="89">
          <cell r="A89">
            <v>1267648509</v>
          </cell>
          <cell r="B89" t="str">
            <v>8710691Z</v>
          </cell>
          <cell r="C89" t="str">
            <v>AHMAD AMIRUL SYARIF</v>
          </cell>
          <cell r="D89">
            <v>87108002</v>
          </cell>
          <cell r="E89">
            <v>4120176536</v>
          </cell>
          <cell r="F89">
            <v>54</v>
          </cell>
          <cell r="G89" t="str">
            <v>Perjalanan Dinas Non-Diklat</v>
          </cell>
          <cell r="H89" t="str">
            <v>Kota Makassar - Kota Bandung</v>
          </cell>
          <cell r="I89" t="str">
            <v>09/07/2025 - 11/07/2025</v>
          </cell>
          <cell r="J89" t="str">
            <v>3</v>
          </cell>
          <cell r="K89" t="str">
            <v>Flight One Way</v>
          </cell>
          <cell r="M89" t="str">
            <v>08-07-2025 12:10:24</v>
          </cell>
          <cell r="N89" t="str">
            <v>Garuda Indonesia Domestic UPG Hasanuddin GA-611 - Garuda Indonesia  CGK Soekarno Hatta International Airport GA-611</v>
          </cell>
          <cell r="O89" t="str">
            <v>MAN KOM DAN TJSL</v>
          </cell>
          <cell r="P89" t="str">
            <v>7412163</v>
          </cell>
          <cell r="Q89" t="str">
            <v>09/07/2025 11:20:00 - 09/07/2025 12:45:00</v>
          </cell>
          <cell r="R89">
            <v>2238600</v>
          </cell>
        </row>
        <row r="90">
          <cell r="A90">
            <v>1267669741</v>
          </cell>
          <cell r="B90" t="str">
            <v>88111108Z</v>
          </cell>
          <cell r="C90" t="str">
            <v>EKA MAYASARI RACHMAN</v>
          </cell>
          <cell r="D90">
            <v>88117600</v>
          </cell>
          <cell r="E90">
            <v>4120176532</v>
          </cell>
          <cell r="F90">
            <v>54</v>
          </cell>
          <cell r="G90" t="str">
            <v>Perjalanan Dinas Non-Diklat</v>
          </cell>
          <cell r="H90" t="str">
            <v>Kota Makassar - Kab. Bandung</v>
          </cell>
          <cell r="I90" t="str">
            <v>09/07/2025 - 11/07/2025</v>
          </cell>
          <cell r="J90" t="str">
            <v>3</v>
          </cell>
          <cell r="K90" t="str">
            <v>Flight One Way</v>
          </cell>
          <cell r="M90" t="str">
            <v>08-07-2025 13:19:33</v>
          </cell>
          <cell r="N90" t="str">
            <v>Garuda Indonesia Domestic UPG Hasanuddin GA-611 - Garuda Indonesia  CGK Soekarno Hatta International Airport GA-611</v>
          </cell>
          <cell r="O90" t="str">
            <v>MAN ASET PROP DAN MUM</v>
          </cell>
          <cell r="P90" t="str">
            <v>7412164</v>
          </cell>
          <cell r="Q90" t="str">
            <v>09/07/2025 11:20:00 - 09/07/2025 12:45:00</v>
          </cell>
          <cell r="R90">
            <v>2225100</v>
          </cell>
        </row>
        <row r="91">
          <cell r="A91">
            <v>1268054266</v>
          </cell>
          <cell r="B91" t="str">
            <v>88111108Z</v>
          </cell>
          <cell r="C91" t="str">
            <v>EKA MAYASARI RACHMAN</v>
          </cell>
          <cell r="D91">
            <v>88117600</v>
          </cell>
          <cell r="E91">
            <v>4120176532</v>
          </cell>
          <cell r="F91">
            <v>54</v>
          </cell>
          <cell r="G91" t="str">
            <v>Perjalanan Dinas Non-Diklat</v>
          </cell>
          <cell r="H91" t="str">
            <v>Kota Makassar - Kab. Bandung</v>
          </cell>
          <cell r="I91" t="str">
            <v>09/07/2025 - 11/07/2025</v>
          </cell>
          <cell r="J91" t="str">
            <v>3</v>
          </cell>
          <cell r="K91" t="str">
            <v>Flight One Way</v>
          </cell>
          <cell r="M91" t="str">
            <v>09-07-2025 18:11:59</v>
          </cell>
          <cell r="N91" t="str">
            <v>Pelita Air 3 CGK Soekarno Hatta International Airport IP-802 - Pelita Air  UPG Hasanuddin IP-802</v>
          </cell>
          <cell r="O91" t="str">
            <v>MAN ASET PROP DAN MUM</v>
          </cell>
          <cell r="P91" t="str">
            <v>7412164</v>
          </cell>
          <cell r="Q91" t="str">
            <v>11/07/2025 11:30:00 - 11/07/2025 14:50:00</v>
          </cell>
          <cell r="R91">
            <v>1655809</v>
          </cell>
        </row>
        <row r="92">
          <cell r="A92">
            <v>1267785265</v>
          </cell>
          <cell r="B92" t="str">
            <v>88111108Z</v>
          </cell>
          <cell r="C92" t="str">
            <v>EKA MAYASARI RACHMAN</v>
          </cell>
          <cell r="D92">
            <v>88117600</v>
          </cell>
          <cell r="E92">
            <v>4120176532</v>
          </cell>
          <cell r="F92">
            <v>54</v>
          </cell>
          <cell r="G92" t="str">
            <v>Perjalanan Dinas Non-Diklat</v>
          </cell>
          <cell r="H92" t="str">
            <v>Kota Makassar - Kab. Bandung</v>
          </cell>
          <cell r="I92" t="str">
            <v>09/07/2025 - 11/07/2025</v>
          </cell>
          <cell r="J92" t="str">
            <v>3</v>
          </cell>
          <cell r="K92" t="str">
            <v>Hotel</v>
          </cell>
          <cell r="M92" t="str">
            <v>08-07-2025 20:06:31</v>
          </cell>
          <cell r="N92" t="str">
            <v xml:space="preserve">ibis Styles Bandung Grand Central - 3.0 Stars  - </v>
          </cell>
          <cell r="O92" t="str">
            <v>MAN ASET PROP DAN MUM</v>
          </cell>
          <cell r="P92" t="str">
            <v>7412164</v>
          </cell>
          <cell r="Q92" t="str">
            <v>09/07/2025 14:00:00 - 11/07/2025 12:00:00</v>
          </cell>
          <cell r="R92">
            <v>2699960</v>
          </cell>
        </row>
        <row r="93">
          <cell r="A93">
            <v>1267748020</v>
          </cell>
          <cell r="B93" t="str">
            <v>8408499Z</v>
          </cell>
          <cell r="C93" t="str">
            <v xml:space="preserve">MIRSAN </v>
          </cell>
          <cell r="D93">
            <v>84087802</v>
          </cell>
          <cell r="E93">
            <v>4120176524</v>
          </cell>
          <cell r="F93">
            <v>54</v>
          </cell>
          <cell r="G93" t="str">
            <v>Perjalanan Dinas Non-Diklat</v>
          </cell>
          <cell r="H93" t="str">
            <v>Kota Makassar - Jakarta Selatan</v>
          </cell>
          <cell r="I93" t="str">
            <v>07/07/2025 - 09/07/2025</v>
          </cell>
          <cell r="J93" t="str">
            <v>3</v>
          </cell>
          <cell r="K93" t="str">
            <v>Flight One Way</v>
          </cell>
          <cell r="M93" t="str">
            <v>08-07-2025 17:53:52</v>
          </cell>
          <cell r="N93" t="str">
            <v>Batik Air 2D CGK Soekarno Hatta International Airport ID-6288 - Batik Air Domestic UPG Hasanuddin ID-6288</v>
          </cell>
          <cell r="O93" t="str">
            <v>MAN YAN PRIORITAS DAN PAE</v>
          </cell>
          <cell r="P93" t="str">
            <v>7411140</v>
          </cell>
          <cell r="Q93" t="str">
            <v>09/07/2025 00:10:00 - 09/07/2025 03:30:00</v>
          </cell>
          <cell r="R93">
            <v>1566600</v>
          </cell>
        </row>
        <row r="94">
          <cell r="A94">
            <v>1267459291</v>
          </cell>
          <cell r="B94" t="str">
            <v>7090006F</v>
          </cell>
          <cell r="C94" t="str">
            <v>MUHAMMAD DJAJADI</v>
          </cell>
          <cell r="D94">
            <v>70907602</v>
          </cell>
          <cell r="E94">
            <v>4120176528</v>
          </cell>
          <cell r="F94">
            <v>54</v>
          </cell>
          <cell r="G94" t="str">
            <v>Perjalanan Dinas Non-Diklat</v>
          </cell>
          <cell r="H94" t="str">
            <v>Kab. Mamuju - Kota Makassar</v>
          </cell>
          <cell r="I94" t="str">
            <v>08/07/2025 - 10/07/2025</v>
          </cell>
          <cell r="J94" t="str">
            <v>3</v>
          </cell>
          <cell r="K94" t="str">
            <v>Hotel</v>
          </cell>
          <cell r="M94" t="str">
            <v>07-07-2025 19:03:33</v>
          </cell>
          <cell r="N94" t="str">
            <v xml:space="preserve">Hotel Remcy Panakukkang - 3.0 Stars  - </v>
          </cell>
          <cell r="O94" t="str">
            <v>STC DAL LISDES</v>
          </cell>
          <cell r="P94" t="str">
            <v>7412290</v>
          </cell>
          <cell r="Q94" t="str">
            <v>08/07/2025 14:00:00 - 10/07/2025 12:00:00</v>
          </cell>
          <cell r="R94">
            <v>1083000</v>
          </cell>
        </row>
        <row r="95">
          <cell r="A95">
            <v>1267285531</v>
          </cell>
          <cell r="B95" t="str">
            <v>91162439ZY</v>
          </cell>
          <cell r="C95" t="str">
            <v>ANDI ZULFAKAR</v>
          </cell>
          <cell r="D95">
            <v>91160035</v>
          </cell>
          <cell r="E95">
            <v>4120176515</v>
          </cell>
          <cell r="F95">
            <v>54</v>
          </cell>
          <cell r="G95" t="str">
            <v>Perjalanan Dinas Non-Diklat</v>
          </cell>
          <cell r="H95" t="str">
            <v>Kota Makassar - Kota Kendari</v>
          </cell>
          <cell r="I95" t="str">
            <v>09/07/2025 - 11/07/2025</v>
          </cell>
          <cell r="J95" t="str">
            <v>3</v>
          </cell>
          <cell r="K95" t="str">
            <v>Hotel</v>
          </cell>
          <cell r="M95" t="str">
            <v>07-07-2025 09:48:36</v>
          </cell>
          <cell r="N95" t="str">
            <v xml:space="preserve">Horison Plaza Inn Kendari - 3.0 Stars  - </v>
          </cell>
          <cell r="O95" t="str">
            <v>OF DAL P2TL</v>
          </cell>
          <cell r="P95" t="str">
            <v>7412000</v>
          </cell>
          <cell r="Q95" t="str">
            <v>09/07/2025 14:00:00 - 11/07/2025 12:00:00</v>
          </cell>
          <cell r="R95">
            <v>1509502</v>
          </cell>
        </row>
        <row r="96">
          <cell r="A96">
            <v>1267282355</v>
          </cell>
          <cell r="B96" t="str">
            <v>91162439ZY</v>
          </cell>
          <cell r="C96" t="str">
            <v>ANDI ZULFAKAR</v>
          </cell>
          <cell r="D96">
            <v>91160035</v>
          </cell>
          <cell r="E96">
            <v>4120176515</v>
          </cell>
          <cell r="F96">
            <v>54</v>
          </cell>
          <cell r="G96" t="str">
            <v>Perjalanan Dinas Non-Diklat</v>
          </cell>
          <cell r="H96" t="str">
            <v>Kota Makassar - Kota Kendari</v>
          </cell>
          <cell r="I96" t="str">
            <v>09/07/2025 - 11/07/2025</v>
          </cell>
          <cell r="J96" t="str">
            <v>3</v>
          </cell>
          <cell r="K96" t="str">
            <v>Flight Round-Trip</v>
          </cell>
          <cell r="M96" t="str">
            <v>07-07-2025 09:38:08</v>
          </cell>
          <cell r="N96" t="str">
            <v>Batik Air Domestic UPG Hasanuddin ID-6751 - Batik Air  KDI Haluoleo ID-6751</v>
          </cell>
          <cell r="O96" t="str">
            <v>OF DAL P2TL</v>
          </cell>
          <cell r="P96" t="str">
            <v>7412000</v>
          </cell>
          <cell r="Q96" t="str">
            <v>09/07/2025 08:25:00 - 09/07/2025 09:30:00</v>
          </cell>
          <cell r="R96">
            <v>1866200</v>
          </cell>
        </row>
        <row r="97">
          <cell r="A97">
            <v>1266523563</v>
          </cell>
          <cell r="B97" t="str">
            <v>93151392ZY</v>
          </cell>
          <cell r="C97" t="str">
            <v>SITTI FAUZIAH AHMAD</v>
          </cell>
          <cell r="D97">
            <v>93157614</v>
          </cell>
          <cell r="E97">
            <v>4120176510</v>
          </cell>
          <cell r="F97">
            <v>54</v>
          </cell>
          <cell r="G97" t="str">
            <v>Perjalanan Dinas Non-Diklat</v>
          </cell>
          <cell r="H97" t="str">
            <v>Kota Makassar - Kota Kendari</v>
          </cell>
          <cell r="I97" t="str">
            <v>07/07/2025 - 10/07/2025</v>
          </cell>
          <cell r="J97" t="str">
            <v>4</v>
          </cell>
          <cell r="K97" t="str">
            <v>Hotel</v>
          </cell>
          <cell r="M97" t="str">
            <v>04-07-2025 17:22:54</v>
          </cell>
          <cell r="N97" t="str">
            <v xml:space="preserve">CLARO Kendari - 4.0 Stars  - </v>
          </cell>
          <cell r="O97" t="str">
            <v>OF DAL P2TL</v>
          </cell>
          <cell r="P97" t="str">
            <v>7412000</v>
          </cell>
          <cell r="Q97" t="str">
            <v>08/07/2025 14:00:00 - 09/07/2025 12:00:00</v>
          </cell>
          <cell r="R97">
            <v>800000</v>
          </cell>
        </row>
        <row r="98">
          <cell r="A98">
            <v>1267374820</v>
          </cell>
          <cell r="B98" t="str">
            <v>93151392ZY</v>
          </cell>
          <cell r="C98" t="str">
            <v>SITTI FAUZIAH AHMAD</v>
          </cell>
          <cell r="D98">
            <v>93157614</v>
          </cell>
          <cell r="E98">
            <v>4120176510</v>
          </cell>
          <cell r="F98">
            <v>54</v>
          </cell>
          <cell r="G98" t="str">
            <v>Perjalanan Dinas Non-Diklat</v>
          </cell>
          <cell r="H98" t="str">
            <v>Kota Makassar - Kota Kendari</v>
          </cell>
          <cell r="I98" t="str">
            <v>07/07/2025 - 10/07/2025</v>
          </cell>
          <cell r="J98" t="str">
            <v>4</v>
          </cell>
          <cell r="K98" t="str">
            <v>Flight One Way</v>
          </cell>
          <cell r="M98" t="str">
            <v>07-07-2025 14:13:37</v>
          </cell>
          <cell r="N98" t="str">
            <v>Batik Air  KDI Haluoleo ID-6750 - Batik Air Domestic UPG Hasanuddin ID-6750</v>
          </cell>
          <cell r="O98" t="str">
            <v>OF DAL P2TL</v>
          </cell>
          <cell r="P98" t="str">
            <v>7412000</v>
          </cell>
          <cell r="Q98" t="str">
            <v>10/07/2025 10:10:00 - 10/07/2025 11:05:00</v>
          </cell>
          <cell r="R98">
            <v>812000</v>
          </cell>
        </row>
        <row r="99">
          <cell r="A99">
            <v>1266519423</v>
          </cell>
          <cell r="B99" t="str">
            <v>8809009F</v>
          </cell>
          <cell r="C99" t="str">
            <v>ISKANDAR AZHAR</v>
          </cell>
          <cell r="D99">
            <v>88097609</v>
          </cell>
          <cell r="E99">
            <v>4120176517</v>
          </cell>
          <cell r="F99">
            <v>54</v>
          </cell>
          <cell r="G99" t="str">
            <v>Perjalanan Dinas Non-Diklat</v>
          </cell>
          <cell r="H99" t="str">
            <v>Kota Makassar - Kota Kendari</v>
          </cell>
          <cell r="I99" t="str">
            <v>07/07/2025 - 11/07/2025</v>
          </cell>
          <cell r="J99" t="str">
            <v>5</v>
          </cell>
          <cell r="K99" t="str">
            <v>Hotel</v>
          </cell>
          <cell r="M99" t="str">
            <v>04-07-2025 17:08:45</v>
          </cell>
          <cell r="N99" t="str">
            <v xml:space="preserve">CLARO Kendari - 4.0 Stars  - </v>
          </cell>
          <cell r="O99" t="str">
            <v>ASMAN P2TL</v>
          </cell>
          <cell r="P99" t="str">
            <v>7412000</v>
          </cell>
          <cell r="Q99" t="str">
            <v>07/07/2025 14:00:00 - 11/07/2025 12:00:00</v>
          </cell>
          <cell r="R99">
            <v>3285000</v>
          </cell>
        </row>
        <row r="100">
          <cell r="A100">
            <v>1267930607</v>
          </cell>
          <cell r="B100" t="str">
            <v>8809009F</v>
          </cell>
          <cell r="C100" t="str">
            <v>ISKANDAR AZHAR</v>
          </cell>
          <cell r="D100">
            <v>88097609</v>
          </cell>
          <cell r="E100">
            <v>4120176517</v>
          </cell>
          <cell r="F100">
            <v>54</v>
          </cell>
          <cell r="G100" t="str">
            <v>Perjalanan Dinas Non-Diklat</v>
          </cell>
          <cell r="H100" t="str">
            <v>Kota Makassar - Kota Kendari</v>
          </cell>
          <cell r="I100" t="str">
            <v>07/07/2025 - 11/07/2025</v>
          </cell>
          <cell r="J100" t="str">
            <v>5</v>
          </cell>
          <cell r="K100" t="str">
            <v>Flight One Way</v>
          </cell>
          <cell r="M100" t="str">
            <v>09-07-2025 11:05:55</v>
          </cell>
          <cell r="N100" t="str">
            <v>Garuda Indonesia  KDI Haluoleo GA-605 - Garuda Indonesia Domestic UPG Hasanuddin GA-605</v>
          </cell>
          <cell r="O100" t="str">
            <v>ASMAN P2TL</v>
          </cell>
          <cell r="P100" t="str">
            <v>7412000</v>
          </cell>
          <cell r="Q100" t="str">
            <v>11/07/2025 08:15:00 - 11/07/2025 09:15:00</v>
          </cell>
          <cell r="R100">
            <v>865700</v>
          </cell>
        </row>
        <row r="101">
          <cell r="A101">
            <v>1266499100</v>
          </cell>
          <cell r="B101" t="str">
            <v>8809009F</v>
          </cell>
          <cell r="C101" t="str">
            <v>ISKANDAR AZHAR</v>
          </cell>
          <cell r="D101">
            <v>88097609</v>
          </cell>
          <cell r="E101">
            <v>4120176517</v>
          </cell>
          <cell r="F101">
            <v>54</v>
          </cell>
          <cell r="G101" t="str">
            <v>Perjalanan Dinas Non-Diklat</v>
          </cell>
          <cell r="H101" t="str">
            <v>Kota Makassar - Kota Kendari</v>
          </cell>
          <cell r="I101" t="str">
            <v>07/07/2025 - 11/07/2025</v>
          </cell>
          <cell r="J101" t="str">
            <v>5</v>
          </cell>
          <cell r="K101" t="str">
            <v>Flight One Way</v>
          </cell>
          <cell r="M101" t="str">
            <v>04-07-2025 16:02:18</v>
          </cell>
          <cell r="N101" t="str">
            <v>Batik Air Domestic UPG Hasanuddin ID-6751 - Batik Air  KDI Haluoleo ID-6751</v>
          </cell>
          <cell r="O101" t="str">
            <v>ASMAN P2TL</v>
          </cell>
          <cell r="P101" t="str">
            <v>7412000</v>
          </cell>
          <cell r="Q101" t="str">
            <v>07/07/2025 08:25:00 - 07/07/2025 09:30:00</v>
          </cell>
          <cell r="R101">
            <v>940800</v>
          </cell>
        </row>
        <row r="102">
          <cell r="A102">
            <v>1267989607</v>
          </cell>
          <cell r="B102" t="str">
            <v>8710466Z</v>
          </cell>
          <cell r="C102" t="str">
            <v>PRADIKTA CENDIKA</v>
          </cell>
          <cell r="D102">
            <v>87107608</v>
          </cell>
          <cell r="E102">
            <v>4120176516</v>
          </cell>
          <cell r="F102">
            <v>54</v>
          </cell>
          <cell r="G102" t="str">
            <v>Perjalanan Dinas Non-Diklat</v>
          </cell>
          <cell r="H102" t="str">
            <v>Kota Makassar - Kota Kendari</v>
          </cell>
          <cell r="I102" t="str">
            <v>07/07/2025 - 11/07/2025</v>
          </cell>
          <cell r="J102" t="str">
            <v>5</v>
          </cell>
          <cell r="K102" t="str">
            <v>Flight One Way</v>
          </cell>
          <cell r="M102" t="str">
            <v>09-07-2025 14:28:15</v>
          </cell>
          <cell r="N102" t="str">
            <v>Lion Air  KDI Haluoleo JT-997 - Lion Air Domestic UPG Hasanuddin JT-997</v>
          </cell>
          <cell r="O102" t="str">
            <v>MAN EFS, UKUR DAN MUTU SIS DIST</v>
          </cell>
          <cell r="P102" t="str">
            <v>7412000</v>
          </cell>
          <cell r="Q102" t="str">
            <v>10/07/2025 15:35:00 - 10/07/2025 16:30:00</v>
          </cell>
          <cell r="R102">
            <v>695400</v>
          </cell>
        </row>
        <row r="103">
          <cell r="A103">
            <v>1266521048</v>
          </cell>
          <cell r="B103" t="str">
            <v>8710466Z</v>
          </cell>
          <cell r="C103" t="str">
            <v>PRADIKTA CENDIKA</v>
          </cell>
          <cell r="D103">
            <v>87107608</v>
          </cell>
          <cell r="E103">
            <v>4120176516</v>
          </cell>
          <cell r="F103">
            <v>54</v>
          </cell>
          <cell r="G103" t="str">
            <v>Perjalanan Dinas Non-Diklat</v>
          </cell>
          <cell r="H103" t="str">
            <v>Kota Makassar - Kota Kendari</v>
          </cell>
          <cell r="I103" t="str">
            <v>07/07/2025 - 11/07/2025</v>
          </cell>
          <cell r="J103" t="str">
            <v>5</v>
          </cell>
          <cell r="K103" t="str">
            <v>Hotel</v>
          </cell>
          <cell r="M103" t="str">
            <v>04-07-2025 17:14:15</v>
          </cell>
          <cell r="N103" t="str">
            <v xml:space="preserve">CLARO Kendari - 4.0 Stars  - </v>
          </cell>
          <cell r="O103" t="str">
            <v>MAN EFS, UKUR DAN MUTU SIS DIST</v>
          </cell>
          <cell r="P103" t="str">
            <v>7412000</v>
          </cell>
          <cell r="Q103" t="str">
            <v>07/07/2025 14:00:00 - 10/07/2025 12:00:00</v>
          </cell>
          <cell r="R103">
            <v>3799995</v>
          </cell>
        </row>
        <row r="104">
          <cell r="A104">
            <v>1266499037</v>
          </cell>
          <cell r="B104" t="str">
            <v>8710466Z</v>
          </cell>
          <cell r="C104" t="str">
            <v>PRADIKTA CENDIKA</v>
          </cell>
          <cell r="D104">
            <v>87107608</v>
          </cell>
          <cell r="E104">
            <v>4120176516</v>
          </cell>
          <cell r="F104">
            <v>54</v>
          </cell>
          <cell r="G104" t="str">
            <v>Perjalanan Dinas Non-Diklat</v>
          </cell>
          <cell r="H104" t="str">
            <v>Kota Makassar - Kota Kendari</v>
          </cell>
          <cell r="I104" t="str">
            <v>07/07/2025 - 11/07/2025</v>
          </cell>
          <cell r="J104" t="str">
            <v>5</v>
          </cell>
          <cell r="K104" t="str">
            <v>Flight One Way</v>
          </cell>
          <cell r="M104" t="str">
            <v>04-07-2025 16:02:36</v>
          </cell>
          <cell r="N104" t="str">
            <v>Batik Air Domestic UPG Hasanuddin ID-6751 - Batik Air  KDI Haluoleo ID-6751</v>
          </cell>
          <cell r="O104" t="str">
            <v>MAN EFS, UKUR DAN MUTU SIS DIST</v>
          </cell>
          <cell r="P104" t="str">
            <v>7412000</v>
          </cell>
          <cell r="Q104" t="str">
            <v>07/07/2025 08:25:00 - 07/07/2025 09:30:00</v>
          </cell>
          <cell r="R104">
            <v>940800</v>
          </cell>
        </row>
        <row r="105">
          <cell r="A105">
            <v>1266835938</v>
          </cell>
          <cell r="B105" t="str">
            <v>9218615ZY</v>
          </cell>
          <cell r="C105" t="str">
            <v>RIAN PRATAMA</v>
          </cell>
          <cell r="D105">
            <v>92187620</v>
          </cell>
          <cell r="E105">
            <v>4120176471</v>
          </cell>
          <cell r="F105">
            <v>54</v>
          </cell>
          <cell r="G105" t="str">
            <v>Perjalanan Dinas Non-Diklat</v>
          </cell>
          <cell r="H105" t="str">
            <v>Kota Makassar - Jakarta Selatan</v>
          </cell>
          <cell r="I105" t="str">
            <v>07/07/2025 - 10/07/2025</v>
          </cell>
          <cell r="J105" t="str">
            <v>4</v>
          </cell>
          <cell r="K105" t="str">
            <v>Hotel</v>
          </cell>
          <cell r="M105" t="str">
            <v>05-07-2025 16:44:50</v>
          </cell>
          <cell r="N105" t="str">
            <v xml:space="preserve">Kuretakeso Kemang Hotel - 4.0 Stars  - </v>
          </cell>
          <cell r="O105" t="str">
            <v>TL SALES RET</v>
          </cell>
          <cell r="P105" t="str">
            <v>74112808</v>
          </cell>
          <cell r="Q105" t="str">
            <v>07/07/2025 14:00:00 - 10/07/2025 12:00:00</v>
          </cell>
          <cell r="R105">
            <v>2184840</v>
          </cell>
        </row>
        <row r="106">
          <cell r="A106">
            <v>1267898403</v>
          </cell>
          <cell r="B106" t="str">
            <v>9218615ZY</v>
          </cell>
          <cell r="C106" t="str">
            <v>RIAN PRATAMA</v>
          </cell>
          <cell r="D106">
            <v>92187620</v>
          </cell>
          <cell r="E106">
            <v>4120176471</v>
          </cell>
          <cell r="F106">
            <v>54</v>
          </cell>
          <cell r="G106" t="str">
            <v>Perjalanan Dinas Non-Diklat</v>
          </cell>
          <cell r="H106" t="str">
            <v>Kota Makassar - Jakarta Selatan</v>
          </cell>
          <cell r="I106" t="str">
            <v>07/07/2025 - 10/07/2025</v>
          </cell>
          <cell r="J106" t="str">
            <v>4</v>
          </cell>
          <cell r="K106" t="str">
            <v>Flight One Way</v>
          </cell>
          <cell r="M106" t="str">
            <v>09-07-2025 09:20:51</v>
          </cell>
          <cell r="N106" t="str">
            <v>Garuda Indonesia  CGK Soekarno Hatta International Airport GA-612 - Garuda Indonesia Domestic UPG Hasanuddin GA-612</v>
          </cell>
          <cell r="O106" t="str">
            <v>TL SALES RET</v>
          </cell>
          <cell r="P106" t="str">
            <v>74112808</v>
          </cell>
          <cell r="Q106" t="str">
            <v>10/07/2025 15:00:00 - 10/07/2025 18:35:00</v>
          </cell>
          <cell r="R106">
            <v>2272500</v>
          </cell>
        </row>
        <row r="107">
          <cell r="A107">
            <v>1266679166</v>
          </cell>
          <cell r="B107" t="str">
            <v>9218615ZY</v>
          </cell>
          <cell r="C107" t="str">
            <v>RIAN PRATAMA</v>
          </cell>
          <cell r="D107">
            <v>92187620</v>
          </cell>
          <cell r="E107">
            <v>4120176471</v>
          </cell>
          <cell r="F107">
            <v>54</v>
          </cell>
          <cell r="G107" t="str">
            <v>Perjalanan Dinas Non-Diklat</v>
          </cell>
          <cell r="H107" t="str">
            <v>Kota Makassar - Jakarta Selatan</v>
          </cell>
          <cell r="I107" t="str">
            <v>07/07/2025 - 10/07/2025</v>
          </cell>
          <cell r="J107" t="str">
            <v>4</v>
          </cell>
          <cell r="K107" t="str">
            <v>Flight One Way</v>
          </cell>
          <cell r="M107" t="str">
            <v>05-07-2025 08:03:11</v>
          </cell>
          <cell r="N107" t="str">
            <v>Garuda Indonesia Domestic UPG Hasanuddin GA-613 - Garuda Indonesia  CGK Soekarno Hatta International Airport GA-613</v>
          </cell>
          <cell r="O107" t="str">
            <v>TL SALES RET</v>
          </cell>
          <cell r="P107" t="str">
            <v>74112808</v>
          </cell>
          <cell r="Q107" t="str">
            <v>07/07/2025 13:00:00 - 07/07/2025 14:25:00</v>
          </cell>
          <cell r="R107">
            <v>2228600</v>
          </cell>
        </row>
        <row r="108">
          <cell r="A108">
            <v>1267495113</v>
          </cell>
          <cell r="B108" t="str">
            <v>92151247ZY</v>
          </cell>
          <cell r="C108" t="str">
            <v>IRHAS MUFTI FIRDAUS</v>
          </cell>
          <cell r="D108">
            <v>92158003</v>
          </cell>
          <cell r="E108">
            <v>4120176506</v>
          </cell>
          <cell r="F108">
            <v>54</v>
          </cell>
          <cell r="G108" t="str">
            <v>Perjalanan Dinas Non-Diklat</v>
          </cell>
          <cell r="H108" t="str">
            <v>Kota Makassar - Kota Kendari</v>
          </cell>
          <cell r="I108" t="str">
            <v>07/07/2025 - 10/07/2025</v>
          </cell>
          <cell r="J108" t="str">
            <v>4</v>
          </cell>
          <cell r="K108" t="str">
            <v>Flight One Way</v>
          </cell>
          <cell r="M108" t="str">
            <v>07-07-2025 20:57:47</v>
          </cell>
          <cell r="N108" t="str">
            <v>Garuda Indonesia  KDI Haluoleo GA-605 - Garuda Indonesia Domestic UPG Hasanuddin GA-605</v>
          </cell>
          <cell r="O108" t="str">
            <v>OF KIN TE LIST</v>
          </cell>
          <cell r="P108" t="str">
            <v>74112801</v>
          </cell>
          <cell r="Q108" t="str">
            <v>10/07/2025 08:15:00 - 10/07/2025 09:15:00</v>
          </cell>
          <cell r="R108">
            <v>886600</v>
          </cell>
        </row>
        <row r="109">
          <cell r="A109">
            <v>1266540539</v>
          </cell>
          <cell r="B109" t="str">
            <v>92151247ZY</v>
          </cell>
          <cell r="C109" t="str">
            <v>IRHAS MUFTI FIRDAUS</v>
          </cell>
          <cell r="D109">
            <v>92158003</v>
          </cell>
          <cell r="E109">
            <v>4120176506</v>
          </cell>
          <cell r="F109">
            <v>54</v>
          </cell>
          <cell r="G109" t="str">
            <v>Perjalanan Dinas Non-Diklat</v>
          </cell>
          <cell r="H109" t="str">
            <v>Kota Makassar - Kota Kendari</v>
          </cell>
          <cell r="I109" t="str">
            <v>07/07/2025 - 10/07/2025</v>
          </cell>
          <cell r="J109" t="str">
            <v>4</v>
          </cell>
          <cell r="K109" t="str">
            <v>Hotel</v>
          </cell>
          <cell r="M109" t="str">
            <v>04-07-2025 18:19:24</v>
          </cell>
          <cell r="N109" t="str">
            <v>CLARO Kendari - 4.0 Stars  - Superior King</v>
          </cell>
          <cell r="O109" t="str">
            <v>OF KIN TE LIST</v>
          </cell>
          <cell r="P109" t="str">
            <v>74112801</v>
          </cell>
          <cell r="Q109" t="str">
            <v>07/07/2025 14:00:00 - 10/07/2025 12:00:00</v>
          </cell>
          <cell r="R109">
            <v>2238473</v>
          </cell>
        </row>
        <row r="110">
          <cell r="A110">
            <v>1266516124</v>
          </cell>
          <cell r="B110" t="str">
            <v>92151247ZY</v>
          </cell>
          <cell r="C110" t="str">
            <v>IRHAS MUFTI FIRDAUS</v>
          </cell>
          <cell r="D110">
            <v>92158003</v>
          </cell>
          <cell r="E110">
            <v>4120176506</v>
          </cell>
          <cell r="F110">
            <v>54</v>
          </cell>
          <cell r="G110" t="str">
            <v>Perjalanan Dinas Non-Diklat</v>
          </cell>
          <cell r="H110" t="str">
            <v>Kota Makassar - Kota Kendari</v>
          </cell>
          <cell r="I110" t="str">
            <v>07/07/2025 - 10/07/2025</v>
          </cell>
          <cell r="J110" t="str">
            <v>4</v>
          </cell>
          <cell r="K110" t="str">
            <v>Flight One Way</v>
          </cell>
          <cell r="M110" t="str">
            <v>04-07-2025 16:58:27</v>
          </cell>
          <cell r="N110" t="str">
            <v>Lion Air Domestic UPG Hasanuddin JT-996 - Lion Air  KDI Haluoleo JT-996</v>
          </cell>
          <cell r="O110" t="str">
            <v>OF KIN TE LIST</v>
          </cell>
          <cell r="P110" t="str">
            <v>74112801</v>
          </cell>
          <cell r="Q110" t="str">
            <v>07/07/2025 17:15:00 - 07/07/2025 18:20:00</v>
          </cell>
          <cell r="R110">
            <v>851400</v>
          </cell>
        </row>
        <row r="111">
          <cell r="A111">
            <v>1266535670</v>
          </cell>
          <cell r="B111" t="str">
            <v>94171287ZY</v>
          </cell>
          <cell r="C111" t="str">
            <v>MUHAMMAD LUTHFIL HADI SURYADI</v>
          </cell>
          <cell r="D111">
            <v>94177613</v>
          </cell>
          <cell r="E111">
            <v>4120176500</v>
          </cell>
          <cell r="F111">
            <v>54</v>
          </cell>
          <cell r="G111" t="str">
            <v>Perjalanan Dinas Non-Diklat</v>
          </cell>
          <cell r="H111" t="str">
            <v>Kota Makassar - Kota Kendari</v>
          </cell>
          <cell r="I111" t="str">
            <v>07/07/2025 - 10/07/2025</v>
          </cell>
          <cell r="J111" t="str">
            <v>4</v>
          </cell>
          <cell r="K111" t="str">
            <v>Hotel</v>
          </cell>
          <cell r="M111" t="str">
            <v>04-07-2025 18:02:53</v>
          </cell>
          <cell r="N111" t="str">
            <v xml:space="preserve">CLARO Kendari - 4.0 Stars  - </v>
          </cell>
          <cell r="O111" t="str">
            <v>TL DAL SUSUT</v>
          </cell>
          <cell r="P111" t="str">
            <v>74112803</v>
          </cell>
          <cell r="Q111" t="str">
            <v>07/07/2025 14:00:00 - 10/07/2025 12:00:00</v>
          </cell>
          <cell r="R111">
            <v>2238473</v>
          </cell>
        </row>
        <row r="112">
          <cell r="A112">
            <v>1266489692</v>
          </cell>
          <cell r="B112" t="str">
            <v>94171287ZY</v>
          </cell>
          <cell r="C112" t="str">
            <v>MUHAMMAD LUTHFIL HADI SURYADI</v>
          </cell>
          <cell r="D112">
            <v>94177613</v>
          </cell>
          <cell r="E112">
            <v>4120176500</v>
          </cell>
          <cell r="F112">
            <v>54</v>
          </cell>
          <cell r="G112" t="str">
            <v>Perjalanan Dinas Non-Diklat</v>
          </cell>
          <cell r="H112" t="str">
            <v>Kota Makassar - Kota Kendari</v>
          </cell>
          <cell r="I112" t="str">
            <v>07/07/2025 - 10/07/2025</v>
          </cell>
          <cell r="J112" t="str">
            <v>4</v>
          </cell>
          <cell r="K112" t="str">
            <v>Flight One Way</v>
          </cell>
          <cell r="M112" t="str">
            <v>04-07-2025 15:34:00</v>
          </cell>
          <cell r="N112" t="str">
            <v>Lion Air Domestic UPG Hasanuddin JT-996 - Lion Air  KDI Haluoleo JT-996</v>
          </cell>
          <cell r="O112" t="str">
            <v>TL DAL SUSUT</v>
          </cell>
          <cell r="P112" t="str">
            <v>74112803</v>
          </cell>
          <cell r="Q112" t="str">
            <v>07/07/2025 17:15:00 - 07/07/2025 18:20:00</v>
          </cell>
          <cell r="R112">
            <v>851400</v>
          </cell>
        </row>
        <row r="113">
          <cell r="A113">
            <v>1267496147</v>
          </cell>
          <cell r="B113" t="str">
            <v>94171287ZY</v>
          </cell>
          <cell r="C113" t="str">
            <v>MUHAMMAD LUTHFIL HADI SURYADI</v>
          </cell>
          <cell r="D113">
            <v>94177613</v>
          </cell>
          <cell r="E113">
            <v>4120176500</v>
          </cell>
          <cell r="F113">
            <v>54</v>
          </cell>
          <cell r="G113" t="str">
            <v>Perjalanan Dinas Non-Diklat</v>
          </cell>
          <cell r="H113" t="str">
            <v>Kota Makassar - Kota Kendari</v>
          </cell>
          <cell r="I113" t="str">
            <v>07/07/2025 - 10/07/2025</v>
          </cell>
          <cell r="J113" t="str">
            <v>4</v>
          </cell>
          <cell r="K113" t="str">
            <v>Flight One Way</v>
          </cell>
          <cell r="M113" t="str">
            <v>07-07-2025 21:01:43</v>
          </cell>
          <cell r="N113" t="str">
            <v>Garuda Indonesia  KDI Haluoleo GA-605 - Garuda Indonesia Domestic UPG Hasanuddin GA-605</v>
          </cell>
          <cell r="O113" t="str">
            <v>TL DAL SUSUT</v>
          </cell>
          <cell r="P113" t="str">
            <v>74112803</v>
          </cell>
          <cell r="Q113" t="str">
            <v>10/07/2025 08:15:00 - 10/07/2025 09:15:00</v>
          </cell>
          <cell r="R113">
            <v>886600</v>
          </cell>
        </row>
        <row r="114">
          <cell r="A114">
            <v>1266573915</v>
          </cell>
          <cell r="B114" t="str">
            <v>9110016F</v>
          </cell>
          <cell r="C114" t="str">
            <v>AMI PRAWOTO RANDALAYUK</v>
          </cell>
          <cell r="D114">
            <v>91107604</v>
          </cell>
          <cell r="E114">
            <v>4120176504</v>
          </cell>
          <cell r="F114">
            <v>54</v>
          </cell>
          <cell r="G114" t="str">
            <v>Perjalanan Dinas Non-Diklat</v>
          </cell>
          <cell r="H114" t="str">
            <v>Kota Palopo - Kota Kendari</v>
          </cell>
          <cell r="I114" t="str">
            <v>07/07/2025 - 10/07/2025</v>
          </cell>
          <cell r="J114" t="str">
            <v>4</v>
          </cell>
          <cell r="K114" t="str">
            <v>Hotel</v>
          </cell>
          <cell r="M114" t="str">
            <v>04-07-2025 20:06:36</v>
          </cell>
          <cell r="N114" t="str">
            <v xml:space="preserve">CLARO Kendari - 4.0 Stars  - </v>
          </cell>
          <cell r="O114" t="str">
            <v>TL DAL SUSUT</v>
          </cell>
          <cell r="P114" t="str">
            <v>7411262</v>
          </cell>
          <cell r="Q114" t="str">
            <v>07/07/2025 14:00:00 - 10/07/2025 12:00:00</v>
          </cell>
          <cell r="R114">
            <v>2238959</v>
          </cell>
        </row>
        <row r="115">
          <cell r="A115">
            <v>1266560391</v>
          </cell>
          <cell r="B115" t="str">
            <v>9110016F</v>
          </cell>
          <cell r="C115" t="str">
            <v>AMI PRAWOTO RANDALAYUK</v>
          </cell>
          <cell r="D115">
            <v>91107604</v>
          </cell>
          <cell r="E115">
            <v>4120176504</v>
          </cell>
          <cell r="F115">
            <v>54</v>
          </cell>
          <cell r="G115" t="str">
            <v>Perjalanan Dinas Non-Diklat</v>
          </cell>
          <cell r="H115" t="str">
            <v>Kota Palopo - Kota Kendari</v>
          </cell>
          <cell r="I115" t="str">
            <v>07/07/2025 - 10/07/2025</v>
          </cell>
          <cell r="J115" t="str">
            <v>4</v>
          </cell>
          <cell r="K115" t="str">
            <v>Flight Round-Trip</v>
          </cell>
          <cell r="M115" t="str">
            <v>04-07-2025 19:24:11</v>
          </cell>
          <cell r="N115" t="str">
            <v>Lion Air Domestic UPG Hasanuddin JT-994 - Lion Air  KDI Haluoleo JT-994</v>
          </cell>
          <cell r="O115" t="str">
            <v>TL DAL SUSUT</v>
          </cell>
          <cell r="P115" t="str">
            <v>7411262</v>
          </cell>
          <cell r="Q115" t="str">
            <v>07/07/2025 13:50:00 - 07/07/2025 14:55:00</v>
          </cell>
          <cell r="R115">
            <v>1714600</v>
          </cell>
        </row>
        <row r="116">
          <cell r="A116">
            <v>1266374112</v>
          </cell>
          <cell r="B116" t="str">
            <v>9009026F</v>
          </cell>
          <cell r="C116" t="str">
            <v>SARTO SENOBUA'</v>
          </cell>
          <cell r="D116">
            <v>90097604</v>
          </cell>
          <cell r="E116">
            <v>4120176497</v>
          </cell>
          <cell r="F116">
            <v>54</v>
          </cell>
          <cell r="G116" t="str">
            <v>Perjalanan Dinas Non-Diklat</v>
          </cell>
          <cell r="H116" t="str">
            <v>Kab. Pinrang - Kota Kendari</v>
          </cell>
          <cell r="I116" t="str">
            <v>07/07/2025 - 10/07/2025</v>
          </cell>
          <cell r="J116" t="str">
            <v>4</v>
          </cell>
          <cell r="K116" t="str">
            <v>Flight One Way</v>
          </cell>
          <cell r="M116" t="str">
            <v>04-07-2025 09:42:16</v>
          </cell>
          <cell r="N116" t="str">
            <v>Lion Air Domestic UPG Hasanuddin JT-994 - Lion Air  KDI Haluoleo JT-994</v>
          </cell>
          <cell r="O116" t="str">
            <v>TL DAL SUSUT</v>
          </cell>
          <cell r="P116" t="str">
            <v>7411252</v>
          </cell>
          <cell r="Q116" t="str">
            <v>07/07/2025 13:50:00 - 07/07/2025 14:55:00</v>
          </cell>
          <cell r="R116">
            <v>851400</v>
          </cell>
        </row>
        <row r="117">
          <cell r="A117">
            <v>1266374657</v>
          </cell>
          <cell r="B117" t="str">
            <v>9009026F</v>
          </cell>
          <cell r="C117" t="str">
            <v>SARTO SENOBUA'</v>
          </cell>
          <cell r="D117">
            <v>90097604</v>
          </cell>
          <cell r="E117">
            <v>4120176497</v>
          </cell>
          <cell r="F117">
            <v>54</v>
          </cell>
          <cell r="G117" t="str">
            <v>Perjalanan Dinas Non-Diklat</v>
          </cell>
          <cell r="H117" t="str">
            <v>Kab. Pinrang - Kota Kendari</v>
          </cell>
          <cell r="I117" t="str">
            <v>07/07/2025 - 10/07/2025</v>
          </cell>
          <cell r="J117" t="str">
            <v>4</v>
          </cell>
          <cell r="K117" t="str">
            <v>Flight One Way</v>
          </cell>
          <cell r="M117" t="str">
            <v>04-07-2025 09:44:00</v>
          </cell>
          <cell r="N117" t="str">
            <v>Garuda Indonesia  KDI Haluoleo GA-605 - Garuda Indonesia Domestic UPG Hasanuddin GA-605</v>
          </cell>
          <cell r="O117" t="str">
            <v>TL DAL SUSUT</v>
          </cell>
          <cell r="P117" t="str">
            <v>7411252</v>
          </cell>
          <cell r="Q117" t="str">
            <v>10/07/2025 08:15:00 - 10/07/2025 09:15:00</v>
          </cell>
          <cell r="R117">
            <v>852700</v>
          </cell>
        </row>
        <row r="118">
          <cell r="A118">
            <v>1266375648</v>
          </cell>
          <cell r="B118" t="str">
            <v>9009026F</v>
          </cell>
          <cell r="C118" t="str">
            <v>SARTO SENOBUA'</v>
          </cell>
          <cell r="D118">
            <v>90097604</v>
          </cell>
          <cell r="E118">
            <v>4120176497</v>
          </cell>
          <cell r="F118">
            <v>54</v>
          </cell>
          <cell r="G118" t="str">
            <v>Perjalanan Dinas Non-Diklat</v>
          </cell>
          <cell r="H118" t="str">
            <v>Kab. Pinrang - Kota Kendari</v>
          </cell>
          <cell r="I118" t="str">
            <v>07/07/2025 - 10/07/2025</v>
          </cell>
          <cell r="J118" t="str">
            <v>4</v>
          </cell>
          <cell r="K118" t="str">
            <v>Hotel</v>
          </cell>
          <cell r="M118" t="str">
            <v>04-07-2025 09:46:58</v>
          </cell>
          <cell r="N118" t="str">
            <v xml:space="preserve">Horison Plaza Inn Kendari - 3.0 Stars  - </v>
          </cell>
          <cell r="O118" t="str">
            <v>TL DAL SUSUT</v>
          </cell>
          <cell r="P118" t="str">
            <v>7411252</v>
          </cell>
          <cell r="Q118" t="str">
            <v>07/07/2025 14:00:00 - 10/07/2025 12:00:00</v>
          </cell>
          <cell r="R118">
            <v>2264253</v>
          </cell>
        </row>
        <row r="119">
          <cell r="A119">
            <v>1266364117</v>
          </cell>
          <cell r="B119" t="str">
            <v>7294054F</v>
          </cell>
          <cell r="C119" t="str">
            <v>NUR AHADIAT</v>
          </cell>
          <cell r="D119">
            <v>72947609</v>
          </cell>
          <cell r="E119">
            <v>4120176501</v>
          </cell>
          <cell r="F119">
            <v>54</v>
          </cell>
          <cell r="G119" t="str">
            <v>Perjalanan Dinas Non-Diklat</v>
          </cell>
          <cell r="H119" t="str">
            <v>Kab. Pinrang - Kota Kendari</v>
          </cell>
          <cell r="I119" t="str">
            <v>07/07/2025 - 10/07/2025</v>
          </cell>
          <cell r="J119" t="str">
            <v>4</v>
          </cell>
          <cell r="K119" t="str">
            <v>Flight One Way</v>
          </cell>
          <cell r="M119" t="str">
            <v>04-07-2025 09:08:24</v>
          </cell>
          <cell r="N119" t="str">
            <v>Garuda Indonesia  KDI Haluoleo GA-605 - Garuda Indonesia Domestic UPG Hasanuddin GA-605</v>
          </cell>
          <cell r="O119" t="str">
            <v>ASMAN TE LIST</v>
          </cell>
          <cell r="P119" t="str">
            <v>7411252</v>
          </cell>
          <cell r="Q119" t="str">
            <v>10/07/2025 08:15:00 - 10/07/2025 09:15:00</v>
          </cell>
          <cell r="R119">
            <v>852700</v>
          </cell>
        </row>
        <row r="120">
          <cell r="A120">
            <v>1266371411</v>
          </cell>
          <cell r="B120" t="str">
            <v>7294054F</v>
          </cell>
          <cell r="C120" t="str">
            <v>NUR AHADIAT</v>
          </cell>
          <cell r="D120">
            <v>72947609</v>
          </cell>
          <cell r="E120">
            <v>4120176501</v>
          </cell>
          <cell r="F120">
            <v>54</v>
          </cell>
          <cell r="G120" t="str">
            <v>Perjalanan Dinas Non-Diklat</v>
          </cell>
          <cell r="H120" t="str">
            <v>Kab. Pinrang - Kota Kendari</v>
          </cell>
          <cell r="I120" t="str">
            <v>07/07/2025 - 10/07/2025</v>
          </cell>
          <cell r="J120" t="str">
            <v>4</v>
          </cell>
          <cell r="K120" t="str">
            <v>Hotel</v>
          </cell>
          <cell r="M120" t="str">
            <v>04-07-2025 09:32:58</v>
          </cell>
          <cell r="N120" t="str">
            <v xml:space="preserve">Horison Plaza Inn Kendari - 3.0 Stars  - </v>
          </cell>
          <cell r="O120" t="str">
            <v>ASMAN TE LIST</v>
          </cell>
          <cell r="P120" t="str">
            <v>7411252</v>
          </cell>
          <cell r="Q120" t="str">
            <v>07/07/2025 14:00:00 - 10/07/2025 12:00:00</v>
          </cell>
          <cell r="R120">
            <v>2264253</v>
          </cell>
        </row>
        <row r="121">
          <cell r="A121">
            <v>1266362558</v>
          </cell>
          <cell r="B121" t="str">
            <v>7294054F</v>
          </cell>
          <cell r="C121" t="str">
            <v>NUR AHADIAT</v>
          </cell>
          <cell r="D121">
            <v>72947609</v>
          </cell>
          <cell r="E121">
            <v>4120176501</v>
          </cell>
          <cell r="F121">
            <v>54</v>
          </cell>
          <cell r="G121" t="str">
            <v>Perjalanan Dinas Non-Diklat</v>
          </cell>
          <cell r="H121" t="str">
            <v>Kab. Pinrang - Kota Kendari</v>
          </cell>
          <cell r="I121" t="str">
            <v>07/07/2025 - 10/07/2025</v>
          </cell>
          <cell r="J121" t="str">
            <v>4</v>
          </cell>
          <cell r="K121" t="str">
            <v>Flight One Way</v>
          </cell>
          <cell r="M121" t="str">
            <v>04-07-2025 09:03:25</v>
          </cell>
          <cell r="N121" t="str">
            <v>Lion Air Domestic UPG Hasanuddin JT-994 - Lion Air  KDI Haluoleo JT-994</v>
          </cell>
          <cell r="O121" t="str">
            <v>ASMAN TE LIST</v>
          </cell>
          <cell r="P121" t="str">
            <v>7411252</v>
          </cell>
          <cell r="Q121" t="str">
            <v>07/07/2025 13:50:00 - 07/07/2025 14:55:00</v>
          </cell>
          <cell r="R121">
            <v>851400</v>
          </cell>
        </row>
        <row r="122">
          <cell r="A122">
            <v>1267272407</v>
          </cell>
          <cell r="B122" t="str">
            <v>92161379ZY</v>
          </cell>
          <cell r="C122" t="str">
            <v>MUHAMMAD PUJI PRASETYO</v>
          </cell>
          <cell r="D122">
            <v>92167615</v>
          </cell>
          <cell r="E122">
            <v>4120176499</v>
          </cell>
          <cell r="F122">
            <v>54</v>
          </cell>
          <cell r="G122" t="str">
            <v>Perjalanan Dinas Non-Diklat</v>
          </cell>
          <cell r="H122" t="str">
            <v>Kota Makassar - Kota Kendari</v>
          </cell>
          <cell r="I122" t="str">
            <v>07/07/2025 - 10/07/2025</v>
          </cell>
          <cell r="J122" t="str">
            <v>4</v>
          </cell>
          <cell r="K122" t="str">
            <v>Flight One Way</v>
          </cell>
          <cell r="M122" t="str">
            <v>07-07-2025 09:04:43</v>
          </cell>
          <cell r="N122" t="str">
            <v>Garuda Indonesia  KDI Haluoleo GA-605 - Garuda Indonesia Domestic UPG Hasanuddin GA-605</v>
          </cell>
          <cell r="O122" t="str">
            <v>TL DAL SUSUT</v>
          </cell>
          <cell r="P122" t="str">
            <v>74112703</v>
          </cell>
          <cell r="Q122" t="str">
            <v>10/07/2025 08:15:00 - 10/07/2025 09:15:00</v>
          </cell>
          <cell r="R122">
            <v>886600</v>
          </cell>
        </row>
        <row r="123">
          <cell r="A123">
            <v>1266577172</v>
          </cell>
          <cell r="B123" t="str">
            <v>92161379ZY</v>
          </cell>
          <cell r="C123" t="str">
            <v>MUHAMMAD PUJI PRASETYO</v>
          </cell>
          <cell r="D123">
            <v>92167615</v>
          </cell>
          <cell r="E123">
            <v>4120176499</v>
          </cell>
          <cell r="F123">
            <v>54</v>
          </cell>
          <cell r="G123" t="str">
            <v>Perjalanan Dinas Non-Diklat</v>
          </cell>
          <cell r="H123" t="str">
            <v>Kota Makassar - Kota Kendari</v>
          </cell>
          <cell r="I123" t="str">
            <v>07/07/2025 - 10/07/2025</v>
          </cell>
          <cell r="J123" t="str">
            <v>4</v>
          </cell>
          <cell r="K123" t="str">
            <v>Hotel</v>
          </cell>
          <cell r="M123" t="str">
            <v>04-07-2025 20:16:08</v>
          </cell>
          <cell r="N123" t="str">
            <v xml:space="preserve">CLARO Kendari - 4.0 Stars  - </v>
          </cell>
          <cell r="O123" t="str">
            <v>TL DAL SUSUT</v>
          </cell>
          <cell r="P123" t="str">
            <v>74112703</v>
          </cell>
          <cell r="Q123" t="str">
            <v>07/07/2025 14:00:00 - 10/07/2025 12:00:00</v>
          </cell>
          <cell r="R123">
            <v>2238959</v>
          </cell>
        </row>
        <row r="124">
          <cell r="A124">
            <v>1266687442</v>
          </cell>
          <cell r="B124" t="str">
            <v>92161379ZY</v>
          </cell>
          <cell r="C124" t="str">
            <v>MUHAMMAD PUJI PRASETYO</v>
          </cell>
          <cell r="D124">
            <v>92167615</v>
          </cell>
          <cell r="E124">
            <v>4120176499</v>
          </cell>
          <cell r="F124">
            <v>54</v>
          </cell>
          <cell r="G124" t="str">
            <v>Perjalanan Dinas Non-Diklat</v>
          </cell>
          <cell r="H124" t="str">
            <v>Kota Makassar - Kota Kendari</v>
          </cell>
          <cell r="I124" t="str">
            <v>07/07/2025 - 10/07/2025</v>
          </cell>
          <cell r="J124" t="str">
            <v>4</v>
          </cell>
          <cell r="K124" t="str">
            <v>Flight One Way</v>
          </cell>
          <cell r="M124" t="str">
            <v>05-07-2025 08:38:59</v>
          </cell>
          <cell r="N124" t="str">
            <v>Lion Air Domestic UPG Hasanuddin JT-996 - Lion Air  KDI Haluoleo JT-996</v>
          </cell>
          <cell r="O124" t="str">
            <v>TL DAL SUSUT</v>
          </cell>
          <cell r="P124" t="str">
            <v>74112703</v>
          </cell>
          <cell r="Q124" t="str">
            <v>07/07/2025 17:15:00 - 07/07/2025 18:20:00</v>
          </cell>
          <cell r="R124">
            <v>851400</v>
          </cell>
        </row>
        <row r="125">
          <cell r="A125">
            <v>1266348577</v>
          </cell>
          <cell r="B125" t="str">
            <v>89112122Z</v>
          </cell>
          <cell r="C125" t="str">
            <v>SOBRI FADILLAH</v>
          </cell>
          <cell r="D125">
            <v>89117600</v>
          </cell>
          <cell r="E125">
            <v>4120176493</v>
          </cell>
          <cell r="F125">
            <v>54</v>
          </cell>
          <cell r="G125" t="str">
            <v>Perjalanan Dinas Non-Diklat</v>
          </cell>
          <cell r="H125" t="str">
            <v>Kota Parepare - Kota Kendari</v>
          </cell>
          <cell r="I125" t="str">
            <v>07/07/2025 - 10/07/2025</v>
          </cell>
          <cell r="J125" t="str">
            <v>4</v>
          </cell>
          <cell r="K125" t="str">
            <v>Hotel</v>
          </cell>
          <cell r="M125" t="str">
            <v>04-07-2025 08:05:45</v>
          </cell>
          <cell r="N125" t="str">
            <v xml:space="preserve">Horison Plaza Inn Kendari - 3.0 Stars  - </v>
          </cell>
          <cell r="O125" t="str">
            <v>TL DAL SUSUT</v>
          </cell>
          <cell r="P125" t="str">
            <v>7411222</v>
          </cell>
          <cell r="Q125" t="str">
            <v>07/07/2025 14:00:00 - 10/07/2025 12:00:00</v>
          </cell>
          <cell r="R125">
            <v>2264253</v>
          </cell>
        </row>
        <row r="126">
          <cell r="A126">
            <v>1266178972</v>
          </cell>
          <cell r="B126" t="str">
            <v>89112122Z</v>
          </cell>
          <cell r="C126" t="str">
            <v>SOBRI FADILLAH</v>
          </cell>
          <cell r="D126">
            <v>89117600</v>
          </cell>
          <cell r="E126">
            <v>4120176493</v>
          </cell>
          <cell r="F126">
            <v>54</v>
          </cell>
          <cell r="G126" t="str">
            <v>Perjalanan Dinas Non-Diklat</v>
          </cell>
          <cell r="H126" t="str">
            <v>Kota Parepare - Kota Kendari</v>
          </cell>
          <cell r="I126" t="str">
            <v>07/07/2025 - 10/07/2025</v>
          </cell>
          <cell r="J126" t="str">
            <v>4</v>
          </cell>
          <cell r="K126" t="str">
            <v>Flight Round-Trip</v>
          </cell>
          <cell r="M126" t="str">
            <v>03-07-2025 16:30:19</v>
          </cell>
          <cell r="N126" t="str">
            <v>Lion Air Domestic UPG Hasanuddin JT-994 - Lion Air  KDI Haluoleo JT-994</v>
          </cell>
          <cell r="O126" t="str">
            <v>TL DAL SUSUT</v>
          </cell>
          <cell r="P126" t="str">
            <v>7411222</v>
          </cell>
          <cell r="Q126" t="str">
            <v>07/07/2025 13:50:00 - 07/07/2025 14:55:00</v>
          </cell>
          <cell r="R126">
            <v>1693600</v>
          </cell>
        </row>
        <row r="127">
          <cell r="A127">
            <v>1267550615</v>
          </cell>
          <cell r="B127" t="str">
            <v>7602002F</v>
          </cell>
          <cell r="C127" t="str">
            <v>AMBO TUWO</v>
          </cell>
          <cell r="D127">
            <v>76027600</v>
          </cell>
          <cell r="E127">
            <v>4120176491</v>
          </cell>
          <cell r="F127">
            <v>54</v>
          </cell>
          <cell r="G127" t="str">
            <v>Perjalanan Dinas Non-Diklat</v>
          </cell>
          <cell r="H127" t="str">
            <v>Kota Makassar - Kota Yogyakarta</v>
          </cell>
          <cell r="I127" t="str">
            <v>06/07/2025 - 09/07/2025</v>
          </cell>
          <cell r="J127" t="str">
            <v>4</v>
          </cell>
          <cell r="K127" t="str">
            <v>Flight One Way</v>
          </cell>
          <cell r="M127" t="str">
            <v>08-07-2025 02:11:56</v>
          </cell>
          <cell r="N127" t="str">
            <v>Lion Air  YIA Yogyakarta International Airport JT-644 - Lion Air Domestic UPG Hasanuddin JT-644</v>
          </cell>
          <cell r="O127" t="str">
            <v>SM KEU, KOM DAN MUM</v>
          </cell>
          <cell r="P127" t="str">
            <v>7412150</v>
          </cell>
          <cell r="Q127" t="str">
            <v>09/07/2025 15:40:00 - 09/07/2025 18:35:00</v>
          </cell>
          <cell r="R127">
            <v>1332900</v>
          </cell>
        </row>
        <row r="128">
          <cell r="A128">
            <v>1266379723</v>
          </cell>
          <cell r="B128" t="str">
            <v>7602002F</v>
          </cell>
          <cell r="C128" t="str">
            <v>AMBO TUWO</v>
          </cell>
          <cell r="D128">
            <v>76027600</v>
          </cell>
          <cell r="E128">
            <v>4120176491</v>
          </cell>
          <cell r="F128">
            <v>54</v>
          </cell>
          <cell r="G128" t="str">
            <v>Perjalanan Dinas Non-Diklat</v>
          </cell>
          <cell r="H128" t="str">
            <v>Kota Makassar - Kota Yogyakarta</v>
          </cell>
          <cell r="I128" t="str">
            <v>06/07/2025 - 09/07/2025</v>
          </cell>
          <cell r="J128" t="str">
            <v>4</v>
          </cell>
          <cell r="K128" t="str">
            <v>Flight One Way</v>
          </cell>
          <cell r="M128" t="str">
            <v>04-07-2025 10:00:24</v>
          </cell>
          <cell r="N128" t="str">
            <v>Lion Air Domestic UPG Hasanuddin JT-665 - Lion Air  YIA Yogyakarta International Airport JT-665</v>
          </cell>
          <cell r="O128" t="str">
            <v>SM KEU, KOM DAN MUM</v>
          </cell>
          <cell r="P128" t="str">
            <v>7412150</v>
          </cell>
          <cell r="Q128" t="str">
            <v>06/07/2025 18:25:00 - 06/07/2025 19:20:00</v>
          </cell>
          <cell r="R128">
            <v>1327800</v>
          </cell>
        </row>
        <row r="129">
          <cell r="A129">
            <v>1265994876</v>
          </cell>
          <cell r="B129" t="str">
            <v>9620548ZY</v>
          </cell>
          <cell r="C129" t="str">
            <v>BAGUS ALBARANU YULIATMOKO</v>
          </cell>
          <cell r="D129">
            <v>96207604</v>
          </cell>
          <cell r="E129">
            <v>4120176484</v>
          </cell>
          <cell r="F129">
            <v>54</v>
          </cell>
          <cell r="G129" t="str">
            <v>Perjalanan Dinas Non-Diklat</v>
          </cell>
          <cell r="H129" t="str">
            <v>Kota Makassar - Kota Kendari</v>
          </cell>
          <cell r="I129" t="str">
            <v>03/07/2025 - 04/07/2025</v>
          </cell>
          <cell r="J129" t="str">
            <v>2</v>
          </cell>
          <cell r="K129" t="str">
            <v>Hotel</v>
          </cell>
          <cell r="M129" t="str">
            <v>03-07-2025 02:44:21</v>
          </cell>
          <cell r="N129" t="str">
            <v xml:space="preserve">Horison Plaza Inn Kendari - 3.0 Stars  - </v>
          </cell>
          <cell r="O129" t="str">
            <v>OF OP DAN HAR SIS DIST</v>
          </cell>
          <cell r="P129" t="str">
            <v>7412000</v>
          </cell>
          <cell r="Q129" t="str">
            <v>03/07/2025 14:00:00 - 04/07/2025 12:00:00</v>
          </cell>
          <cell r="R129">
            <v>735892</v>
          </cell>
        </row>
        <row r="130">
          <cell r="A130">
            <v>1266100466</v>
          </cell>
          <cell r="B130" t="str">
            <v>9620548ZY</v>
          </cell>
          <cell r="C130" t="str">
            <v>BAGUS ALBARANU YULIATMOKO</v>
          </cell>
          <cell r="D130">
            <v>96207604</v>
          </cell>
          <cell r="E130">
            <v>4120176484</v>
          </cell>
          <cell r="F130">
            <v>54</v>
          </cell>
          <cell r="G130" t="str">
            <v>Perjalanan Dinas Non-Diklat</v>
          </cell>
          <cell r="H130" t="str">
            <v>Kota Makassar - Kota Kendari</v>
          </cell>
          <cell r="I130" t="str">
            <v>03/07/2025 - 04/07/2025</v>
          </cell>
          <cell r="J130" t="str">
            <v>2</v>
          </cell>
          <cell r="K130" t="str">
            <v>Flight One Way</v>
          </cell>
          <cell r="M130" t="str">
            <v>03-07-2025 12:25:08</v>
          </cell>
          <cell r="N130" t="str">
            <v>Batik Air  KDI Haluoleo ID-6750 - Batik Air Domestic UPG Hasanuddin ID-6750</v>
          </cell>
          <cell r="O130" t="str">
            <v>OF OP DAN HAR SIS DIST</v>
          </cell>
          <cell r="P130" t="str">
            <v>7412000</v>
          </cell>
          <cell r="Q130" t="str">
            <v>04/07/2025 10:10:00 - 04/07/2025 11:05:00</v>
          </cell>
          <cell r="R130">
            <v>812000</v>
          </cell>
        </row>
        <row r="131">
          <cell r="A131">
            <v>1267295104</v>
          </cell>
          <cell r="B131" t="str">
            <v>95191884ZY</v>
          </cell>
          <cell r="C131" t="str">
            <v>MUHAMMAD IRFAN</v>
          </cell>
          <cell r="D131">
            <v>95197617</v>
          </cell>
          <cell r="E131">
            <v>4120176461</v>
          </cell>
          <cell r="F131">
            <v>54</v>
          </cell>
          <cell r="G131" t="str">
            <v>Perjalanan Dinas Diklat</v>
          </cell>
          <cell r="H131" t="str">
            <v>Kota Makassar - Kota Surabaya</v>
          </cell>
          <cell r="I131" t="str">
            <v>11/07/2025 - 15/07/2025</v>
          </cell>
          <cell r="J131" t="str">
            <v>5</v>
          </cell>
          <cell r="K131" t="str">
            <v>Flight Round-Trip</v>
          </cell>
          <cell r="M131" t="str">
            <v>07-07-2025 10:18:41</v>
          </cell>
          <cell r="N131" t="str">
            <v>Batik Air Domestic UPG Hasanuddin ID-6137 - Batik Air 1 SUB Juanda ID-6137</v>
          </cell>
          <cell r="O131" t="str">
            <v>TL TE</v>
          </cell>
          <cell r="P131" t="str">
            <v>74112816</v>
          </cell>
          <cell r="Q131" t="str">
            <v>11/07/2025 19:20:00 - 11/07/2025 19:50:00</v>
          </cell>
          <cell r="R131">
            <v>2447200</v>
          </cell>
        </row>
        <row r="132">
          <cell r="A132">
            <v>1265939844</v>
          </cell>
          <cell r="B132" t="str">
            <v>9212050FY</v>
          </cell>
          <cell r="C132" t="str">
            <v>SYAMSURYA CATUR APRIAN</v>
          </cell>
          <cell r="D132">
            <v>92127619</v>
          </cell>
          <cell r="E132">
            <v>4120176453</v>
          </cell>
          <cell r="F132">
            <v>54</v>
          </cell>
          <cell r="G132" t="str">
            <v>Perjalanan Dinas Diklat</v>
          </cell>
          <cell r="H132" t="str">
            <v>Kab. Takalar - Kota Bandung</v>
          </cell>
          <cell r="I132" t="str">
            <v>04/07/2025 - 06/07/2025</v>
          </cell>
          <cell r="J132" t="str">
            <v>3</v>
          </cell>
          <cell r="K132" t="str">
            <v>Flight One Way</v>
          </cell>
          <cell r="M132" t="str">
            <v>02-07-2025 21:11:19</v>
          </cell>
          <cell r="N132" t="str">
            <v>Garuda Indonesia Domestic UPG Hasanuddin GA-605 - Garuda Indonesia  CGK Soekarno Hatta International Airport GA-605</v>
          </cell>
          <cell r="O132" t="str">
            <v>OF KIN</v>
          </cell>
          <cell r="P132" t="str">
            <v>74112811</v>
          </cell>
          <cell r="Q132" t="str">
            <v>04/07/2025 10:00:00 - 04/07/2025 11:30:00</v>
          </cell>
          <cell r="R132">
            <v>2231100</v>
          </cell>
        </row>
        <row r="133">
          <cell r="A133">
            <v>1266649634</v>
          </cell>
          <cell r="B133" t="str">
            <v>9212050FY</v>
          </cell>
          <cell r="C133" t="str">
            <v>SYAMSURYA CATUR APRIAN</v>
          </cell>
          <cell r="D133">
            <v>92127619</v>
          </cell>
          <cell r="E133">
            <v>4120176453</v>
          </cell>
          <cell r="F133">
            <v>54</v>
          </cell>
          <cell r="G133" t="str">
            <v>Perjalanan Dinas Diklat</v>
          </cell>
          <cell r="H133" t="str">
            <v>Kab. Takalar - Kota Bandung</v>
          </cell>
          <cell r="I133" t="str">
            <v>04/07/2025 - 06/07/2025</v>
          </cell>
          <cell r="J133" t="str">
            <v>3</v>
          </cell>
          <cell r="K133" t="str">
            <v>Flight One Way</v>
          </cell>
          <cell r="M133" t="str">
            <v>05-07-2025 02:30:22</v>
          </cell>
          <cell r="N133" t="str">
            <v>Garuda Indonesia  CGK Soekarno Hatta International Airport GA-612 - Garuda Indonesia Domestic UPG Hasanuddin GA-612</v>
          </cell>
          <cell r="O133" t="str">
            <v>OF KIN</v>
          </cell>
          <cell r="P133" t="str">
            <v>74112811</v>
          </cell>
          <cell r="Q133" t="str">
            <v>06/07/2025 14:25:00 - 06/07/2025 18:00:00</v>
          </cell>
          <cell r="R133">
            <v>2287500</v>
          </cell>
        </row>
        <row r="134">
          <cell r="A134">
            <v>1266006608</v>
          </cell>
          <cell r="B134" t="str">
            <v>9920816ZY</v>
          </cell>
          <cell r="C134" t="str">
            <v>HASBI NUR ASHSHIDDIQ</v>
          </cell>
          <cell r="D134">
            <v>99207601</v>
          </cell>
          <cell r="E134">
            <v>4120176466</v>
          </cell>
          <cell r="F134">
            <v>54</v>
          </cell>
          <cell r="G134" t="str">
            <v>Perjalanan Dinas Diklat</v>
          </cell>
          <cell r="H134" t="str">
            <v>Kab. Wajo - Kota Surabaya</v>
          </cell>
          <cell r="I134" t="str">
            <v>04/07/2025 - 08/07/2025</v>
          </cell>
          <cell r="J134" t="str">
            <v>5</v>
          </cell>
          <cell r="K134" t="str">
            <v>Flight One Way</v>
          </cell>
          <cell r="M134" t="str">
            <v>03-07-2025 06:18:56</v>
          </cell>
          <cell r="N134" t="str">
            <v>Citilink Domestic UPG Hasanuddin QG-353 - Citilink 1A SUB Juanda QG-353</v>
          </cell>
          <cell r="O134" t="str">
            <v>TL TEKNIK</v>
          </cell>
          <cell r="P134" t="str">
            <v>7409620</v>
          </cell>
          <cell r="Q134" t="str">
            <v>04/07/2025 04:40:00 - 04/07/2025 05:15:00</v>
          </cell>
          <cell r="R134">
            <v>1096200</v>
          </cell>
        </row>
        <row r="135">
          <cell r="A135">
            <v>1267491682</v>
          </cell>
          <cell r="B135" t="str">
            <v>9620546ZY</v>
          </cell>
          <cell r="C135" t="str">
            <v>FAROUQ MUHAMMAD NOOR</v>
          </cell>
          <cell r="D135">
            <v>96207602</v>
          </cell>
          <cell r="E135">
            <v>4120176465</v>
          </cell>
          <cell r="F135">
            <v>54</v>
          </cell>
          <cell r="G135" t="str">
            <v>Perjalanan Dinas Diklat</v>
          </cell>
          <cell r="H135" t="str">
            <v>Kab. Bone - Kota Surabaya</v>
          </cell>
          <cell r="I135" t="str">
            <v>04/07/2025 - 08/07/2025</v>
          </cell>
          <cell r="J135" t="str">
            <v>5</v>
          </cell>
          <cell r="K135" t="str">
            <v>Flight One Way</v>
          </cell>
          <cell r="M135" t="str">
            <v>07-07-2025 20:46:54</v>
          </cell>
          <cell r="N135" t="str">
            <v>Lion Air 1A SUB Juanda JT-780 - Lion Air Domestic UPG Hasanuddin JT-780</v>
          </cell>
          <cell r="O135" t="str">
            <v>TL TE</v>
          </cell>
          <cell r="P135" t="str">
            <v>7409621</v>
          </cell>
          <cell r="Q135" t="str">
            <v>08/07/2025 12:45:00 - 08/07/2025 15:15:00</v>
          </cell>
          <cell r="R135">
            <v>1290400</v>
          </cell>
        </row>
        <row r="136">
          <cell r="A136">
            <v>1265810913</v>
          </cell>
          <cell r="B136" t="str">
            <v>9620546ZY</v>
          </cell>
          <cell r="C136" t="str">
            <v>FAROUQ MUHAMMAD NOOR</v>
          </cell>
          <cell r="D136">
            <v>96207602</v>
          </cell>
          <cell r="E136">
            <v>4120176465</v>
          </cell>
          <cell r="F136">
            <v>54</v>
          </cell>
          <cell r="G136" t="str">
            <v>Perjalanan Dinas Diklat</v>
          </cell>
          <cell r="H136" t="str">
            <v>Kab. Bone - Kota Surabaya</v>
          </cell>
          <cell r="I136" t="str">
            <v>04/07/2025 - 08/07/2025</v>
          </cell>
          <cell r="J136" t="str">
            <v>5</v>
          </cell>
          <cell r="K136" t="str">
            <v>Flight One Way</v>
          </cell>
          <cell r="M136" t="str">
            <v>02-07-2025 14:10:18</v>
          </cell>
          <cell r="N136" t="str">
            <v>Citilink Domestic UPG Hasanuddin QG-351 - Citilink 1A SUB Juanda QG-351</v>
          </cell>
          <cell r="O136" t="str">
            <v>TL TE</v>
          </cell>
          <cell r="P136" t="str">
            <v>7409621</v>
          </cell>
          <cell r="Q136" t="str">
            <v>04/07/2025 09:05:00 - 04/07/2025 09:40:00</v>
          </cell>
          <cell r="R136">
            <v>1333500</v>
          </cell>
        </row>
        <row r="137">
          <cell r="A137">
            <v>1266186648</v>
          </cell>
          <cell r="B137" t="str">
            <v>7194010G</v>
          </cell>
          <cell r="C137" t="str">
            <v>ALEXANDER J. MANUHUWA</v>
          </cell>
          <cell r="D137">
            <v>71947804</v>
          </cell>
          <cell r="E137">
            <v>4120176485</v>
          </cell>
          <cell r="F137">
            <v>54</v>
          </cell>
          <cell r="G137" t="str">
            <v>Perjalanan Dinas Non-Diklat</v>
          </cell>
          <cell r="H137" t="str">
            <v>KotaMakassar-Kab.Serang</v>
          </cell>
          <cell r="I137" t="str">
            <v>02/07/2025 - 04/07/2025</v>
          </cell>
          <cell r="J137" t="str">
            <v>3</v>
          </cell>
          <cell r="K137" t="str">
            <v>Flight One Way</v>
          </cell>
          <cell r="M137" t="str">
            <v>03-07-2025 16:56:06</v>
          </cell>
          <cell r="N137" t="str">
            <v>Garuda Indonesia  CGK Soekarno Hatta International Airport GA-604 - Garuda Indonesia Domestic UPG Hasanuddin GA-604</v>
          </cell>
          <cell r="O137" t="str">
            <v>MUP UP3 (MAKASSAR UTARA)</v>
          </cell>
          <cell r="P137" t="str">
            <v>0074092701</v>
          </cell>
          <cell r="Q137" t="str">
            <v>04/07/2025 01:35:00 - 04/07/2025 05:10:00</v>
          </cell>
          <cell r="R137">
            <v>1797000</v>
          </cell>
        </row>
        <row r="138">
          <cell r="A138">
            <v>1265812261</v>
          </cell>
          <cell r="B138" t="str">
            <v>7194010G</v>
          </cell>
          <cell r="C138" t="str">
            <v>ALEXANDER J. MANUHUWA</v>
          </cell>
          <cell r="D138">
            <v>71947804</v>
          </cell>
          <cell r="E138">
            <v>4120176485</v>
          </cell>
          <cell r="F138">
            <v>54</v>
          </cell>
          <cell r="G138" t="str">
            <v>Perjalanan Dinas Non-Diklat</v>
          </cell>
          <cell r="H138" t="str">
            <v>Kota Makassar - Kab. Serang</v>
          </cell>
          <cell r="I138" t="str">
            <v>02/07/2025 - 04/07/2025</v>
          </cell>
          <cell r="J138" t="str">
            <v>3</v>
          </cell>
          <cell r="K138" t="str">
            <v>Flight One Way</v>
          </cell>
          <cell r="M138" t="str">
            <v>02-07-2025 14:14:39</v>
          </cell>
          <cell r="N138" t="str">
            <v>Lion Air Domestic UPG Hasanuddin JT-797 - Lion Air 1A CGK Soekarno Hatta International Airport JT-797</v>
          </cell>
          <cell r="O138" t="str">
            <v>MUP UP3 (MAKASSAR UTARA)</v>
          </cell>
          <cell r="P138" t="str">
            <v>74092701</v>
          </cell>
          <cell r="Q138" t="str">
            <v>02/07/2025 18:40:00 - 02/07/2025 20:00:00</v>
          </cell>
          <cell r="R138">
            <v>1431700</v>
          </cell>
        </row>
        <row r="139">
          <cell r="A139">
            <v>1265807661</v>
          </cell>
          <cell r="B139" t="str">
            <v>8408512Z</v>
          </cell>
          <cell r="C139" t="str">
            <v>DAVID MASALLE BUA</v>
          </cell>
          <cell r="D139">
            <v>84088004</v>
          </cell>
          <cell r="E139">
            <v>4120176482</v>
          </cell>
          <cell r="F139">
            <v>54</v>
          </cell>
          <cell r="G139" t="str">
            <v>Perjalanan Dinas Non-Diklat</v>
          </cell>
          <cell r="H139" t="str">
            <v>Kota Makassar - Kab. Serang</v>
          </cell>
          <cell r="I139" t="str">
            <v>02/07/2025 - 04/07/2025</v>
          </cell>
          <cell r="J139" t="str">
            <v>3</v>
          </cell>
          <cell r="K139" t="str">
            <v>Flight One Way</v>
          </cell>
          <cell r="M139" t="str">
            <v>02-07-2025 14:00:04</v>
          </cell>
          <cell r="N139" t="str">
            <v>Lion Air Domestic UPG Hasanuddin JT-797 - Lion Air 1A CGK Soekarno Hatta International Airport JT-797</v>
          </cell>
          <cell r="O139" t="str">
            <v>ASMAN REN</v>
          </cell>
          <cell r="P139" t="str">
            <v>74092701</v>
          </cell>
          <cell r="Q139" t="str">
            <v>02/07/2025 18:40:00 - 02/07/2025 20:00:00</v>
          </cell>
          <cell r="R139">
            <v>1431700</v>
          </cell>
        </row>
        <row r="140">
          <cell r="A140">
            <v>1266185962</v>
          </cell>
          <cell r="B140" t="str">
            <v>8408512Z</v>
          </cell>
          <cell r="C140" t="str">
            <v>DAVID MASALLE BUA</v>
          </cell>
          <cell r="D140">
            <v>84088004</v>
          </cell>
          <cell r="E140">
            <v>4120176482</v>
          </cell>
          <cell r="F140">
            <v>54</v>
          </cell>
          <cell r="G140" t="str">
            <v>Perjalanan Dinas Non-Diklat</v>
          </cell>
          <cell r="H140" t="str">
            <v>KotaMakassar-Kab.Serang</v>
          </cell>
          <cell r="I140" t="str">
            <v>02/07/2025 - 04/07/2025</v>
          </cell>
          <cell r="J140" t="str">
            <v>3</v>
          </cell>
          <cell r="K140" t="str">
            <v>Flight One Way</v>
          </cell>
          <cell r="M140" t="str">
            <v>03-07-2025 16:54:19</v>
          </cell>
          <cell r="N140" t="str">
            <v>Garuda Indonesia  CGK Soekarno Hatta International Airport GA-604 - Garuda Indonesia Domestic UPG Hasanuddin GA-604</v>
          </cell>
          <cell r="O140" t="str">
            <v>ASMAN REN</v>
          </cell>
          <cell r="P140" t="str">
            <v>0074092701</v>
          </cell>
          <cell r="Q140" t="str">
            <v>04/07/2025 01:35:00 - 04/07/2025 05:10:00</v>
          </cell>
          <cell r="R140">
            <v>1797000</v>
          </cell>
        </row>
        <row r="141">
          <cell r="A141">
            <v>1265717243</v>
          </cell>
          <cell r="B141" t="str">
            <v>8609527Z</v>
          </cell>
          <cell r="C141" t="str">
            <v>MUHAMMAD SUSGANDINATA</v>
          </cell>
          <cell r="D141">
            <v>86097601</v>
          </cell>
          <cell r="E141">
            <v>4120176480</v>
          </cell>
          <cell r="F141">
            <v>54</v>
          </cell>
          <cell r="G141" t="str">
            <v>Perjalanan Dinas Non-Diklat</v>
          </cell>
          <cell r="H141" t="str">
            <v>Kota Makassar - Kota Kendari</v>
          </cell>
          <cell r="I141" t="str">
            <v>03/07/2025 - 04/07/2025</v>
          </cell>
          <cell r="J141" t="str">
            <v>2</v>
          </cell>
          <cell r="K141" t="str">
            <v>Hotel</v>
          </cell>
          <cell r="M141" t="str">
            <v>02-07-2025 09:15:54</v>
          </cell>
          <cell r="N141" t="str">
            <v>CLARO Kendari - 4.0 Stars  - Superior King</v>
          </cell>
          <cell r="O141" t="str">
            <v>MAN YAN GAN</v>
          </cell>
          <cell r="P141" t="str">
            <v>7411140</v>
          </cell>
          <cell r="Q141" t="str">
            <v>03/07/2025 14:00:00 - 04/07/2025 12:00:00</v>
          </cell>
          <cell r="R141">
            <v>811782</v>
          </cell>
        </row>
        <row r="142">
          <cell r="A142">
            <v>1266101834</v>
          </cell>
          <cell r="B142" t="str">
            <v>8609527Z</v>
          </cell>
          <cell r="C142" t="str">
            <v>MUHAMMAD SUSGANDINATA</v>
          </cell>
          <cell r="D142">
            <v>86097601</v>
          </cell>
          <cell r="E142">
            <v>4120176480</v>
          </cell>
          <cell r="F142">
            <v>54</v>
          </cell>
          <cell r="G142" t="str">
            <v>Perjalanan Dinas Non-Diklat</v>
          </cell>
          <cell r="H142" t="str">
            <v>Kota Makassar - Kota Kendari</v>
          </cell>
          <cell r="I142" t="str">
            <v>03/07/2025 - 04/07/2025</v>
          </cell>
          <cell r="J142" t="str">
            <v>2</v>
          </cell>
          <cell r="K142" t="str">
            <v>Flight One Way</v>
          </cell>
          <cell r="M142" t="str">
            <v>03-07-2025 12:28:46</v>
          </cell>
          <cell r="N142" t="str">
            <v>Batik Air  KDI Haluoleo ID-6750 - Batik Air Domestic UPG Hasanuddin ID-6750</v>
          </cell>
          <cell r="O142" t="str">
            <v>MAN YAN GAN</v>
          </cell>
          <cell r="P142" t="str">
            <v>7411140</v>
          </cell>
          <cell r="Q142" t="str">
            <v>04/07/2025 10:10:00 - 04/07/2025 11:05:00</v>
          </cell>
          <cell r="R142">
            <v>812000</v>
          </cell>
        </row>
        <row r="143">
          <cell r="A143">
            <v>1265714867</v>
          </cell>
          <cell r="B143" t="str">
            <v>8609527Z</v>
          </cell>
          <cell r="C143" t="str">
            <v>MUHAMMAD SUSGANDINATA</v>
          </cell>
          <cell r="D143">
            <v>86097601</v>
          </cell>
          <cell r="E143">
            <v>4120176480</v>
          </cell>
          <cell r="F143">
            <v>54</v>
          </cell>
          <cell r="G143" t="str">
            <v>Perjalanan Dinas Non-Diklat</v>
          </cell>
          <cell r="H143" t="str">
            <v>Kota Makassar - Kota Kendari</v>
          </cell>
          <cell r="I143" t="str">
            <v>03/07/2025 - 04/07/2025</v>
          </cell>
          <cell r="J143" t="str">
            <v>2</v>
          </cell>
          <cell r="K143" t="str">
            <v>Flight One Way</v>
          </cell>
          <cell r="M143" t="str">
            <v>02-07-2025 09:06:55</v>
          </cell>
          <cell r="N143" t="str">
            <v>Garuda Indonesia Domestic UPG Hasanuddin GA-604 - Garuda Indonesia  KDI Haluoleo GA-604</v>
          </cell>
          <cell r="O143" t="str">
            <v>MAN YAN GAN</v>
          </cell>
          <cell r="P143" t="str">
            <v>7411140</v>
          </cell>
          <cell r="Q143" t="str">
            <v>03/07/2025 06:20:00 - 03/07/2025 07:30:00</v>
          </cell>
          <cell r="R143">
            <v>972300</v>
          </cell>
        </row>
        <row r="144">
          <cell r="A144">
            <v>1265714937</v>
          </cell>
          <cell r="B144" t="str">
            <v>93161029ZY</v>
          </cell>
          <cell r="C144" t="str">
            <v xml:space="preserve">ASDARIA </v>
          </cell>
          <cell r="D144">
            <v>93167609</v>
          </cell>
          <cell r="E144">
            <v>4120176460</v>
          </cell>
          <cell r="F144">
            <v>54</v>
          </cell>
          <cell r="G144" t="str">
            <v>Perjalanan Dinas Non-Diklat</v>
          </cell>
          <cell r="H144" t="str">
            <v>Kota Makassar - Kota Kendari</v>
          </cell>
          <cell r="I144" t="str">
            <v>03/07/2025 - 04/07/2025</v>
          </cell>
          <cell r="J144" t="str">
            <v>2</v>
          </cell>
          <cell r="K144" t="str">
            <v>Flight One Way</v>
          </cell>
          <cell r="M144" t="str">
            <v>02-07-2025 09:07:11</v>
          </cell>
          <cell r="N144" t="str">
            <v>Garuda Indonesia Domestic UPG Hasanuddin GA-604 - Garuda Indonesia  KDI Haluoleo GA-604</v>
          </cell>
          <cell r="O144" t="str">
            <v>OF DIG SERVICE DAN CUST EX</v>
          </cell>
          <cell r="P144" t="str">
            <v>7411140</v>
          </cell>
          <cell r="Q144" t="str">
            <v>03/07/2025 06:20:00 - 03/07/2025 07:30:00</v>
          </cell>
          <cell r="R144">
            <v>972300</v>
          </cell>
        </row>
        <row r="145">
          <cell r="A145">
            <v>1266100525</v>
          </cell>
          <cell r="B145" t="str">
            <v>93161029ZY</v>
          </cell>
          <cell r="C145" t="str">
            <v>ASDARIA</v>
          </cell>
          <cell r="D145">
            <v>93167609</v>
          </cell>
          <cell r="E145">
            <v>4120176460</v>
          </cell>
          <cell r="F145">
            <v>54</v>
          </cell>
          <cell r="G145" t="str">
            <v>Perjalanan Dinas Non-Diklat</v>
          </cell>
          <cell r="H145" t="str">
            <v>KotaMakassar-KotaKendari</v>
          </cell>
          <cell r="I145" t="str">
            <v>03/07/2025 - 04/07/2025</v>
          </cell>
          <cell r="J145" t="str">
            <v>2</v>
          </cell>
          <cell r="K145" t="str">
            <v>Flight One Way</v>
          </cell>
          <cell r="M145" t="str">
            <v>03-07-2025 12:24:50</v>
          </cell>
          <cell r="N145" t="str">
            <v>Batik Air  KDI Haluoleo ID-6750 - Batik Air Domestic UPG Hasanuddin ID-6750</v>
          </cell>
          <cell r="O145" t="str">
            <v>OF DIG SERVICE DAN CUST EX</v>
          </cell>
          <cell r="P145" t="str">
            <v>0007411140</v>
          </cell>
          <cell r="Q145" t="str">
            <v>04/07/2025 10:10:00 - 04/07/2025 11:05:00</v>
          </cell>
          <cell r="R145">
            <v>812000</v>
          </cell>
        </row>
        <row r="146">
          <cell r="A146">
            <v>1265717601</v>
          </cell>
          <cell r="B146" t="str">
            <v>93161029ZY</v>
          </cell>
          <cell r="C146" t="str">
            <v xml:space="preserve">ASDARIA </v>
          </cell>
          <cell r="D146">
            <v>93167609</v>
          </cell>
          <cell r="E146">
            <v>4120176460</v>
          </cell>
          <cell r="F146">
            <v>54</v>
          </cell>
          <cell r="G146" t="str">
            <v>Perjalanan Dinas Non-Diklat</v>
          </cell>
          <cell r="H146" t="str">
            <v>Kota Makassar - Kota Kendari</v>
          </cell>
          <cell r="I146" t="str">
            <v>03/07/2025 - 04/07/2025</v>
          </cell>
          <cell r="J146" t="str">
            <v>2</v>
          </cell>
          <cell r="K146" t="str">
            <v>Hotel</v>
          </cell>
          <cell r="M146" t="str">
            <v>02-07-2025 09:17:02</v>
          </cell>
          <cell r="N146" t="str">
            <v xml:space="preserve">CLARO Kendari - 4.0 Stars  - </v>
          </cell>
          <cell r="O146" t="str">
            <v>OF DIG SERVICE DAN CUST EX</v>
          </cell>
          <cell r="P146" t="str">
            <v>7411140</v>
          </cell>
          <cell r="Q146" t="str">
            <v>03/07/2025 14:00:00 - 04/07/2025 12:00:00</v>
          </cell>
          <cell r="R146">
            <v>811782</v>
          </cell>
        </row>
        <row r="147">
          <cell r="A147">
            <v>1265706865</v>
          </cell>
          <cell r="B147" t="str">
            <v>8609336Z</v>
          </cell>
          <cell r="C147" t="str">
            <v>RATHY SHINTA UTAMI</v>
          </cell>
          <cell r="D147">
            <v>86093800</v>
          </cell>
          <cell r="E147">
            <v>4120176479</v>
          </cell>
          <cell r="F147">
            <v>54</v>
          </cell>
          <cell r="G147" t="str">
            <v>Perjalanan Dinas Non-Diklat</v>
          </cell>
          <cell r="H147" t="str">
            <v>Kota Makassar - Jakarta Timur</v>
          </cell>
          <cell r="I147" t="str">
            <v>03/07/2025 - 04/07/2025</v>
          </cell>
          <cell r="J147" t="str">
            <v>2</v>
          </cell>
          <cell r="K147" t="str">
            <v>Flight One Way</v>
          </cell>
          <cell r="M147" t="str">
            <v>02-07-2025 08:36:09</v>
          </cell>
          <cell r="N147" t="str">
            <v>Garuda Indonesia Domestic UPG Hasanuddin GA-617 - Garuda Indonesia  CGK Soekarno Hatta International Airport GA-617</v>
          </cell>
          <cell r="O147" t="str">
            <v>SPC KIN DIST</v>
          </cell>
          <cell r="P147" t="str">
            <v>7412000</v>
          </cell>
          <cell r="Q147" t="str">
            <v>03/07/2025 07:15:00 - 03/07/2025 08:45:00</v>
          </cell>
          <cell r="R147">
            <v>1664100</v>
          </cell>
        </row>
        <row r="148">
          <cell r="A148">
            <v>1266002199</v>
          </cell>
          <cell r="B148" t="str">
            <v>8609336Z</v>
          </cell>
          <cell r="C148" t="str">
            <v>RATHY SHINTA UTAMI</v>
          </cell>
          <cell r="D148">
            <v>86093800</v>
          </cell>
          <cell r="E148">
            <v>4120176479</v>
          </cell>
          <cell r="F148">
            <v>54</v>
          </cell>
          <cell r="G148" t="str">
            <v>Perjalanan Dinas Non-Diklat</v>
          </cell>
          <cell r="H148" t="str">
            <v>Kota Makassar - Jakarta Timur</v>
          </cell>
          <cell r="I148" t="str">
            <v>03/07/2025 - 04/07/2025</v>
          </cell>
          <cell r="J148" t="str">
            <v>2</v>
          </cell>
          <cell r="K148" t="str">
            <v>Flight One Way</v>
          </cell>
          <cell r="M148" t="str">
            <v>03-07-2025 05:35:58</v>
          </cell>
          <cell r="N148" t="str">
            <v>Garuda Indonesia  CGK Soekarno Hatta International Airport GA-604 - Garuda Indonesia Domestic UPG Hasanuddin GA-604</v>
          </cell>
          <cell r="O148" t="str">
            <v>SPC KIN DIST</v>
          </cell>
          <cell r="P148" t="str">
            <v>7412000</v>
          </cell>
          <cell r="Q148" t="str">
            <v>04/07/2025 01:35:00 - 04/07/2025 05:10:00</v>
          </cell>
          <cell r="R148">
            <v>1797000</v>
          </cell>
        </row>
        <row r="149">
          <cell r="A149">
            <v>1266001934</v>
          </cell>
          <cell r="B149" t="str">
            <v>8710691Z</v>
          </cell>
          <cell r="C149" t="str">
            <v>AHMAD AMIRUL SYARIF</v>
          </cell>
          <cell r="D149">
            <v>87108002</v>
          </cell>
          <cell r="E149">
            <v>4120176475</v>
          </cell>
          <cell r="F149">
            <v>54</v>
          </cell>
          <cell r="G149" t="str">
            <v>Perjalanan Dinas Non-Diklat</v>
          </cell>
          <cell r="H149" t="str">
            <v>Kota Makassar - Jakarta Timur</v>
          </cell>
          <cell r="I149" t="str">
            <v>03/07/2025 - 04/07/2025</v>
          </cell>
          <cell r="J149" t="str">
            <v>2</v>
          </cell>
          <cell r="K149" t="str">
            <v>Flight One Way</v>
          </cell>
          <cell r="M149" t="str">
            <v>03-07-2025 05:32:09</v>
          </cell>
          <cell r="N149" t="str">
            <v>Garuda Indonesia  CGK Soekarno Hatta International Airport GA-604 - Garuda Indonesia Domestic UPG Hasanuddin GA-604</v>
          </cell>
          <cell r="O149" t="str">
            <v>MAN KOM DAN TJSL</v>
          </cell>
          <cell r="P149" t="str">
            <v>7412163</v>
          </cell>
          <cell r="Q149" t="str">
            <v>04/07/2025 01:35:00 - 04/07/2025 05:10:00</v>
          </cell>
          <cell r="R149">
            <v>1713000</v>
          </cell>
        </row>
        <row r="150">
          <cell r="A150">
            <v>1265703951</v>
          </cell>
          <cell r="B150" t="str">
            <v>8710691Z</v>
          </cell>
          <cell r="C150" t="str">
            <v>AHMAD AMIRUL SYARIF</v>
          </cell>
          <cell r="D150">
            <v>87108002</v>
          </cell>
          <cell r="E150">
            <v>4120176475</v>
          </cell>
          <cell r="F150">
            <v>54</v>
          </cell>
          <cell r="G150" t="str">
            <v>Perjalanan Dinas Non-Diklat</v>
          </cell>
          <cell r="H150" t="str">
            <v>Kota Makassar - Jakarta Timur</v>
          </cell>
          <cell r="I150" t="str">
            <v>03/07/2025 - 04/07/2025</v>
          </cell>
          <cell r="J150" t="str">
            <v>2</v>
          </cell>
          <cell r="K150" t="str">
            <v>Flight One Way</v>
          </cell>
          <cell r="M150" t="str">
            <v>02-07-2025 08:23:55</v>
          </cell>
          <cell r="N150" t="str">
            <v>Garuda Indonesia Domestic UPG Hasanuddin GA-617 - Garuda Indonesia  CGK Soekarno Hatta International Airport GA-617</v>
          </cell>
          <cell r="O150" t="str">
            <v>MAN KOM DAN TJSL</v>
          </cell>
          <cell r="P150" t="str">
            <v>7412163</v>
          </cell>
          <cell r="Q150" t="str">
            <v>03/07/2025 07:15:00 - 03/07/2025 08:45:00</v>
          </cell>
          <cell r="R150">
            <v>1664100</v>
          </cell>
        </row>
        <row r="151">
          <cell r="A151">
            <v>1266001969</v>
          </cell>
          <cell r="B151" t="str">
            <v>88111108Z</v>
          </cell>
          <cell r="C151" t="str">
            <v>EKA MAYASARI RACHMAN</v>
          </cell>
          <cell r="D151">
            <v>88117600</v>
          </cell>
          <cell r="E151">
            <v>4120176477</v>
          </cell>
          <cell r="F151">
            <v>54</v>
          </cell>
          <cell r="G151" t="str">
            <v>Perjalanan Dinas Non-Diklat</v>
          </cell>
          <cell r="H151" t="str">
            <v>KotaMakassar-JakartaTimur</v>
          </cell>
          <cell r="I151" t="str">
            <v>03/07/2025 - 04/07/2025</v>
          </cell>
          <cell r="J151" t="str">
            <v>2</v>
          </cell>
          <cell r="K151" t="str">
            <v>Flight One Way</v>
          </cell>
          <cell r="M151" t="str">
            <v>03-07-2025 05:32:29</v>
          </cell>
          <cell r="N151" t="str">
            <v>Garuda Indonesia  CGK Soekarno Hatta International Airport GA-604 - Garuda Indonesia Domestic UPG Hasanuddin GA-604</v>
          </cell>
          <cell r="O151" t="str">
            <v>MAN ASET PROP DAN MUM</v>
          </cell>
          <cell r="P151" t="str">
            <v>0007412164</v>
          </cell>
          <cell r="Q151" t="str">
            <v>04/07/2025 01:35:00 - 04/07/2025 05:10:00</v>
          </cell>
          <cell r="R151">
            <v>1797000</v>
          </cell>
        </row>
        <row r="152">
          <cell r="A152">
            <v>1265760721</v>
          </cell>
          <cell r="B152" t="str">
            <v>88111108Z</v>
          </cell>
          <cell r="C152" t="str">
            <v>EKA MAYASARI RACHMAN</v>
          </cell>
          <cell r="D152">
            <v>88117600</v>
          </cell>
          <cell r="E152">
            <v>4120176477</v>
          </cell>
          <cell r="F152">
            <v>54</v>
          </cell>
          <cell r="G152" t="str">
            <v>Perjalanan Dinas Non-Diklat</v>
          </cell>
          <cell r="H152" t="str">
            <v>Kota Makassar - Jakarta Timur</v>
          </cell>
          <cell r="I152" t="str">
            <v>03/07/2025 - 04/07/2025</v>
          </cell>
          <cell r="J152" t="str">
            <v>2</v>
          </cell>
          <cell r="K152" t="str">
            <v>Flight One Way</v>
          </cell>
          <cell r="M152" t="str">
            <v>02-07-2025 11:33:44</v>
          </cell>
          <cell r="N152" t="str">
            <v>Garuda Indonesia Domestic UPG Hasanuddin GA-617 - Garuda Indonesia  CGK Soekarno Hatta International Airport GA-617</v>
          </cell>
          <cell r="O152" t="str">
            <v>MAN ASET PROP DAN MUM</v>
          </cell>
          <cell r="P152" t="str">
            <v>7412164</v>
          </cell>
          <cell r="Q152" t="str">
            <v>03/07/2025 07:15:00 - 03/07/2025 08:45:00</v>
          </cell>
          <cell r="R152">
            <v>2042100</v>
          </cell>
        </row>
        <row r="153">
          <cell r="A153">
            <v>1265691323</v>
          </cell>
          <cell r="B153" t="str">
            <v>7805001M</v>
          </cell>
          <cell r="C153" t="str">
            <v>ALAMSYAH ANWAR</v>
          </cell>
          <cell r="D153">
            <v>78050000</v>
          </cell>
          <cell r="E153">
            <v>4120176470</v>
          </cell>
          <cell r="F153">
            <v>54</v>
          </cell>
          <cell r="G153" t="str">
            <v>Perjalanan Dinas Non-Diklat</v>
          </cell>
          <cell r="H153" t="str">
            <v>Kota Makassar - Kab. Serang</v>
          </cell>
          <cell r="I153" t="str">
            <v>02/07/2025 - 04/07/2025</v>
          </cell>
          <cell r="J153" t="str">
            <v>3</v>
          </cell>
          <cell r="K153" t="str">
            <v>Flight One Way</v>
          </cell>
          <cell r="M153" t="str">
            <v>02-07-2025 07:16:44</v>
          </cell>
          <cell r="N153" t="str">
            <v>Pelita Air  UPG Hasanuddin IP-803 - Pelita Air 3 CGK Soekarno Hatta International Airport IP-803</v>
          </cell>
          <cell r="O153" t="str">
            <v>SPC KIN DIST</v>
          </cell>
          <cell r="P153" t="str">
            <v>7412000</v>
          </cell>
          <cell r="Q153" t="str">
            <v>02/07/2025 15:35:00 - 02/07/2025 16:55:00</v>
          </cell>
          <cell r="R153">
            <v>2016453</v>
          </cell>
        </row>
        <row r="154">
          <cell r="A154">
            <v>1265906000</v>
          </cell>
          <cell r="B154" t="str">
            <v>7805001M</v>
          </cell>
          <cell r="C154" t="str">
            <v>ALAMSYAH ANWAR</v>
          </cell>
          <cell r="D154">
            <v>78050000</v>
          </cell>
          <cell r="E154">
            <v>4120176470</v>
          </cell>
          <cell r="F154">
            <v>54</v>
          </cell>
          <cell r="G154" t="str">
            <v>Perjalanan Dinas Non-Diklat</v>
          </cell>
          <cell r="H154" t="str">
            <v>KotaMakassar-Kab.Serang</v>
          </cell>
          <cell r="I154" t="str">
            <v>02/07/2025 - 04/07/2025</v>
          </cell>
          <cell r="J154" t="str">
            <v>3</v>
          </cell>
          <cell r="K154" t="str">
            <v>Hotel</v>
          </cell>
          <cell r="M154" t="str">
            <v>02-07-2025 19:26:37</v>
          </cell>
          <cell r="N154" t="str">
            <v xml:space="preserve">Sapphire Sky Hotel &amp; Conference - 4.0 Stars  - </v>
          </cell>
          <cell r="O154" t="str">
            <v>SPC KIN DIST</v>
          </cell>
          <cell r="P154" t="str">
            <v>0007412000</v>
          </cell>
          <cell r="Q154" t="str">
            <v>02/07/2025 14:00:00 - 03/07/2025 12:00:00</v>
          </cell>
          <cell r="R154">
            <v>1296675</v>
          </cell>
        </row>
        <row r="155">
          <cell r="A155">
            <v>1266181411</v>
          </cell>
          <cell r="B155" t="str">
            <v>7805001M</v>
          </cell>
          <cell r="C155" t="str">
            <v>ALAMSYAH ANWAR</v>
          </cell>
          <cell r="D155">
            <v>78050000</v>
          </cell>
          <cell r="E155">
            <v>4120176470</v>
          </cell>
          <cell r="F155">
            <v>54</v>
          </cell>
          <cell r="G155" t="str">
            <v>Perjalanan Dinas Non-Diklat</v>
          </cell>
          <cell r="H155" t="str">
            <v>KotaMakassar-Kab.Serang</v>
          </cell>
          <cell r="I155" t="str">
            <v>02/07/2025 - 04/07/2025</v>
          </cell>
          <cell r="J155" t="str">
            <v>3</v>
          </cell>
          <cell r="K155" t="str">
            <v>Flight One Way</v>
          </cell>
          <cell r="M155" t="str">
            <v>03-07-2025 16:39:16</v>
          </cell>
          <cell r="N155" t="str">
            <v>Garuda Indonesia  CGK Soekarno Hatta International Airport GA-604 - Garuda Indonesia Domestic UPG Hasanuddin GA-604</v>
          </cell>
          <cell r="O155" t="str">
            <v>SPC KIN DIST</v>
          </cell>
          <cell r="P155" t="str">
            <v>0007412000</v>
          </cell>
          <cell r="Q155" t="str">
            <v>04/07/2025 01:35:00 - 04/07/2025 05:10:00</v>
          </cell>
          <cell r="R155">
            <v>1797000</v>
          </cell>
        </row>
        <row r="156">
          <cell r="A156">
            <v>1266101770</v>
          </cell>
          <cell r="B156" t="str">
            <v>8712617ZY</v>
          </cell>
          <cell r="C156" t="str">
            <v>M. LUKMAN HAKIM</v>
          </cell>
          <cell r="D156">
            <v>87127603</v>
          </cell>
          <cell r="E156">
            <v>4120176458</v>
          </cell>
          <cell r="F156">
            <v>54</v>
          </cell>
          <cell r="G156" t="str">
            <v>Perjalanan Dinas Non-Diklat</v>
          </cell>
          <cell r="H156" t="str">
            <v>KotaMakassar-KotaKendari</v>
          </cell>
          <cell r="I156" t="str">
            <v>03/07/2025 - 04/07/2025</v>
          </cell>
          <cell r="J156" t="str">
            <v>2</v>
          </cell>
          <cell r="K156" t="str">
            <v>Hotel</v>
          </cell>
          <cell r="M156" t="str">
            <v>03-07-2025 12:28:08</v>
          </cell>
          <cell r="N156" t="str">
            <v xml:space="preserve">Horison Plaza Inn Kendari - 3.0 Stars  - </v>
          </cell>
          <cell r="O156" t="str">
            <v>ASMAN DIG SERVICE DAN CUST EX</v>
          </cell>
          <cell r="P156" t="str">
            <v>0007411140</v>
          </cell>
          <cell r="Q156" t="str">
            <v>03/07/2025 14:00:00 - 04/07/2025 12:00:00</v>
          </cell>
          <cell r="R156">
            <v>735892</v>
          </cell>
        </row>
        <row r="157">
          <cell r="A157">
            <v>1265690449</v>
          </cell>
          <cell r="B157" t="str">
            <v>8712617ZY</v>
          </cell>
          <cell r="C157" t="str">
            <v>M. LUKMAN HAKIM</v>
          </cell>
          <cell r="D157">
            <v>87127603</v>
          </cell>
          <cell r="E157">
            <v>4120176458</v>
          </cell>
          <cell r="F157">
            <v>54</v>
          </cell>
          <cell r="G157" t="str">
            <v>Perjalanan Dinas Non-Diklat</v>
          </cell>
          <cell r="H157" t="str">
            <v>Kota Makassar - Kota Kendari</v>
          </cell>
          <cell r="I157" t="str">
            <v>03/07/2025 - 04/07/2025</v>
          </cell>
          <cell r="J157" t="str">
            <v>2</v>
          </cell>
          <cell r="K157" t="str">
            <v>Flight One Way</v>
          </cell>
          <cell r="M157" t="str">
            <v>02-07-2025 07:12:01</v>
          </cell>
          <cell r="N157" t="str">
            <v>Garuda Indonesia Domestic UPG Hasanuddin GA-604 - Garuda Indonesia  KDI Haluoleo GA-604</v>
          </cell>
          <cell r="O157" t="str">
            <v>ASMAN DIG SERVICE DAN CUST EX</v>
          </cell>
          <cell r="P157" t="str">
            <v>7411140</v>
          </cell>
          <cell r="Q157" t="str">
            <v>03/07/2025 06:20:00 - 03/07/2025 07:30:00</v>
          </cell>
          <cell r="R157">
            <v>972300</v>
          </cell>
        </row>
        <row r="158">
          <cell r="A158">
            <v>1266102319</v>
          </cell>
          <cell r="B158" t="str">
            <v>8712617ZY</v>
          </cell>
          <cell r="C158" t="str">
            <v>M. LUKMAN HAKIM</v>
          </cell>
          <cell r="D158">
            <v>87127603</v>
          </cell>
          <cell r="E158">
            <v>4120176458</v>
          </cell>
          <cell r="F158">
            <v>54</v>
          </cell>
          <cell r="G158" t="str">
            <v>Perjalanan Dinas Non-Diklat</v>
          </cell>
          <cell r="H158" t="str">
            <v>KotaMakassar-KotaKendari</v>
          </cell>
          <cell r="I158" t="str">
            <v>03/07/2025 - 04/07/2025</v>
          </cell>
          <cell r="J158" t="str">
            <v>2</v>
          </cell>
          <cell r="K158" t="str">
            <v>Flight One Way</v>
          </cell>
          <cell r="M158" t="str">
            <v>03-07-2025 12:30:14</v>
          </cell>
          <cell r="N158" t="str">
            <v>Batik Air  KDI Haluoleo ID-6750 - Batik Air Domestic UPG Hasanuddin ID-6750</v>
          </cell>
          <cell r="O158" t="str">
            <v>ASMAN DIG SERVICE DAN CUST EX</v>
          </cell>
          <cell r="P158" t="str">
            <v>0007411140</v>
          </cell>
          <cell r="Q158" t="str">
            <v>04/07/2025 10:10:00 - 04/07/2025 11:05:00</v>
          </cell>
          <cell r="R158">
            <v>812000</v>
          </cell>
        </row>
        <row r="159">
          <cell r="A159">
            <v>1265913120</v>
          </cell>
          <cell r="B159" t="str">
            <v>9618005FBY</v>
          </cell>
          <cell r="C159" t="str">
            <v>MUH. RIYAN MIFTA</v>
          </cell>
          <cell r="D159">
            <v>96187604</v>
          </cell>
          <cell r="E159">
            <v>4120176266</v>
          </cell>
          <cell r="F159">
            <v>54</v>
          </cell>
          <cell r="G159" t="str">
            <v>Perjalanan Dinas Diklat</v>
          </cell>
          <cell r="H159" t="str">
            <v>Kab.Mamuju-KotaSemarang</v>
          </cell>
          <cell r="I159" t="str">
            <v>29/06/2025 - 04/07/2025</v>
          </cell>
          <cell r="J159" t="str">
            <v>6</v>
          </cell>
          <cell r="K159" t="str">
            <v>Flight One Way</v>
          </cell>
          <cell r="M159" t="str">
            <v>02-07-2025 19:48:25</v>
          </cell>
          <cell r="N159" t="str">
            <v>Lion Air Domestic SRG Achmad Yani JT-908 - Lion Air Domestic UPG Hasanuddin JT-908</v>
          </cell>
          <cell r="O159" t="str">
            <v>JTC KONS LISDES</v>
          </cell>
          <cell r="P159" t="str">
            <v>0007412290</v>
          </cell>
          <cell r="Q159" t="str">
            <v>04/07/2025 15:35:00 - 04/07/2025 18:20:00</v>
          </cell>
          <cell r="R159">
            <v>1438500</v>
          </cell>
        </row>
        <row r="160">
          <cell r="A160">
            <v>1265877750</v>
          </cell>
          <cell r="B160" t="str">
            <v>9115510ZY</v>
          </cell>
          <cell r="C160" t="str">
            <v>DHANI JULIANTO PUTRA</v>
          </cell>
          <cell r="D160">
            <v>91153402</v>
          </cell>
          <cell r="E160">
            <v>4120176459</v>
          </cell>
          <cell r="F160">
            <v>54</v>
          </cell>
          <cell r="G160" t="str">
            <v>Perjalanan Dinas Non-Diklat</v>
          </cell>
          <cell r="H160" t="str">
            <v>KotaMakassar-KotaBandung</v>
          </cell>
          <cell r="I160" t="str">
            <v>02/07/2025 - 05/07/2025</v>
          </cell>
          <cell r="J160" t="str">
            <v>4</v>
          </cell>
          <cell r="K160" t="str">
            <v>Hotel</v>
          </cell>
          <cell r="M160" t="str">
            <v>02-07-2025 17:51:58</v>
          </cell>
          <cell r="N160" t="str">
            <v xml:space="preserve">The Naripan Hotel - 3.0 Stars  - </v>
          </cell>
          <cell r="O160" t="str">
            <v>OF K3 DAN KAM</v>
          </cell>
          <cell r="P160" t="str">
            <v>0007412000</v>
          </cell>
          <cell r="Q160" t="str">
            <v>02/07/2025 14:00:00 - 05/07/2025 12:00:00</v>
          </cell>
          <cell r="R160">
            <v>1341361</v>
          </cell>
        </row>
        <row r="161">
          <cell r="A161">
            <v>1266503476</v>
          </cell>
          <cell r="B161" t="str">
            <v>9115510ZY</v>
          </cell>
          <cell r="C161" t="str">
            <v>DHANI JULIANTO PUTRA</v>
          </cell>
          <cell r="D161">
            <v>91153402</v>
          </cell>
          <cell r="E161">
            <v>4120176459</v>
          </cell>
          <cell r="F161">
            <v>54</v>
          </cell>
          <cell r="G161" t="str">
            <v>Perjalanan Dinas Non-Diklat</v>
          </cell>
          <cell r="H161" t="str">
            <v>KotaMakassar-KotaBandung</v>
          </cell>
          <cell r="I161" t="str">
            <v>02/07/2025 - 05/07/2025</v>
          </cell>
          <cell r="J161" t="str">
            <v>4</v>
          </cell>
          <cell r="K161" t="str">
            <v>Flight One Way</v>
          </cell>
          <cell r="M161" t="str">
            <v>04-07-2025 16:15:48</v>
          </cell>
          <cell r="N161" t="str">
            <v>Batik Air 2D CGK Soekarno Hatta International Airport ID-6296 - Batik Air Domestic UPG Hasanuddin ID-6296</v>
          </cell>
          <cell r="O161" t="str">
            <v>OF K3 DAN KAM</v>
          </cell>
          <cell r="P161" t="str">
            <v>0007412000</v>
          </cell>
          <cell r="Q161" t="str">
            <v>05/07/2025 16:50:00 - 05/07/2025 20:10:00</v>
          </cell>
          <cell r="R161">
            <v>1950900</v>
          </cell>
        </row>
        <row r="162">
          <cell r="A162">
            <v>1265586015</v>
          </cell>
          <cell r="B162" t="str">
            <v>9115510ZY</v>
          </cell>
          <cell r="C162" t="str">
            <v>DHANI JULIANTO PUTRA</v>
          </cell>
          <cell r="D162">
            <v>91153402</v>
          </cell>
          <cell r="E162">
            <v>4120176459</v>
          </cell>
          <cell r="F162">
            <v>54</v>
          </cell>
          <cell r="G162" t="str">
            <v>Perjalanan Dinas Non-Diklat</v>
          </cell>
          <cell r="H162" t="str">
            <v>Kota Makassar - Kota Bandung</v>
          </cell>
          <cell r="I162" t="str">
            <v>02/07/2025 - 05/07/2025</v>
          </cell>
          <cell r="J162" t="str">
            <v>4</v>
          </cell>
          <cell r="K162" t="str">
            <v>Flight One Way</v>
          </cell>
          <cell r="M162" t="str">
            <v>01-07-2025 19:34:19</v>
          </cell>
          <cell r="N162" t="str">
            <v>Garuda Indonesia Domestic UPG Hasanuddin GA-611 - Garuda Indonesia  CGK Soekarno Hatta International Airport GA-611</v>
          </cell>
          <cell r="O162" t="str">
            <v>OF K3 DAN KAM</v>
          </cell>
          <cell r="P162" t="str">
            <v>7412000</v>
          </cell>
          <cell r="Q162" t="str">
            <v>02/07/2025 12:00:00 - 02/07/2025 13:25:00</v>
          </cell>
          <cell r="R162">
            <v>2224400</v>
          </cell>
        </row>
        <row r="163">
          <cell r="A163">
            <v>1265543632</v>
          </cell>
          <cell r="B163" t="str">
            <v>9716067FY</v>
          </cell>
          <cell r="C163" t="str">
            <v>FARHAN ALBAR MIFTAHULHUDA</v>
          </cell>
          <cell r="D163">
            <v>97167849</v>
          </cell>
          <cell r="E163">
            <v>4120176447</v>
          </cell>
          <cell r="F163">
            <v>54</v>
          </cell>
          <cell r="G163" t="str">
            <v>Perjalanan Dinas Non-Diklat</v>
          </cell>
          <cell r="H163" t="str">
            <v>Kab. Bone - Kota Makassar</v>
          </cell>
          <cell r="I163" t="str">
            <v>01/07/2025 - 03/07/2025</v>
          </cell>
          <cell r="J163" t="str">
            <v>3</v>
          </cell>
          <cell r="K163" t="str">
            <v>Hotel</v>
          </cell>
          <cell r="M163" t="str">
            <v>01-07-2025 17:08:55</v>
          </cell>
          <cell r="N163" t="str">
            <v xml:space="preserve">Amaris Hotel Hertasning Makassar - 2.0 Stars  - </v>
          </cell>
          <cell r="O163" t="str">
            <v>JTC TEKNISI PDKB</v>
          </cell>
          <cell r="P163" t="str">
            <v>7409231</v>
          </cell>
          <cell r="Q163" t="str">
            <v>01/07/2025 14:00:00 - 03/07/2025 12:00:00</v>
          </cell>
          <cell r="R163">
            <v>720000</v>
          </cell>
        </row>
        <row r="164">
          <cell r="A164">
            <v>1265543332</v>
          </cell>
          <cell r="B164" t="str">
            <v>9618015FBY</v>
          </cell>
          <cell r="C164" t="str">
            <v>ANDI FADLI</v>
          </cell>
          <cell r="D164">
            <v>96187616</v>
          </cell>
          <cell r="E164">
            <v>4120176448</v>
          </cell>
          <cell r="F164">
            <v>54</v>
          </cell>
          <cell r="G164" t="str">
            <v>Perjalanan Dinas Non-Diklat</v>
          </cell>
          <cell r="H164" t="str">
            <v>Kab. Bone - Kota Makassar</v>
          </cell>
          <cell r="I164" t="str">
            <v>01/07/2025 - 03/07/2025</v>
          </cell>
          <cell r="J164" t="str">
            <v>3</v>
          </cell>
          <cell r="K164" t="str">
            <v>Hotel</v>
          </cell>
          <cell r="M164" t="str">
            <v>01-07-2025 17:07:53</v>
          </cell>
          <cell r="N164" t="str">
            <v xml:space="preserve">Amaris Hotel Hertasning Makassar - 2.0 Stars  - </v>
          </cell>
          <cell r="O164" t="str">
            <v>JTC TEKNISI PDKB</v>
          </cell>
          <cell r="P164" t="str">
            <v>7409231</v>
          </cell>
          <cell r="Q164" t="str">
            <v>01/07/2025 14:00:00 - 03/07/2025 12:00:00</v>
          </cell>
          <cell r="R164">
            <v>720000</v>
          </cell>
        </row>
        <row r="165">
          <cell r="A165">
            <v>1265211865</v>
          </cell>
          <cell r="B165" t="str">
            <v>93162705ZY</v>
          </cell>
          <cell r="C165" t="str">
            <v>APRILIANI DEWI SETIAWATI</v>
          </cell>
          <cell r="D165">
            <v>93167633</v>
          </cell>
          <cell r="E165">
            <v>4120176436</v>
          </cell>
          <cell r="F165">
            <v>54</v>
          </cell>
          <cell r="G165" t="str">
            <v>Perjalanan Dinas Non-Diklat</v>
          </cell>
          <cell r="H165" t="str">
            <v>Kota Makassar - Jakarta Selatan</v>
          </cell>
          <cell r="I165" t="str">
            <v>01/07/2025 - 02/07/2025</v>
          </cell>
          <cell r="J165" t="str">
            <v>2</v>
          </cell>
          <cell r="K165" t="str">
            <v>Flight Round-Trip</v>
          </cell>
          <cell r="M165" t="str">
            <v>30-06-2025 15:50:41</v>
          </cell>
          <cell r="N165" t="str">
            <v>Garuda Indonesia Domestic UPG Hasanuddin GA-617 - Garuda Indonesia  CGK Soekarno Hatta International Airport GA-617</v>
          </cell>
          <cell r="O165" t="str">
            <v>OF PR AE</v>
          </cell>
          <cell r="P165" t="str">
            <v>7411140</v>
          </cell>
          <cell r="Q165" t="str">
            <v>01/07/2025 07:15:00 - 01/07/2025 08:45:00</v>
          </cell>
          <cell r="R165">
            <v>3184100</v>
          </cell>
        </row>
        <row r="166">
          <cell r="A166">
            <v>1265571485</v>
          </cell>
          <cell r="B166" t="str">
            <v>93162777ZY</v>
          </cell>
          <cell r="C166" t="str">
            <v>KHAYRUNNISA B. MUHAMMADIA</v>
          </cell>
          <cell r="D166">
            <v>93167626</v>
          </cell>
          <cell r="E166">
            <v>4120176424</v>
          </cell>
          <cell r="F166">
            <v>54</v>
          </cell>
          <cell r="G166" t="str">
            <v>Perjalanan Dinas Non-Diklat</v>
          </cell>
          <cell r="H166" t="str">
            <v>Kota Makassar - Jakarta Timur</v>
          </cell>
          <cell r="I166" t="str">
            <v>30/06/2025 - 02/07/2025</v>
          </cell>
          <cell r="J166" t="str">
            <v>3</v>
          </cell>
          <cell r="K166" t="str">
            <v>Flight One Way</v>
          </cell>
          <cell r="M166" t="str">
            <v>01-07-2025 18:45:59</v>
          </cell>
          <cell r="N166" t="str">
            <v>Batik Air 2D CGK Soekarno Hatta International Airport ID-6182 - Batik Air Domestic UPG Hasanuddin ID-6182</v>
          </cell>
          <cell r="O166" t="str">
            <v>OF TJSL</v>
          </cell>
          <cell r="P166" t="str">
            <v>7412163</v>
          </cell>
          <cell r="Q166" t="str">
            <v>02/07/2025 23:00:00 - 03/07/2025 02:20:00</v>
          </cell>
          <cell r="R166">
            <v>1277800</v>
          </cell>
        </row>
        <row r="167">
          <cell r="A167">
            <v>1265146272</v>
          </cell>
          <cell r="B167" t="str">
            <v>93162777ZY</v>
          </cell>
          <cell r="C167" t="str">
            <v>KHAYRUNNISA B. MUHAMMADIA</v>
          </cell>
          <cell r="D167">
            <v>93167626</v>
          </cell>
          <cell r="E167">
            <v>4120176424</v>
          </cell>
          <cell r="F167">
            <v>54</v>
          </cell>
          <cell r="G167" t="str">
            <v>Perjalanan Dinas Non-Diklat</v>
          </cell>
          <cell r="H167" t="str">
            <v>Kota Makassar - Jakarta Timur</v>
          </cell>
          <cell r="I167" t="str">
            <v>30/06/2025 - 02/07/2025</v>
          </cell>
          <cell r="J167" t="str">
            <v>3</v>
          </cell>
          <cell r="K167" t="str">
            <v>Flight One Way</v>
          </cell>
          <cell r="M167" t="str">
            <v>30-06-2025 12:08:03</v>
          </cell>
          <cell r="N167" t="str">
            <v>Batik Air Domestic UPG Hasanuddin ID-6269 - Batik Air 2D CGK Soekarno Hatta International Airport ID-6269</v>
          </cell>
          <cell r="O167" t="str">
            <v>OF TJSL</v>
          </cell>
          <cell r="P167" t="str">
            <v>7412163</v>
          </cell>
          <cell r="Q167" t="str">
            <v>30/06/2025 20:25:00 - 30/06/2025 21:45:00</v>
          </cell>
          <cell r="R167">
            <v>1470000</v>
          </cell>
        </row>
        <row r="168">
          <cell r="A168">
            <v>1265155876</v>
          </cell>
          <cell r="B168" t="str">
            <v>93162777ZY</v>
          </cell>
          <cell r="C168" t="str">
            <v>KHAYRUNNISA B. MUHAMMADIA</v>
          </cell>
          <cell r="D168">
            <v>93167626</v>
          </cell>
          <cell r="E168">
            <v>4120176424</v>
          </cell>
          <cell r="F168">
            <v>54</v>
          </cell>
          <cell r="G168" t="str">
            <v>Perjalanan Dinas Non-Diklat</v>
          </cell>
          <cell r="H168" t="str">
            <v>Kota Makassar - Jakarta Timur</v>
          </cell>
          <cell r="I168" t="str">
            <v>30/06/2025 - 02/07/2025</v>
          </cell>
          <cell r="J168" t="str">
            <v>3</v>
          </cell>
          <cell r="K168" t="str">
            <v>Hotel</v>
          </cell>
          <cell r="M168" t="str">
            <v>30-06-2025 12:40:32</v>
          </cell>
          <cell r="N168" t="str">
            <v xml:space="preserve">Best Western Premier The Hive - 5.0 Stars  - </v>
          </cell>
          <cell r="O168" t="str">
            <v>OF TJSL</v>
          </cell>
          <cell r="P168" t="str">
            <v>7412163</v>
          </cell>
          <cell r="Q168" t="str">
            <v>30/06/2025 14:00:00 - 02/07/2025 12:00:00</v>
          </cell>
          <cell r="R168">
            <v>1440000</v>
          </cell>
        </row>
        <row r="169">
          <cell r="A169">
            <v>1265274178</v>
          </cell>
          <cell r="B169" t="str">
            <v>8808036F</v>
          </cell>
          <cell r="C169" t="str">
            <v xml:space="preserve">SYAHLAN </v>
          </cell>
          <cell r="D169">
            <v>88087602</v>
          </cell>
          <cell r="E169">
            <v>4120176427</v>
          </cell>
          <cell r="F169">
            <v>54</v>
          </cell>
          <cell r="G169" t="str">
            <v>Perjalanan Dinas Non-Diklat</v>
          </cell>
          <cell r="H169" t="str">
            <v>Kota Makassar - Jakarta Timur</v>
          </cell>
          <cell r="I169" t="str">
            <v>30/06/2025 - 02/07/2025</v>
          </cell>
          <cell r="J169" t="str">
            <v>3</v>
          </cell>
          <cell r="K169" t="str">
            <v>Hotel</v>
          </cell>
          <cell r="M169" t="str">
            <v>30-06-2025 19:33:54</v>
          </cell>
          <cell r="N169" t="str">
            <v xml:space="preserve">Vasaka Hotel Jakarta Managed by Dafam - 4.0 Stars  - </v>
          </cell>
          <cell r="O169" t="str">
            <v>ASMAN TJSL</v>
          </cell>
          <cell r="P169" t="str">
            <v>7412163</v>
          </cell>
          <cell r="Q169" t="str">
            <v>30/06/2025 14:00:00 - 02/07/2025 12:00:00</v>
          </cell>
          <cell r="R169">
            <v>1964250</v>
          </cell>
        </row>
        <row r="170">
          <cell r="A170">
            <v>1265363385</v>
          </cell>
          <cell r="B170" t="str">
            <v>8808036F</v>
          </cell>
          <cell r="C170" t="str">
            <v xml:space="preserve">SYAHLAN </v>
          </cell>
          <cell r="D170">
            <v>88087602</v>
          </cell>
          <cell r="E170">
            <v>4120176427</v>
          </cell>
          <cell r="F170">
            <v>54</v>
          </cell>
          <cell r="G170" t="str">
            <v>Perjalanan Dinas Non-Diklat</v>
          </cell>
          <cell r="H170" t="str">
            <v>Kota Makassar - Jakarta Timur</v>
          </cell>
          <cell r="I170" t="str">
            <v>30/06/2025 - 02/07/2025</v>
          </cell>
          <cell r="J170" t="str">
            <v>3</v>
          </cell>
          <cell r="K170" t="str">
            <v>Flight One Way</v>
          </cell>
          <cell r="M170" t="str">
            <v>01-07-2025 06:13:53</v>
          </cell>
          <cell r="N170" t="str">
            <v>Garuda Indonesia  CGK Soekarno Hatta International Airport GA-618 - Garuda Indonesia Domestic UPG Hasanuddin GA-618</v>
          </cell>
          <cell r="O170" t="str">
            <v>ASMAN TJSL</v>
          </cell>
          <cell r="P170" t="str">
            <v>7412163</v>
          </cell>
          <cell r="Q170" t="str">
            <v>02/07/2025 20:15:00 - 02/07/2025 23:50:00</v>
          </cell>
          <cell r="R170">
            <v>1717300</v>
          </cell>
        </row>
        <row r="171">
          <cell r="A171">
            <v>1265193088</v>
          </cell>
          <cell r="B171" t="str">
            <v>8808036F</v>
          </cell>
          <cell r="C171" t="str">
            <v xml:space="preserve">SYAHLAN </v>
          </cell>
          <cell r="D171">
            <v>88087602</v>
          </cell>
          <cell r="E171">
            <v>4120176427</v>
          </cell>
          <cell r="F171">
            <v>54</v>
          </cell>
          <cell r="G171" t="str">
            <v>Perjalanan Dinas Non-Diklat</v>
          </cell>
          <cell r="H171" t="str">
            <v>Kota Makassar - Jakarta Timur</v>
          </cell>
          <cell r="I171" t="str">
            <v>30/06/2025 - 02/07/2025</v>
          </cell>
          <cell r="J171" t="str">
            <v>3</v>
          </cell>
          <cell r="K171" t="str">
            <v>Flight One Way</v>
          </cell>
          <cell r="M171" t="str">
            <v>30-06-2025 14:46:26</v>
          </cell>
          <cell r="N171" t="str">
            <v>Citilink Domestic UPG Hasanuddin QG-427 - Citilink 1B CGK Soekarno Hatta International Airport QG-427</v>
          </cell>
          <cell r="O171" t="str">
            <v>ASMAN TJSL</v>
          </cell>
          <cell r="P171" t="str">
            <v>7412163</v>
          </cell>
          <cell r="Q171" t="str">
            <v>30/06/2025 20:15:00 - 30/06/2025 21:35:00</v>
          </cell>
          <cell r="R171">
            <v>1487300</v>
          </cell>
        </row>
        <row r="172">
          <cell r="A172">
            <v>1263978864</v>
          </cell>
          <cell r="B172" t="str">
            <v>9515043FY</v>
          </cell>
          <cell r="C172" t="str">
            <v xml:space="preserve">RIJAL </v>
          </cell>
          <cell r="D172">
            <v>96137786</v>
          </cell>
          <cell r="E172">
            <v>4120176278</v>
          </cell>
          <cell r="F172">
            <v>54</v>
          </cell>
          <cell r="G172" t="str">
            <v>Perjalanan Dinas Diklat</v>
          </cell>
          <cell r="H172" t="str">
            <v>Kota Makassar - Kota Semarang</v>
          </cell>
          <cell r="I172" t="str">
            <v>29/06/2025 - 04/07/2025</v>
          </cell>
          <cell r="J172" t="str">
            <v>6</v>
          </cell>
          <cell r="K172" t="str">
            <v>Flight Round-Trip</v>
          </cell>
          <cell r="M172" t="str">
            <v>26-06-2025 13:13:09</v>
          </cell>
          <cell r="N172" t="str">
            <v>Lion Air Domestic UPG Hasanuddin JT-909 - Lion Air Domestic SRG Achmad Yani JT-909</v>
          </cell>
          <cell r="O172" t="str">
            <v>JTC OP DAN HAR DIST</v>
          </cell>
          <cell r="P172" t="str">
            <v>74092813</v>
          </cell>
          <cell r="Q172" t="str">
            <v>29/06/2025 14:05:00 - 29/06/2025 14:50:00</v>
          </cell>
          <cell r="R172">
            <v>4295900</v>
          </cell>
        </row>
        <row r="173">
          <cell r="A173">
            <v>1266724518</v>
          </cell>
          <cell r="B173" t="str">
            <v>9718090FBY</v>
          </cell>
          <cell r="C173" t="str">
            <v>ANDI MUH. ADE ISMAIL BAHAR</v>
          </cell>
          <cell r="D173">
            <v>97187644</v>
          </cell>
          <cell r="E173">
            <v>4120176383</v>
          </cell>
          <cell r="F173">
            <v>54</v>
          </cell>
          <cell r="G173" t="str">
            <v>Perjalanan Dinas Diklat</v>
          </cell>
          <cell r="H173" t="str">
            <v>Kab. Bone - Kota Bandung</v>
          </cell>
          <cell r="I173" t="str">
            <v>29/06/2025 - 06/07/2025</v>
          </cell>
          <cell r="J173" t="str">
            <v>8</v>
          </cell>
          <cell r="K173" t="str">
            <v>Flight One Way</v>
          </cell>
          <cell r="M173" t="str">
            <v>05-07-2025 10:40:13</v>
          </cell>
          <cell r="N173" t="str">
            <v>Pelita Air 3 CGK Soekarno Hatta International Airport IP-500 - Pelita Air  UPG Hasanuddin IP-500</v>
          </cell>
          <cell r="O173" t="str">
            <v>JTC KONS DAN LOG</v>
          </cell>
          <cell r="P173" t="str">
            <v>7409621</v>
          </cell>
          <cell r="Q173" t="str">
            <v>06/07/2025 23:45:00 - 07/07/2025 03:10:00</v>
          </cell>
          <cell r="R173">
            <v>1395444</v>
          </cell>
        </row>
        <row r="174">
          <cell r="A174">
            <v>1264423704</v>
          </cell>
          <cell r="B174" t="str">
            <v>9718090FBY</v>
          </cell>
          <cell r="C174" t="str">
            <v>ANDI MUH. ADE ISMAIL BAHAR</v>
          </cell>
          <cell r="D174">
            <v>97187644</v>
          </cell>
          <cell r="E174">
            <v>4120176383</v>
          </cell>
          <cell r="F174">
            <v>54</v>
          </cell>
          <cell r="G174" t="str">
            <v>Perjalanan Dinas Diklat</v>
          </cell>
          <cell r="H174" t="str">
            <v>Kab. Bone - Kota Bandung</v>
          </cell>
          <cell r="I174" t="str">
            <v>29/06/2025 - 06/07/2025</v>
          </cell>
          <cell r="J174" t="str">
            <v>8</v>
          </cell>
          <cell r="K174" t="str">
            <v>Flight One Way</v>
          </cell>
          <cell r="M174" t="str">
            <v>27-06-2025 19:20:06</v>
          </cell>
          <cell r="N174" t="str">
            <v>Batik Air Domestic UPG Hasanuddin ID-6143 - Batik Air 2D CGK Soekarno Hatta International Airport ID-6143</v>
          </cell>
          <cell r="O174" t="str">
            <v>JTC KONS DAN LOG</v>
          </cell>
          <cell r="P174" t="str">
            <v>7409621</v>
          </cell>
          <cell r="Q174" t="str">
            <v>29/06/2025 15:55:00 - 29/06/2025 17:15:00</v>
          </cell>
          <cell r="R174">
            <v>2238600</v>
          </cell>
        </row>
        <row r="175">
          <cell r="A175">
            <v>1263876885</v>
          </cell>
          <cell r="B175" t="str">
            <v>9617039FBY</v>
          </cell>
          <cell r="C175" t="str">
            <v>GERRY SEPTIAN LABA WUWUR</v>
          </cell>
          <cell r="D175">
            <v>96177609</v>
          </cell>
          <cell r="E175">
            <v>4120176371</v>
          </cell>
          <cell r="F175">
            <v>54</v>
          </cell>
          <cell r="G175" t="str">
            <v>Perjalanan Dinas Diklat</v>
          </cell>
          <cell r="H175" t="str">
            <v>Kota Makassar - Kota Bandung</v>
          </cell>
          <cell r="I175" t="str">
            <v>27/06/2025 - 07/07/2025</v>
          </cell>
          <cell r="J175" t="str">
            <v>11</v>
          </cell>
          <cell r="K175" t="str">
            <v>Flight One Way</v>
          </cell>
          <cell r="M175" t="str">
            <v>26-06-2025 07:32:03</v>
          </cell>
          <cell r="N175" t="str">
            <v>Sriwijaya Air Domestic UPG Hasanuddin SJ-599 - Sriwijaya Air 1A CGK Soekarno Hatta International Airport SJ-599</v>
          </cell>
          <cell r="O175" t="str">
            <v>JTC OP DAN HAR DIST</v>
          </cell>
          <cell r="P175" t="str">
            <v>74092712</v>
          </cell>
          <cell r="Q175" t="str">
            <v>27/06/2025 19:50:00 - 27/06/2025 21:05:00</v>
          </cell>
          <cell r="R175">
            <v>1405900</v>
          </cell>
        </row>
        <row r="176">
          <cell r="A176">
            <v>1264258165</v>
          </cell>
          <cell r="B176" t="str">
            <v>9617039FBY</v>
          </cell>
          <cell r="C176" t="str">
            <v>GERRY SEPTIAN LABA WUWUR</v>
          </cell>
          <cell r="D176">
            <v>96177609</v>
          </cell>
          <cell r="E176">
            <v>4120176371</v>
          </cell>
          <cell r="F176">
            <v>54</v>
          </cell>
          <cell r="G176" t="str">
            <v>Perjalanan Dinas Diklat</v>
          </cell>
          <cell r="H176" t="str">
            <v>Kota Makassar - Kota Bandung</v>
          </cell>
          <cell r="I176" t="str">
            <v>27/06/2025 - 07/07/2025</v>
          </cell>
          <cell r="J176" t="str">
            <v>11</v>
          </cell>
          <cell r="K176" t="str">
            <v>Flight One Way</v>
          </cell>
          <cell r="M176" t="str">
            <v>27-06-2025 10:19:48</v>
          </cell>
          <cell r="N176" t="str">
            <v>Citilink 1B CGK Soekarno Hatta International Airport QG-212 - Citilink Domestic UPG Hasanuddin QG-212</v>
          </cell>
          <cell r="O176" t="str">
            <v>JTC OP DAN HAR DIST</v>
          </cell>
          <cell r="P176" t="str">
            <v>74092712</v>
          </cell>
          <cell r="Q176" t="str">
            <v>07/07/2025 05:10:00 - 07/07/2025 08:35:00</v>
          </cell>
          <cell r="R176">
            <v>1277400</v>
          </cell>
        </row>
        <row r="177">
          <cell r="A177">
            <v>1263715495</v>
          </cell>
          <cell r="B177" t="str">
            <v>9213048FY</v>
          </cell>
          <cell r="C177" t="str">
            <v>MUH ISWAR S</v>
          </cell>
          <cell r="D177">
            <v>92137646</v>
          </cell>
          <cell r="E177">
            <v>4120176382</v>
          </cell>
          <cell r="F177">
            <v>54</v>
          </cell>
          <cell r="G177" t="str">
            <v>Perjalanan Dinas Diklat</v>
          </cell>
          <cell r="H177" t="str">
            <v>Kab. Pinrang - Kota Semarang</v>
          </cell>
          <cell r="I177" t="str">
            <v>29/06/2025 - 04/07/2025</v>
          </cell>
          <cell r="J177" t="str">
            <v>6</v>
          </cell>
          <cell r="K177" t="str">
            <v>Flight Round-Trip</v>
          </cell>
          <cell r="M177" t="str">
            <v>25-06-2025 16:38:54</v>
          </cell>
          <cell r="N177" t="str">
            <v>Lion Air Domestic UPG Hasanuddin JT-909 - Lion Air Domestic SRG Achmad Yani JT-909</v>
          </cell>
          <cell r="O177" t="str">
            <v>OF KIN</v>
          </cell>
          <cell r="P177" t="str">
            <v>7409633</v>
          </cell>
          <cell r="Q177" t="str">
            <v>29/06/2025 14:05:00 - 29/06/2025 14:50:00</v>
          </cell>
          <cell r="R177">
            <v>2882500</v>
          </cell>
        </row>
        <row r="178">
          <cell r="A178">
            <v>1263703376</v>
          </cell>
          <cell r="B178" t="str">
            <v>9818127FBY</v>
          </cell>
          <cell r="C178" t="str">
            <v>MUHAMMAD FADLAN</v>
          </cell>
          <cell r="D178">
            <v>98187616</v>
          </cell>
          <cell r="E178">
            <v>4120176374</v>
          </cell>
          <cell r="F178">
            <v>54</v>
          </cell>
          <cell r="G178" t="str">
            <v>Perjalanan Dinas Diklat</v>
          </cell>
          <cell r="H178" t="str">
            <v>Kab. Pinrang - Kota Semarang</v>
          </cell>
          <cell r="I178" t="str">
            <v>29/06/2025 - 04/07/2025</v>
          </cell>
          <cell r="J178" t="str">
            <v>6</v>
          </cell>
          <cell r="K178" t="str">
            <v>Flight Round-Trip</v>
          </cell>
          <cell r="M178" t="str">
            <v>25-06-2025 15:57:56</v>
          </cell>
          <cell r="N178" t="str">
            <v>Lion Air Domestic UPG Hasanuddin JT-909 - Lion Air Domestic SRG Achmad Yani JT-909</v>
          </cell>
          <cell r="O178" t="str">
            <v>JTC OP DAN HAR DIST</v>
          </cell>
          <cell r="P178" t="str">
            <v>7409631</v>
          </cell>
          <cell r="Q178" t="str">
            <v>29/06/2025 14:05:00 - 29/06/2025 14:50:00</v>
          </cell>
          <cell r="R178">
            <v>2882500</v>
          </cell>
        </row>
        <row r="179">
          <cell r="A179">
            <v>1263704879</v>
          </cell>
          <cell r="B179" t="str">
            <v>9818150FBY</v>
          </cell>
          <cell r="C179" t="str">
            <v>TRI ALFIAN LANDUNG</v>
          </cell>
          <cell r="D179">
            <v>98187642</v>
          </cell>
          <cell r="E179">
            <v>4120176343</v>
          </cell>
          <cell r="F179">
            <v>54</v>
          </cell>
          <cell r="G179" t="str">
            <v>Perjalanan Dinas Diklat</v>
          </cell>
          <cell r="H179" t="str">
            <v>Kab. Pinrang - Kota Semarang</v>
          </cell>
          <cell r="I179" t="str">
            <v>29/06/2025 - 04/07/2025</v>
          </cell>
          <cell r="J179" t="str">
            <v>6</v>
          </cell>
          <cell r="K179" t="str">
            <v>Flight Round-Trip</v>
          </cell>
          <cell r="M179" t="str">
            <v>25-06-2025 16:02:23</v>
          </cell>
          <cell r="N179" t="str">
            <v>Lion Air Domestic UPG Hasanuddin JT-909 - Lion Air Domestic SRG Achmad Yani JT-909</v>
          </cell>
          <cell r="O179" t="str">
            <v>JTC BUNGTUS</v>
          </cell>
          <cell r="P179" t="str">
            <v>7409631</v>
          </cell>
          <cell r="Q179" t="str">
            <v>29/06/2025 14:05:00 - 29/06/2025 14:50:00</v>
          </cell>
          <cell r="R179">
            <v>2882500</v>
          </cell>
        </row>
        <row r="180">
          <cell r="A180">
            <v>1263708695</v>
          </cell>
          <cell r="B180" t="str">
            <v>9616064FY</v>
          </cell>
          <cell r="C180" t="str">
            <v>ANDRI KURNIAWAN</v>
          </cell>
          <cell r="D180">
            <v>96167820</v>
          </cell>
          <cell r="E180">
            <v>4120176333</v>
          </cell>
          <cell r="F180">
            <v>54</v>
          </cell>
          <cell r="G180" t="str">
            <v>Perjalanan Dinas Diklat</v>
          </cell>
          <cell r="H180" t="str">
            <v>Kab. Pinrang - Kota Semarang</v>
          </cell>
          <cell r="I180" t="str">
            <v>29/06/2025 - 04/07/2025</v>
          </cell>
          <cell r="J180" t="str">
            <v>6</v>
          </cell>
          <cell r="K180" t="str">
            <v>Flight Round-Trip</v>
          </cell>
          <cell r="M180" t="str">
            <v>25-06-2025 16:15:32</v>
          </cell>
          <cell r="N180" t="str">
            <v>Lion Air Domestic UPG Hasanuddin JT-909 - Lion Air Domestic SRG Achmad Yani JT-909</v>
          </cell>
          <cell r="O180" t="str">
            <v>JTC OP DAN HAR DIST</v>
          </cell>
          <cell r="P180" t="str">
            <v>7409632</v>
          </cell>
          <cell r="Q180" t="str">
            <v>29/06/2025 14:05:00 - 29/06/2025 14:50:00</v>
          </cell>
          <cell r="R180">
            <v>2882500</v>
          </cell>
        </row>
        <row r="181">
          <cell r="A181">
            <v>1263565364</v>
          </cell>
          <cell r="B181" t="str">
            <v>8308017F</v>
          </cell>
          <cell r="C181" t="str">
            <v xml:space="preserve">YUSDI </v>
          </cell>
          <cell r="D181">
            <v>83087609</v>
          </cell>
          <cell r="E181">
            <v>4120176376</v>
          </cell>
          <cell r="F181">
            <v>54</v>
          </cell>
          <cell r="G181" t="str">
            <v>Perjalanan Dinas Diklat</v>
          </cell>
          <cell r="H181" t="str">
            <v>Kab. Bone - Kab. Semarang</v>
          </cell>
          <cell r="I181" t="str">
            <v>29/06/2025 - 04/07/2025</v>
          </cell>
          <cell r="J181" t="str">
            <v>6</v>
          </cell>
          <cell r="K181" t="str">
            <v>Flight Round-Trip</v>
          </cell>
          <cell r="M181" t="str">
            <v>25-06-2025 08:26:41</v>
          </cell>
          <cell r="N181" t="str">
            <v>Lion Air Domestic UPG Hasanuddin JT-909 - Lion Air Domestic SRG Achmad Yani JT-909</v>
          </cell>
          <cell r="O181" t="str">
            <v>TL PDKB</v>
          </cell>
          <cell r="P181" t="str">
            <v>7409231</v>
          </cell>
          <cell r="Q181" t="str">
            <v>29/06/2025 14:05:00 - 29/06/2025 14:50:00</v>
          </cell>
          <cell r="R181">
            <v>2882500</v>
          </cell>
        </row>
        <row r="182">
          <cell r="A182">
            <v>1263418268</v>
          </cell>
          <cell r="B182" t="str">
            <v>8609336Z</v>
          </cell>
          <cell r="C182" t="str">
            <v>RATHY SHINTA UTAMI</v>
          </cell>
          <cell r="D182">
            <v>86093800</v>
          </cell>
          <cell r="E182">
            <v>4120176369</v>
          </cell>
          <cell r="F182">
            <v>54</v>
          </cell>
          <cell r="G182" t="str">
            <v>Perjalanan Dinas Non-Diklat</v>
          </cell>
          <cell r="H182" t="str">
            <v>Kota Makassar - Kota Surabaya</v>
          </cell>
          <cell r="I182" t="str">
            <v>25/06/2025 - 28/06/2025</v>
          </cell>
          <cell r="J182" t="str">
            <v>4</v>
          </cell>
          <cell r="K182" t="str">
            <v>Flight One Way</v>
          </cell>
          <cell r="M182" t="str">
            <v>24-06-2025 17:30:22</v>
          </cell>
          <cell r="N182" t="str">
            <v>Batik Air Domestic UPG Hasanuddin ID-6137 - Batik Air 1 SUB Juanda ID-6137</v>
          </cell>
          <cell r="O182" t="str">
            <v>SPC KIN DIST</v>
          </cell>
          <cell r="P182" t="str">
            <v>7412000</v>
          </cell>
          <cell r="Q182" t="str">
            <v>25/06/2025 19:20:00 - 25/06/2025 19:50:00</v>
          </cell>
          <cell r="R182">
            <v>1428700</v>
          </cell>
        </row>
        <row r="183">
          <cell r="A183">
            <v>1264562497</v>
          </cell>
          <cell r="B183" t="str">
            <v>8609336Z</v>
          </cell>
          <cell r="C183" t="str">
            <v>RATHY SHINTA UTAMI</v>
          </cell>
          <cell r="D183">
            <v>86093800</v>
          </cell>
          <cell r="E183">
            <v>4120176369</v>
          </cell>
          <cell r="F183">
            <v>54</v>
          </cell>
          <cell r="G183" t="str">
            <v>Perjalanan Dinas Non-Diklat</v>
          </cell>
          <cell r="H183" t="str">
            <v>Kota Makassar - Kota Surabaya</v>
          </cell>
          <cell r="I183" t="str">
            <v>25/06/2025 - 28/06/2025</v>
          </cell>
          <cell r="J183" t="str">
            <v>4</v>
          </cell>
          <cell r="K183" t="str">
            <v>Flight One Way</v>
          </cell>
          <cell r="M183" t="str">
            <v>28-06-2025 10:04:25</v>
          </cell>
          <cell r="N183" t="str">
            <v>Batik Air 1 SUB Juanda ID-6136 - Batik Air Domestic UPG Hasanuddin ID-6136</v>
          </cell>
          <cell r="O183" t="str">
            <v>SPC KIN DIST</v>
          </cell>
          <cell r="P183" t="str">
            <v>7412000</v>
          </cell>
          <cell r="Q183" t="str">
            <v>28/06/2025 22:00:00 - 29/06/2025 00:30:00</v>
          </cell>
          <cell r="R183">
            <v>1154700</v>
          </cell>
        </row>
        <row r="184">
          <cell r="A184">
            <v>1263428914</v>
          </cell>
          <cell r="B184" t="str">
            <v>7805001M</v>
          </cell>
          <cell r="C184" t="str">
            <v>ALAMSYAH ANWAR</v>
          </cell>
          <cell r="D184">
            <v>78050000</v>
          </cell>
          <cell r="E184">
            <v>4120176370</v>
          </cell>
          <cell r="F184">
            <v>54</v>
          </cell>
          <cell r="G184" t="str">
            <v>Perjalanan Dinas Non-Diklat</v>
          </cell>
          <cell r="H184" t="str">
            <v>Kota Makassar - Kota Surabaya</v>
          </cell>
          <cell r="I184" t="str">
            <v>25/06/2025 - 27/06/2025</v>
          </cell>
          <cell r="J184" t="str">
            <v>3</v>
          </cell>
          <cell r="K184" t="str">
            <v>Hotel</v>
          </cell>
          <cell r="M184" t="str">
            <v>24-06-2025 18:10:03</v>
          </cell>
          <cell r="N184" t="str">
            <v xml:space="preserve">Kampi Hotel Tunjungan – Surabaya - 3.0 Stars  - </v>
          </cell>
          <cell r="O184" t="str">
            <v>SPC KIN DIST</v>
          </cell>
          <cell r="P184" t="str">
            <v>7412000</v>
          </cell>
          <cell r="Q184" t="str">
            <v>25/06/2025 14:00:00 - 26/06/2025 12:00:00</v>
          </cell>
          <cell r="R184">
            <v>651000</v>
          </cell>
        </row>
        <row r="185">
          <cell r="A185">
            <v>1263411803</v>
          </cell>
          <cell r="B185" t="str">
            <v>7805001M</v>
          </cell>
          <cell r="C185" t="str">
            <v>ALAMSYAH ANWAR</v>
          </cell>
          <cell r="D185">
            <v>78050000</v>
          </cell>
          <cell r="E185">
            <v>4120176370</v>
          </cell>
          <cell r="F185">
            <v>54</v>
          </cell>
          <cell r="G185" t="str">
            <v>Perjalanan Dinas Non-Diklat</v>
          </cell>
          <cell r="H185" t="str">
            <v>Kota Makassar - Kota Surabaya</v>
          </cell>
          <cell r="I185" t="str">
            <v>25/06/2025 - 27/06/2025</v>
          </cell>
          <cell r="J185" t="str">
            <v>3</v>
          </cell>
          <cell r="K185" t="str">
            <v>Flight One Way</v>
          </cell>
          <cell r="M185" t="str">
            <v>24-06-2025 17:06:50</v>
          </cell>
          <cell r="N185" t="str">
            <v>Citilink Domestic UPG Hasanuddin QG-351 - Citilink 1A SUB Juanda QG-351</v>
          </cell>
          <cell r="O185" t="str">
            <v>SPC KIN DIST</v>
          </cell>
          <cell r="P185" t="str">
            <v>7412000</v>
          </cell>
          <cell r="Q185" t="str">
            <v>25/06/2025 08:55:00 - 25/06/2025 09:30:00</v>
          </cell>
          <cell r="R185">
            <v>1407000</v>
          </cell>
        </row>
        <row r="186">
          <cell r="A186">
            <v>1263863584</v>
          </cell>
          <cell r="B186" t="str">
            <v>7805001M</v>
          </cell>
          <cell r="C186" t="str">
            <v>ALAMSYAH ANWAR</v>
          </cell>
          <cell r="D186">
            <v>78050000</v>
          </cell>
          <cell r="E186">
            <v>4120176370</v>
          </cell>
          <cell r="F186">
            <v>54</v>
          </cell>
          <cell r="G186" t="str">
            <v>Perjalanan Dinas Non-Diklat</v>
          </cell>
          <cell r="H186" t="str">
            <v>Kota Makassar - Kota Surabaya</v>
          </cell>
          <cell r="I186" t="str">
            <v>25/06/2025 - 27/06/2025</v>
          </cell>
          <cell r="J186" t="str">
            <v>3</v>
          </cell>
          <cell r="K186" t="str">
            <v>Hotel</v>
          </cell>
          <cell r="M186" t="str">
            <v>26-06-2025 06:04:42</v>
          </cell>
          <cell r="N186" t="str">
            <v xml:space="preserve">Kampi Hotel Tunjungan – Surabaya - 3.0 Stars  - </v>
          </cell>
          <cell r="O186" t="str">
            <v>SPC KIN DIST</v>
          </cell>
          <cell r="P186" t="str">
            <v>7412000</v>
          </cell>
          <cell r="Q186" t="str">
            <v>26/06/2025 14:00:00 - 27/06/2025 12:00:00</v>
          </cell>
          <cell r="R186">
            <v>735603</v>
          </cell>
        </row>
        <row r="187">
          <cell r="A187">
            <v>1264053147</v>
          </cell>
          <cell r="B187" t="str">
            <v>7805001M</v>
          </cell>
          <cell r="C187" t="str">
            <v>ALAMSYAH ANWAR</v>
          </cell>
          <cell r="D187">
            <v>78050000</v>
          </cell>
          <cell r="E187">
            <v>4120176370</v>
          </cell>
          <cell r="F187">
            <v>54</v>
          </cell>
          <cell r="G187" t="str">
            <v>Perjalanan Dinas Non-Diklat</v>
          </cell>
          <cell r="H187" t="str">
            <v>Kota Makassar - Kota Surabaya</v>
          </cell>
          <cell r="I187" t="str">
            <v>25/06/2025 - 27/06/2025</v>
          </cell>
          <cell r="J187" t="str">
            <v>3</v>
          </cell>
          <cell r="K187" t="str">
            <v>Flight One Way</v>
          </cell>
          <cell r="M187" t="str">
            <v>26-06-2025 17:06:20</v>
          </cell>
          <cell r="N187" t="str">
            <v>Citilink 1A SUB Juanda QG-354 - Citilink Domestic UPG Hasanuddin QG-354</v>
          </cell>
          <cell r="O187" t="str">
            <v>SPC KIN DIST</v>
          </cell>
          <cell r="P187" t="str">
            <v>7412000</v>
          </cell>
          <cell r="Q187" t="str">
            <v>26/06/2025 21:30:00 - 27/06/2025 00:00:00</v>
          </cell>
          <cell r="R187">
            <v>1155000</v>
          </cell>
        </row>
        <row r="188">
          <cell r="A188">
            <v>1263305364</v>
          </cell>
          <cell r="B188" t="str">
            <v>7904006F</v>
          </cell>
          <cell r="C188" t="str">
            <v>YULI ASHANIAIS RAMADANI</v>
          </cell>
          <cell r="D188">
            <v>79047601</v>
          </cell>
          <cell r="E188">
            <v>4120176364</v>
          </cell>
          <cell r="F188">
            <v>54</v>
          </cell>
          <cell r="G188" t="str">
            <v>Perjalanan Dinas Non-Diklat</v>
          </cell>
          <cell r="H188" t="str">
            <v>Kota Makassar - Kota Surabaya</v>
          </cell>
          <cell r="I188" t="str">
            <v>25/06/2025 - 28/06/2025</v>
          </cell>
          <cell r="J188" t="str">
            <v>4</v>
          </cell>
          <cell r="K188" t="str">
            <v>Hotel</v>
          </cell>
          <cell r="M188" t="str">
            <v>24-06-2025 10:57:36</v>
          </cell>
          <cell r="N188" t="str">
            <v xml:space="preserve">Kampi Hotel Tunjungan – Surabaya - 3.0 Stars  - </v>
          </cell>
          <cell r="O188" t="str">
            <v>SM AGA DAN MANJ GAN</v>
          </cell>
          <cell r="P188" t="str">
            <v>7411140</v>
          </cell>
          <cell r="Q188" t="str">
            <v>25/06/2025 14:00:00 - 26/06/2025 12:00:00</v>
          </cell>
          <cell r="R188">
            <v>995100</v>
          </cell>
        </row>
        <row r="189">
          <cell r="A189">
            <v>1264562505</v>
          </cell>
          <cell r="B189" t="str">
            <v>7904006F</v>
          </cell>
          <cell r="C189" t="str">
            <v>YULI ASHANIAIS RAMADANI</v>
          </cell>
          <cell r="D189">
            <v>79047601</v>
          </cell>
          <cell r="E189">
            <v>4120176364</v>
          </cell>
          <cell r="F189">
            <v>54</v>
          </cell>
          <cell r="G189" t="str">
            <v>Perjalanan Dinas Non-Diklat</v>
          </cell>
          <cell r="H189" t="str">
            <v>Kota Makassar - Kota Surabaya</v>
          </cell>
          <cell r="I189" t="str">
            <v>25/06/2025 - 28/06/2025</v>
          </cell>
          <cell r="J189" t="str">
            <v>4</v>
          </cell>
          <cell r="K189" t="str">
            <v>Flight One Way</v>
          </cell>
          <cell r="M189" t="str">
            <v>28-06-2025 10:04:31</v>
          </cell>
          <cell r="N189" t="str">
            <v>Batik Air 1 SUB Juanda ID-6136 - Batik Air Domestic UPG Hasanuddin ID-6136</v>
          </cell>
          <cell r="O189" t="str">
            <v>SM AGA DAN MANJ GAN</v>
          </cell>
          <cell r="P189" t="str">
            <v>7411140</v>
          </cell>
          <cell r="Q189" t="str">
            <v>28/06/2025 22:00:00 - 29/06/2025 00:30:00</v>
          </cell>
          <cell r="R189">
            <v>1154700</v>
          </cell>
        </row>
        <row r="190">
          <cell r="A190">
            <v>1263302819</v>
          </cell>
          <cell r="B190" t="str">
            <v>7904006F</v>
          </cell>
          <cell r="C190" t="str">
            <v>YULI ASHANIAIS RAMADANI</v>
          </cell>
          <cell r="D190">
            <v>79047601</v>
          </cell>
          <cell r="E190">
            <v>4120176364</v>
          </cell>
          <cell r="F190">
            <v>54</v>
          </cell>
          <cell r="G190" t="str">
            <v>Perjalanan Dinas Non-Diklat</v>
          </cell>
          <cell r="H190" t="str">
            <v>Kota Makassar - Kota Surabaya</v>
          </cell>
          <cell r="I190" t="str">
            <v>25/06/2025 - 28/06/2025</v>
          </cell>
          <cell r="J190" t="str">
            <v>4</v>
          </cell>
          <cell r="K190" t="str">
            <v>Flight One Way</v>
          </cell>
          <cell r="M190" t="str">
            <v>24-06-2025 10:50:10</v>
          </cell>
          <cell r="N190" t="str">
            <v>Batik Air Domestic UPG Hasanuddin ID-6137 - Batik Air 1 SUB Juanda ID-6137</v>
          </cell>
          <cell r="O190" t="str">
            <v>SM AGA DAN MANJ GAN</v>
          </cell>
          <cell r="P190" t="str">
            <v>7411140</v>
          </cell>
          <cell r="Q190" t="str">
            <v>25/06/2025 19:20:00 - 25/06/2025 19:50:00</v>
          </cell>
          <cell r="R190">
            <v>1498000</v>
          </cell>
        </row>
        <row r="191">
          <cell r="A191">
            <v>1263294551</v>
          </cell>
          <cell r="B191" t="str">
            <v>8710466Z</v>
          </cell>
          <cell r="C191" t="str">
            <v>PRADIKTA CENDIKA</v>
          </cell>
          <cell r="D191">
            <v>87107608</v>
          </cell>
          <cell r="E191">
            <v>4120176355</v>
          </cell>
          <cell r="F191">
            <v>54</v>
          </cell>
          <cell r="G191" t="str">
            <v>Perjalanan Dinas Non-Diklat</v>
          </cell>
          <cell r="H191" t="str">
            <v>Kota Makassar - Jakarta Pusat</v>
          </cell>
          <cell r="I191" t="str">
            <v>24/06/2025 - 27/06/2025</v>
          </cell>
          <cell r="J191" t="str">
            <v>4</v>
          </cell>
          <cell r="K191" t="str">
            <v>Flight One Way</v>
          </cell>
          <cell r="M191" t="str">
            <v>24-06-2025 10:22:03</v>
          </cell>
          <cell r="N191" t="str">
            <v>Garuda Indonesia Domestic UPG Hasanuddin GA-619 - Garuda Indonesia  CGK Soekarno Hatta International Airport GA-619</v>
          </cell>
          <cell r="O191" t="str">
            <v>MAN EFS, UKUR DAN MUTU SIS DIST</v>
          </cell>
          <cell r="P191" t="str">
            <v>7412000</v>
          </cell>
          <cell r="Q191" t="str">
            <v>25/06/2025 05:25:00 - 25/06/2025 06:55:00</v>
          </cell>
          <cell r="R191">
            <v>1906000</v>
          </cell>
        </row>
        <row r="192">
          <cell r="A192">
            <v>1263301592</v>
          </cell>
          <cell r="B192" t="str">
            <v>7095015F</v>
          </cell>
          <cell r="C192" t="str">
            <v xml:space="preserve">EDYANSYAH </v>
          </cell>
          <cell r="D192">
            <v>70957602</v>
          </cell>
          <cell r="E192">
            <v>4120176362</v>
          </cell>
          <cell r="F192">
            <v>54</v>
          </cell>
          <cell r="G192" t="str">
            <v>Perjalanan Dinas Non-Diklat</v>
          </cell>
          <cell r="H192" t="str">
            <v>Kota Makassar - Kota Surabaya</v>
          </cell>
          <cell r="I192" t="str">
            <v>25/06/2025 - 28/06/2025</v>
          </cell>
          <cell r="J192" t="str">
            <v>4</v>
          </cell>
          <cell r="K192" t="str">
            <v>Hotel</v>
          </cell>
          <cell r="M192" t="str">
            <v>24-06-2025 10:45:36</v>
          </cell>
          <cell r="N192" t="str">
            <v xml:space="preserve">Kampi Hotel Tunjungan – Surabaya - 3.0 Stars  - </v>
          </cell>
          <cell r="O192" t="str">
            <v>GM</v>
          </cell>
          <cell r="P192" t="str">
            <v>7412000</v>
          </cell>
          <cell r="Q192" t="str">
            <v>25/06/2025 14:00:00 - 27/06/2025 12:00:00</v>
          </cell>
          <cell r="R192">
            <v>1968800</v>
          </cell>
        </row>
        <row r="193">
          <cell r="A193">
            <v>1263297998</v>
          </cell>
          <cell r="B193" t="str">
            <v>7095015F</v>
          </cell>
          <cell r="C193" t="str">
            <v xml:space="preserve">EDYANSYAH </v>
          </cell>
          <cell r="D193">
            <v>70957602</v>
          </cell>
          <cell r="E193">
            <v>4120176362</v>
          </cell>
          <cell r="F193">
            <v>54</v>
          </cell>
          <cell r="G193" t="str">
            <v>Perjalanan Dinas Non-Diklat</v>
          </cell>
          <cell r="H193" t="str">
            <v>Kota Makassar - Kota Surabaya</v>
          </cell>
          <cell r="I193" t="str">
            <v>25/06/2025 - 28/06/2025</v>
          </cell>
          <cell r="J193" t="str">
            <v>4</v>
          </cell>
          <cell r="K193" t="str">
            <v>Flight One Way</v>
          </cell>
          <cell r="M193" t="str">
            <v>24-06-2025 10:33:54</v>
          </cell>
          <cell r="N193" t="str">
            <v>Batik Air Domestic UPG Hasanuddin ID-6137 - Batik Air 1 SUB Juanda ID-6137</v>
          </cell>
          <cell r="O193" t="str">
            <v>GM</v>
          </cell>
          <cell r="P193" t="str">
            <v>7412000</v>
          </cell>
          <cell r="Q193" t="str">
            <v>25/06/2025 19:20:00 - 25/06/2025 19:50:00</v>
          </cell>
          <cell r="R193">
            <v>1498000</v>
          </cell>
        </row>
        <row r="194">
          <cell r="A194">
            <v>1264138577</v>
          </cell>
          <cell r="B194" t="str">
            <v>89112379Z</v>
          </cell>
          <cell r="C194" t="str">
            <v xml:space="preserve">ZUNARYATI </v>
          </cell>
          <cell r="D194">
            <v>89117603</v>
          </cell>
          <cell r="E194">
            <v>4120176348</v>
          </cell>
          <cell r="F194">
            <v>54</v>
          </cell>
          <cell r="G194" t="str">
            <v>Perjalanan Dinas Non-Diklat</v>
          </cell>
          <cell r="H194" t="str">
            <v>Kota Makassar - Jakarta Pusat</v>
          </cell>
          <cell r="I194" t="str">
            <v>24/06/2025 - 27/06/2025</v>
          </cell>
          <cell r="J194" t="str">
            <v>4</v>
          </cell>
          <cell r="K194" t="str">
            <v>Flight One Way</v>
          </cell>
          <cell r="M194" t="str">
            <v>26-06-2025 21:36:13</v>
          </cell>
          <cell r="N194" t="str">
            <v>Citilink 1B CGK Soekarno Hatta International Airport QG-426 - Citilink Domestic UPG Hasanuddin QG-426</v>
          </cell>
          <cell r="O194" t="str">
            <v>OF DAL P2TL</v>
          </cell>
          <cell r="P194" t="str">
            <v>7412000</v>
          </cell>
          <cell r="Q194" t="str">
            <v>27/06/2025 16:30:00 - 27/06/2025 19:55:00</v>
          </cell>
          <cell r="R194">
            <v>1719400</v>
          </cell>
        </row>
        <row r="195">
          <cell r="A195">
            <v>1263170201</v>
          </cell>
          <cell r="B195" t="str">
            <v>89112379Z</v>
          </cell>
          <cell r="C195" t="str">
            <v xml:space="preserve">ZUNARYATI </v>
          </cell>
          <cell r="D195">
            <v>89117603</v>
          </cell>
          <cell r="E195">
            <v>4120176348</v>
          </cell>
          <cell r="F195">
            <v>54</v>
          </cell>
          <cell r="G195" t="str">
            <v>Perjalanan Dinas Non-Diklat</v>
          </cell>
          <cell r="H195" t="str">
            <v>Kota Makassar - Jakarta Pusat</v>
          </cell>
          <cell r="I195" t="str">
            <v>24/06/2025 - 27/06/2025</v>
          </cell>
          <cell r="J195" t="str">
            <v>4</v>
          </cell>
          <cell r="K195" t="str">
            <v>Flight One Way</v>
          </cell>
          <cell r="M195" t="str">
            <v>23-06-2025 20:13:27</v>
          </cell>
          <cell r="N195" t="str">
            <v>Garuda Indonesia Domestic UPG Hasanuddin GA-609 - Garuda Indonesia  CGK Soekarno Hatta International Airport GA-609</v>
          </cell>
          <cell r="O195" t="str">
            <v>OF DAL P2TL</v>
          </cell>
          <cell r="P195" t="str">
            <v>7412000</v>
          </cell>
          <cell r="Q195" t="str">
            <v>24/06/2025 18:05:00 - 24/06/2025 19:30:00</v>
          </cell>
          <cell r="R195">
            <v>1906000</v>
          </cell>
        </row>
        <row r="196">
          <cell r="A196">
            <v>1263249770</v>
          </cell>
          <cell r="B196" t="str">
            <v>7293035F</v>
          </cell>
          <cell r="C196" t="str">
            <v>BASO NURAHMAN</v>
          </cell>
          <cell r="D196">
            <v>72937611</v>
          </cell>
          <cell r="E196">
            <v>4120176354</v>
          </cell>
          <cell r="F196">
            <v>54</v>
          </cell>
          <cell r="G196" t="str">
            <v>Perjalanan Dinas Non-Diklat</v>
          </cell>
          <cell r="H196" t="str">
            <v>Kota Makassar - Kota Surabaya</v>
          </cell>
          <cell r="I196" t="str">
            <v>24/06/2025 - 27/06/2025</v>
          </cell>
          <cell r="J196" t="str">
            <v>4</v>
          </cell>
          <cell r="K196" t="str">
            <v>Flight One Way</v>
          </cell>
          <cell r="M196" t="str">
            <v>24-06-2025 07:02:13</v>
          </cell>
          <cell r="N196" t="str">
            <v>Batik Air Domestic UPG Hasanuddin ID-6137 - Batik Air 1 SUB Juanda ID-6137</v>
          </cell>
          <cell r="O196" t="str">
            <v>MAN REN PNGUSHAN</v>
          </cell>
          <cell r="P196" t="str">
            <v>7412111</v>
          </cell>
          <cell r="Q196" t="str">
            <v>24/06/2025 19:20:00 - 24/06/2025 19:50:00</v>
          </cell>
          <cell r="R196">
            <v>1428700</v>
          </cell>
        </row>
        <row r="197">
          <cell r="A197">
            <v>1263764305</v>
          </cell>
          <cell r="B197" t="str">
            <v>7293035F</v>
          </cell>
          <cell r="C197" t="str">
            <v>BASO NURAHMAN</v>
          </cell>
          <cell r="D197">
            <v>72937611</v>
          </cell>
          <cell r="E197">
            <v>4120176354</v>
          </cell>
          <cell r="F197">
            <v>54</v>
          </cell>
          <cell r="G197" t="str">
            <v>Perjalanan Dinas Non-Diklat</v>
          </cell>
          <cell r="H197" t="str">
            <v>Kota Makassar - Kota Surabaya</v>
          </cell>
          <cell r="I197" t="str">
            <v>24/06/2025 - 27/06/2025</v>
          </cell>
          <cell r="J197" t="str">
            <v>4</v>
          </cell>
          <cell r="K197" t="str">
            <v>Flight One Way</v>
          </cell>
          <cell r="M197" t="str">
            <v>25-06-2025 19:25:38</v>
          </cell>
          <cell r="N197" t="str">
            <v>Citilink 1A SUB Juanda QG-354 - Citilink Domestic UPG Hasanuddin QG-354</v>
          </cell>
          <cell r="O197" t="str">
            <v>MAN REN PNGUSHAN</v>
          </cell>
          <cell r="P197" t="str">
            <v>7412111</v>
          </cell>
          <cell r="Q197" t="str">
            <v>26/06/2025 21:15:00 - 26/06/2025 23:45:00</v>
          </cell>
          <cell r="R197">
            <v>1253700</v>
          </cell>
        </row>
        <row r="198">
          <cell r="A198">
            <v>1263252000</v>
          </cell>
          <cell r="B198" t="str">
            <v>7293035F</v>
          </cell>
          <cell r="C198" t="str">
            <v>BASO NURAHMAN</v>
          </cell>
          <cell r="D198">
            <v>72937611</v>
          </cell>
          <cell r="E198">
            <v>4120176354</v>
          </cell>
          <cell r="F198">
            <v>54</v>
          </cell>
          <cell r="G198" t="str">
            <v>Perjalanan Dinas Non-Diklat</v>
          </cell>
          <cell r="H198" t="str">
            <v>Kota Makassar - Kota Surabaya</v>
          </cell>
          <cell r="I198" t="str">
            <v>24/06/2025 - 27/06/2025</v>
          </cell>
          <cell r="J198" t="str">
            <v>4</v>
          </cell>
          <cell r="K198" t="str">
            <v>Hotel</v>
          </cell>
          <cell r="M198" t="str">
            <v>24-06-2025 07:17:50</v>
          </cell>
          <cell r="N198" t="str">
            <v xml:space="preserve">Wyndham Surabaya - 5.0 Stars  - </v>
          </cell>
          <cell r="O198" t="str">
            <v>MAN REN PNGUSHAN</v>
          </cell>
          <cell r="P198" t="str">
            <v>7412111</v>
          </cell>
          <cell r="Q198" t="str">
            <v>24/06/2025 14:00:00 - 26/06/2025 12:00:00</v>
          </cell>
          <cell r="R198">
            <v>2730000</v>
          </cell>
        </row>
        <row r="199">
          <cell r="A199">
            <v>1263568417</v>
          </cell>
          <cell r="B199" t="str">
            <v>8610591Z</v>
          </cell>
          <cell r="C199" t="str">
            <v>YUSUF TRIADI</v>
          </cell>
          <cell r="D199">
            <v>86108001</v>
          </cell>
          <cell r="E199">
            <v>4120176349</v>
          </cell>
          <cell r="F199">
            <v>54</v>
          </cell>
          <cell r="G199" t="str">
            <v>Perjalanan Dinas Non-Diklat</v>
          </cell>
          <cell r="H199" t="str">
            <v>Kota Makassar - Kota Surabaya</v>
          </cell>
          <cell r="I199" t="str">
            <v>24/06/2025 - 26/06/2025</v>
          </cell>
          <cell r="J199" t="str">
            <v>3</v>
          </cell>
          <cell r="K199" t="str">
            <v>Flight One Way</v>
          </cell>
          <cell r="M199" t="str">
            <v>25-06-2025 08:39:37</v>
          </cell>
          <cell r="N199" t="str">
            <v>Lion Air 1A SUB Juanda JT-882 - Lion Air Domestic UPG Hasanuddin JT-882</v>
          </cell>
          <cell r="O199" t="str">
            <v>ASMAN MRO, KPT, DAN SMT</v>
          </cell>
          <cell r="P199" t="str">
            <v>7412111</v>
          </cell>
          <cell r="Q199" t="str">
            <v>26/06/2025 06:00:00 - 26/06/2025 08:30:00</v>
          </cell>
          <cell r="R199">
            <v>1349200</v>
          </cell>
        </row>
        <row r="200">
          <cell r="A200">
            <v>1263251344</v>
          </cell>
          <cell r="B200" t="str">
            <v>8610591Z</v>
          </cell>
          <cell r="C200" t="str">
            <v>YUSUF TRIADI</v>
          </cell>
          <cell r="D200">
            <v>86108001</v>
          </cell>
          <cell r="E200">
            <v>4120176349</v>
          </cell>
          <cell r="F200">
            <v>54</v>
          </cell>
          <cell r="G200" t="str">
            <v>Perjalanan Dinas Non-Diklat</v>
          </cell>
          <cell r="H200" t="str">
            <v>Kota Makassar - Kota Surabaya</v>
          </cell>
          <cell r="I200" t="str">
            <v>24/06/2025 - 26/06/2025</v>
          </cell>
          <cell r="J200" t="str">
            <v>3</v>
          </cell>
          <cell r="K200" t="str">
            <v>Hotel</v>
          </cell>
          <cell r="M200" t="str">
            <v>24-06-2025 07:13:47</v>
          </cell>
          <cell r="N200" t="str">
            <v xml:space="preserve">Wyndham Surabaya - 5.0 Stars  - </v>
          </cell>
          <cell r="O200" t="str">
            <v>ASMAN MRO, KPT, DAN SMT</v>
          </cell>
          <cell r="P200" t="str">
            <v>7412111</v>
          </cell>
          <cell r="Q200" t="str">
            <v>24/06/2025 14:00:00 - 26/06/2025 12:00:00</v>
          </cell>
          <cell r="R200">
            <v>1955000</v>
          </cell>
        </row>
        <row r="201">
          <cell r="A201">
            <v>1263165735</v>
          </cell>
          <cell r="B201" t="str">
            <v>8610591Z</v>
          </cell>
          <cell r="C201" t="str">
            <v>YUSUF TRIADI</v>
          </cell>
          <cell r="D201">
            <v>86108001</v>
          </cell>
          <cell r="E201">
            <v>4120176349</v>
          </cell>
          <cell r="F201">
            <v>54</v>
          </cell>
          <cell r="G201" t="str">
            <v>Perjalanan Dinas Non-Diklat</v>
          </cell>
          <cell r="H201" t="str">
            <v>Kota Makassar - Kota Surabaya</v>
          </cell>
          <cell r="I201" t="str">
            <v>24/06/2025 - 26/06/2025</v>
          </cell>
          <cell r="J201" t="str">
            <v>3</v>
          </cell>
          <cell r="K201" t="str">
            <v>Flight One Way</v>
          </cell>
          <cell r="M201" t="str">
            <v>23-06-2025 19:58:47</v>
          </cell>
          <cell r="N201" t="str">
            <v>Lion Air Domestic UPG Hasanuddin JT-707 - Lion Air 1A SUB Juanda JT-707</v>
          </cell>
          <cell r="O201" t="str">
            <v>ASMAN MRO, KPT, DAN SMT</v>
          </cell>
          <cell r="P201" t="str">
            <v>7412111</v>
          </cell>
          <cell r="Q201" t="str">
            <v>24/06/2025 13:50:00 - 24/06/2025 14:20:00</v>
          </cell>
          <cell r="R201">
            <v>1407000</v>
          </cell>
        </row>
        <row r="202">
          <cell r="A202">
            <v>1263136999</v>
          </cell>
          <cell r="B202" t="str">
            <v>84111259Z</v>
          </cell>
          <cell r="C202" t="str">
            <v xml:space="preserve">ARDIANTO </v>
          </cell>
          <cell r="D202">
            <v>84117600</v>
          </cell>
          <cell r="E202">
            <v>4120176321</v>
          </cell>
          <cell r="F202">
            <v>54</v>
          </cell>
          <cell r="G202" t="str">
            <v>Perjalanan Dinas Non-Diklat</v>
          </cell>
          <cell r="H202" t="str">
            <v>Kota Makassar - Kota Palopo</v>
          </cell>
          <cell r="I202" t="str">
            <v>25/06/2025 - 27/06/2025</v>
          </cell>
          <cell r="J202" t="str">
            <v>3</v>
          </cell>
          <cell r="K202" t="str">
            <v>Hotel</v>
          </cell>
          <cell r="M202" t="str">
            <v>23-06-2025 18:15:37</v>
          </cell>
          <cell r="N202" t="str">
            <v xml:space="preserve">The Santai Toraja - 0.0 Stars  - </v>
          </cell>
          <cell r="O202" t="str">
            <v>ASMAN HAR</v>
          </cell>
          <cell r="P202" t="str">
            <v>7412340</v>
          </cell>
          <cell r="Q202" t="str">
            <v>26/06/2025 14:00:00 - 27/06/2025 12:00:00</v>
          </cell>
          <cell r="R202">
            <v>886788</v>
          </cell>
        </row>
        <row r="203">
          <cell r="A203">
            <v>1263245292</v>
          </cell>
          <cell r="B203" t="str">
            <v>8007053Z</v>
          </cell>
          <cell r="C203" t="str">
            <v>DALMASIUS NUGROHO ADI PUTRANTO</v>
          </cell>
          <cell r="D203">
            <v>80077601</v>
          </cell>
          <cell r="E203">
            <v>4120176340</v>
          </cell>
          <cell r="F203">
            <v>54</v>
          </cell>
          <cell r="G203" t="str">
            <v>Perjalanan Dinas Non-Diklat</v>
          </cell>
          <cell r="H203" t="str">
            <v>Kota Makassar - Kota Kendari</v>
          </cell>
          <cell r="I203" t="str">
            <v>24/06/2025 - 26/06/2025</v>
          </cell>
          <cell r="J203" t="str">
            <v>3</v>
          </cell>
          <cell r="K203" t="str">
            <v>Flight One Way</v>
          </cell>
          <cell r="M203" t="str">
            <v>24-06-2025 06:25:53</v>
          </cell>
          <cell r="N203" t="str">
            <v>Garuda Indonesia Domestic UPG Hasanuddin GA-604 - Garuda Indonesia  KDI Haluoleo GA-604</v>
          </cell>
          <cell r="O203" t="str">
            <v>MAN REN SIS KELIST</v>
          </cell>
          <cell r="P203" t="str">
            <v>7412112</v>
          </cell>
          <cell r="Q203" t="str">
            <v>25/06/2025 06:20:00 - 25/06/2025 07:30:00</v>
          </cell>
          <cell r="R203">
            <v>807600</v>
          </cell>
        </row>
        <row r="204">
          <cell r="A204">
            <v>1263559308</v>
          </cell>
          <cell r="B204" t="str">
            <v>8007053Z</v>
          </cell>
          <cell r="C204" t="str">
            <v>DALMASIUS NUGROHO ADI PUTRANTO</v>
          </cell>
          <cell r="D204">
            <v>80077601</v>
          </cell>
          <cell r="E204">
            <v>4120176340</v>
          </cell>
          <cell r="F204">
            <v>54</v>
          </cell>
          <cell r="G204" t="str">
            <v>Perjalanan Dinas Non-Diklat</v>
          </cell>
          <cell r="H204" t="str">
            <v>Kota Makassar - Kota Kendari</v>
          </cell>
          <cell r="I204" t="str">
            <v>24/06/2025 - 26/06/2025</v>
          </cell>
          <cell r="J204" t="str">
            <v>3</v>
          </cell>
          <cell r="K204" t="str">
            <v>Flight One Way</v>
          </cell>
          <cell r="M204" t="str">
            <v>25-06-2025 07:57:39</v>
          </cell>
          <cell r="N204" t="str">
            <v>Lion Air  KDI Haluoleo JT-997 - Lion Air Domestic UPG Hasanuddin JT-997</v>
          </cell>
          <cell r="O204" t="str">
            <v>MAN REN SIS KELIST</v>
          </cell>
          <cell r="P204" t="str">
            <v>7412112</v>
          </cell>
          <cell r="Q204" t="str">
            <v>25/06/2025 15:35:00 - 25/06/2025 16:30:00</v>
          </cell>
          <cell r="R204">
            <v>761500</v>
          </cell>
        </row>
        <row r="205">
          <cell r="A205">
            <v>1263129180</v>
          </cell>
          <cell r="B205" t="str">
            <v>0124013ZY</v>
          </cell>
          <cell r="C205" t="str">
            <v>ARDAYA PRATAMA</v>
          </cell>
          <cell r="D205">
            <v>1247601</v>
          </cell>
          <cell r="E205">
            <v>4120176288</v>
          </cell>
          <cell r="F205">
            <v>54</v>
          </cell>
          <cell r="G205" t="str">
            <v>Perjalanan Dinas Non-Diklat</v>
          </cell>
          <cell r="H205" t="str">
            <v>Kota Baubau - Kota Makassar</v>
          </cell>
          <cell r="I205" t="str">
            <v>22/06/2025 - 25/06/2025</v>
          </cell>
          <cell r="J205" t="str">
            <v>4</v>
          </cell>
          <cell r="K205" t="str">
            <v>Hotel</v>
          </cell>
          <cell r="M205" t="str">
            <v>23-06-2025 17:46:03</v>
          </cell>
          <cell r="N205" t="str">
            <v xml:space="preserve">Aston Makassar Hotel &amp; Convention Center - 4.0 Stars  - </v>
          </cell>
          <cell r="O205" t="str">
            <v>TC DAL SUSUT DAN PJU</v>
          </cell>
          <cell r="P205" t="str">
            <v>7411284</v>
          </cell>
          <cell r="Q205" t="str">
            <v>23/06/2025 14:00:00 - 25/06/2025 12:00:00</v>
          </cell>
          <cell r="R205">
            <v>1626754</v>
          </cell>
        </row>
        <row r="206">
          <cell r="A206">
            <v>1263383923</v>
          </cell>
          <cell r="B206" t="str">
            <v>0124013ZY</v>
          </cell>
          <cell r="C206" t="str">
            <v>ARDAYA PRATAMA</v>
          </cell>
          <cell r="D206">
            <v>1247601</v>
          </cell>
          <cell r="E206">
            <v>4120176288</v>
          </cell>
          <cell r="F206">
            <v>54</v>
          </cell>
          <cell r="G206" t="str">
            <v>Perjalanan Dinas Non-Diklat</v>
          </cell>
          <cell r="H206" t="str">
            <v>Kota Baubau - Kota Makassar</v>
          </cell>
          <cell r="I206" t="str">
            <v>22/06/2025 - 25/06/2025</v>
          </cell>
          <cell r="J206" t="str">
            <v>4</v>
          </cell>
          <cell r="K206" t="str">
            <v>Flight One Way</v>
          </cell>
          <cell r="M206" t="str">
            <v>24-06-2025 15:25:10</v>
          </cell>
          <cell r="N206" t="str">
            <v>Super Air Jet  UPG Hasanuddin IU-572 - Super Air Jet  BUW Betoambari IU-572</v>
          </cell>
          <cell r="O206" t="str">
            <v>TC DAL SUSUT DAN PJU</v>
          </cell>
          <cell r="P206" t="str">
            <v>7411284</v>
          </cell>
          <cell r="Q206" t="str">
            <v>25/06/2025 14:10:00 - 25/06/2025 14:55:00</v>
          </cell>
          <cell r="R206">
            <v>805200</v>
          </cell>
        </row>
        <row r="207">
          <cell r="A207">
            <v>1263669929</v>
          </cell>
          <cell r="B207" t="str">
            <v>9318892ZY</v>
          </cell>
          <cell r="C207" t="str">
            <v>RIFKI MAULANA MUSLIM</v>
          </cell>
          <cell r="D207">
            <v>93182801</v>
          </cell>
          <cell r="E207">
            <v>4120176346</v>
          </cell>
          <cell r="F207">
            <v>54</v>
          </cell>
          <cell r="G207" t="str">
            <v>Perjalanan Dinas Diklat</v>
          </cell>
          <cell r="H207" t="str">
            <v>Kota Parepare - Kota Bandung</v>
          </cell>
          <cell r="I207" t="str">
            <v>29/06/2025 - 07/07/2025</v>
          </cell>
          <cell r="J207" t="str">
            <v>9</v>
          </cell>
          <cell r="K207" t="str">
            <v>Hotel</v>
          </cell>
          <cell r="M207" t="str">
            <v>25-06-2025 14:06:19</v>
          </cell>
          <cell r="N207" t="str">
            <v xml:space="preserve">Melia Makassar - 4.0 Stars  - </v>
          </cell>
          <cell r="O207" t="str">
            <v>OF KIN</v>
          </cell>
          <cell r="P207" t="str">
            <v>7409611</v>
          </cell>
          <cell r="Q207" t="str">
            <v>29/06/2025 14:00:00 - 30/06/2025 12:00:00</v>
          </cell>
          <cell r="R207">
            <v>784124</v>
          </cell>
        </row>
        <row r="208">
          <cell r="A208">
            <v>1263246078</v>
          </cell>
          <cell r="B208" t="str">
            <v>9318892ZY</v>
          </cell>
          <cell r="C208" t="str">
            <v>RIFKI MAULANA MUSLIM</v>
          </cell>
          <cell r="D208">
            <v>93182801</v>
          </cell>
          <cell r="E208">
            <v>4120176346</v>
          </cell>
          <cell r="F208">
            <v>54</v>
          </cell>
          <cell r="G208" t="str">
            <v>Perjalanan Dinas Diklat</v>
          </cell>
          <cell r="H208" t="str">
            <v>Kota Parepare - Kota Bandung</v>
          </cell>
          <cell r="I208" t="str">
            <v>29/06/2025 - 07/07/2025</v>
          </cell>
          <cell r="J208" t="str">
            <v>9</v>
          </cell>
          <cell r="K208" t="str">
            <v>Hotel</v>
          </cell>
          <cell r="M208" t="str">
            <v>24-06-2025 06:31:38</v>
          </cell>
          <cell r="N208" t="str">
            <v xml:space="preserve">Hyatt Place Makassar - 4.0 Stars  - </v>
          </cell>
          <cell r="O208" t="str">
            <v>OF KIN</v>
          </cell>
          <cell r="P208" t="str">
            <v>7409611</v>
          </cell>
          <cell r="Q208" t="str">
            <v>06/07/2025 14:00:00 - 07/07/2025 12:00:00</v>
          </cell>
          <cell r="R208">
            <v>834900</v>
          </cell>
        </row>
        <row r="209">
          <cell r="A209">
            <v>1263245337</v>
          </cell>
          <cell r="B209" t="str">
            <v>9318892ZY</v>
          </cell>
          <cell r="C209" t="str">
            <v>RIFKI MAULANA MUSLIM</v>
          </cell>
          <cell r="D209">
            <v>93182801</v>
          </cell>
          <cell r="E209">
            <v>4120176346</v>
          </cell>
          <cell r="F209">
            <v>54</v>
          </cell>
          <cell r="G209" t="str">
            <v>Perjalanan Dinas Diklat</v>
          </cell>
          <cell r="H209" t="str">
            <v>Kota Parepare - Kota Bandung</v>
          </cell>
          <cell r="I209" t="str">
            <v>29/06/2025 - 07/07/2025</v>
          </cell>
          <cell r="J209" t="str">
            <v>9</v>
          </cell>
          <cell r="K209" t="str">
            <v>Flight One Way</v>
          </cell>
          <cell r="M209" t="str">
            <v>24-06-2025 06:25:56</v>
          </cell>
          <cell r="N209" t="str">
            <v>Garuda Indonesia  CGK Soekarno Hatta International Airport GA-612 - Garuda Indonesia Domestic UPG Hasanuddin GA-612</v>
          </cell>
          <cell r="O209" t="str">
            <v>OF KIN</v>
          </cell>
          <cell r="P209" t="str">
            <v>7409611</v>
          </cell>
          <cell r="Q209" t="str">
            <v>06/07/2025 14:25:00 - 06/07/2025 18:00:00</v>
          </cell>
          <cell r="R209">
            <v>2134200</v>
          </cell>
        </row>
        <row r="210">
          <cell r="A210">
            <v>1263244565</v>
          </cell>
          <cell r="B210" t="str">
            <v>9318892ZY</v>
          </cell>
          <cell r="C210" t="str">
            <v>RIFKI MAULANA MUSLIM</v>
          </cell>
          <cell r="D210">
            <v>93182801</v>
          </cell>
          <cell r="E210">
            <v>4120176346</v>
          </cell>
          <cell r="F210">
            <v>54</v>
          </cell>
          <cell r="G210" t="str">
            <v>Perjalanan Dinas Diklat</v>
          </cell>
          <cell r="H210" t="str">
            <v>Kota Parepare - Kota Bandung</v>
          </cell>
          <cell r="I210" t="str">
            <v>29/06/2025 - 07/07/2025</v>
          </cell>
          <cell r="J210" t="str">
            <v>9</v>
          </cell>
          <cell r="K210" t="str">
            <v>Flight One Way</v>
          </cell>
          <cell r="M210" t="str">
            <v>24-06-2025 06:18:33</v>
          </cell>
          <cell r="N210" t="str">
            <v>Garuda Indonesia Domestic UPG Hasanuddin GA-611 - Garuda Indonesia  CGK Soekarno Hatta International Airport GA-611</v>
          </cell>
          <cell r="O210" t="str">
            <v>OF KIN</v>
          </cell>
          <cell r="P210" t="str">
            <v>7409611</v>
          </cell>
          <cell r="Q210" t="str">
            <v>29/06/2025 12:00:00 - 29/06/2025 13:25:00</v>
          </cell>
          <cell r="R210">
            <v>2080300</v>
          </cell>
        </row>
        <row r="211">
          <cell r="A211">
            <v>1264093456</v>
          </cell>
          <cell r="B211" t="str">
            <v>9821290ZY</v>
          </cell>
          <cell r="C211" t="str">
            <v>MUH. ILHAM EFENDY NASRUL</v>
          </cell>
          <cell r="D211">
            <v>98217601</v>
          </cell>
          <cell r="E211">
            <v>4120176302</v>
          </cell>
          <cell r="F211">
            <v>54</v>
          </cell>
          <cell r="G211" t="str">
            <v>Perjalanan Dinas Non-Diklat</v>
          </cell>
          <cell r="H211" t="str">
            <v>Kota Makassar - Kota Palopo</v>
          </cell>
          <cell r="I211" t="str">
            <v>23/06/2025 - 27/06/2025</v>
          </cell>
          <cell r="J211" t="str">
            <v>5</v>
          </cell>
          <cell r="K211" t="str">
            <v>Hotel</v>
          </cell>
          <cell r="M211" t="str">
            <v>26-06-2025 19:18:11</v>
          </cell>
          <cell r="N211" t="str">
            <v xml:space="preserve">Boarding House Syariah MM Bone RedPartner - 1.0 Stars  - </v>
          </cell>
          <cell r="O211" t="str">
            <v>JTC PENGATURAN OP</v>
          </cell>
          <cell r="P211" t="str">
            <v>7409342</v>
          </cell>
          <cell r="Q211" t="str">
            <v>26/06/2025 14:00:00 - 27/06/2025 12:00:00</v>
          </cell>
          <cell r="R211">
            <v>168170</v>
          </cell>
        </row>
        <row r="212">
          <cell r="A212">
            <v>1263115833</v>
          </cell>
          <cell r="B212" t="str">
            <v>9821290ZY</v>
          </cell>
          <cell r="C212" t="str">
            <v>MUH. ILHAM EFENDY NASRUL</v>
          </cell>
          <cell r="D212">
            <v>98217601</v>
          </cell>
          <cell r="E212">
            <v>4120176302</v>
          </cell>
          <cell r="F212">
            <v>54</v>
          </cell>
          <cell r="G212" t="str">
            <v>Perjalanan Dinas Non-Diklat</v>
          </cell>
          <cell r="H212" t="str">
            <v>Kota Makassar - Kota Palopo</v>
          </cell>
          <cell r="I212" t="str">
            <v>23/06/2025 - 27/06/2025</v>
          </cell>
          <cell r="J212" t="str">
            <v>5</v>
          </cell>
          <cell r="K212" t="str">
            <v>Hotel</v>
          </cell>
          <cell r="M212" t="str">
            <v>23-06-2025 16:56:07</v>
          </cell>
          <cell r="N212" t="str">
            <v xml:space="preserve">Hotel Grand Rofina Sinjai - 1.0 Stars  - </v>
          </cell>
          <cell r="O212" t="str">
            <v>JTC PENGATURAN OP</v>
          </cell>
          <cell r="P212" t="str">
            <v>7409342</v>
          </cell>
          <cell r="Q212" t="str">
            <v>23/06/2025 14:00:00 - 24/06/2025 12:00:00</v>
          </cell>
          <cell r="R212">
            <v>627000</v>
          </cell>
        </row>
        <row r="213">
          <cell r="A213">
            <v>1263716061</v>
          </cell>
          <cell r="B213" t="str">
            <v>9821290ZY</v>
          </cell>
          <cell r="C213" t="str">
            <v>MUH. ILHAM EFENDY NASRUL</v>
          </cell>
          <cell r="D213">
            <v>98217601</v>
          </cell>
          <cell r="E213">
            <v>4120176302</v>
          </cell>
          <cell r="F213">
            <v>54</v>
          </cell>
          <cell r="G213" t="str">
            <v>Perjalanan Dinas Non-Diklat</v>
          </cell>
          <cell r="H213" t="str">
            <v>Kota Makassar - Kota Palopo</v>
          </cell>
          <cell r="I213" t="str">
            <v>23/06/2025 - 27/06/2025</v>
          </cell>
          <cell r="J213" t="str">
            <v>5</v>
          </cell>
          <cell r="K213" t="str">
            <v>Hotel</v>
          </cell>
          <cell r="M213" t="str">
            <v>25-06-2025 16:41:07</v>
          </cell>
          <cell r="N213" t="str">
            <v xml:space="preserve">Hotel Rai's Palopo Exclusive Mitra RedDoorz - 1.0 Stars  - </v>
          </cell>
          <cell r="O213" t="str">
            <v>JTC PENGATURAN OP</v>
          </cell>
          <cell r="P213" t="str">
            <v>7409342</v>
          </cell>
          <cell r="Q213" t="str">
            <v>25/06/2025 14:00:00 - 26/06/2025 12:00:00</v>
          </cell>
          <cell r="R213">
            <v>247000</v>
          </cell>
        </row>
        <row r="214">
          <cell r="A214">
            <v>1263371603</v>
          </cell>
          <cell r="B214" t="str">
            <v>9821290ZY</v>
          </cell>
          <cell r="C214" t="str">
            <v>MUH. ILHAM EFENDY NASRUL</v>
          </cell>
          <cell r="D214">
            <v>98217601</v>
          </cell>
          <cell r="E214">
            <v>4120176302</v>
          </cell>
          <cell r="F214">
            <v>54</v>
          </cell>
          <cell r="G214" t="str">
            <v>Perjalanan Dinas Non-Diklat</v>
          </cell>
          <cell r="H214" t="str">
            <v>Kota Makassar - Kota Palopo</v>
          </cell>
          <cell r="I214" t="str">
            <v>23/06/2025 - 27/06/2025</v>
          </cell>
          <cell r="J214" t="str">
            <v>5</v>
          </cell>
          <cell r="K214" t="str">
            <v>Hotel</v>
          </cell>
          <cell r="M214" t="str">
            <v>24-06-2025 14:41:09</v>
          </cell>
          <cell r="N214" t="str">
            <v xml:space="preserve">Helios Hotel and Convention - 3.0 Stars  - </v>
          </cell>
          <cell r="O214" t="str">
            <v>JTC PENGATURAN OP</v>
          </cell>
          <cell r="P214" t="str">
            <v>7409342</v>
          </cell>
          <cell r="Q214" t="str">
            <v>24/06/2025 14:00:00 - 25/06/2025 12:00:00</v>
          </cell>
          <cell r="R214">
            <v>543000</v>
          </cell>
        </row>
        <row r="215">
          <cell r="A215">
            <v>1263015634</v>
          </cell>
          <cell r="B215" t="str">
            <v>9009026F</v>
          </cell>
          <cell r="C215" t="str">
            <v>SARTO SENOBUA'</v>
          </cell>
          <cell r="D215">
            <v>90097604</v>
          </cell>
          <cell r="E215">
            <v>4120176307</v>
          </cell>
          <cell r="F215">
            <v>54</v>
          </cell>
          <cell r="G215" t="str">
            <v>Perjalanan Dinas Non-Diklat</v>
          </cell>
          <cell r="H215" t="str">
            <v>Kab. Pinrang - Kota Makassar</v>
          </cell>
          <cell r="I215" t="str">
            <v>23/06/2025 - 25/06/2025</v>
          </cell>
          <cell r="J215" t="str">
            <v>3</v>
          </cell>
          <cell r="K215" t="str">
            <v>Hotel</v>
          </cell>
          <cell r="M215" t="str">
            <v>23-06-2025 11:10:27</v>
          </cell>
          <cell r="N215" t="str">
            <v xml:space="preserve">Swiss-Belhotel Makassar - 4.0 Stars  - </v>
          </cell>
          <cell r="O215" t="str">
            <v>TL DAL SUSUT</v>
          </cell>
          <cell r="P215" t="str">
            <v>7411252</v>
          </cell>
          <cell r="Q215" t="str">
            <v>23/06/2025 14:00:00 - 25/06/2025 12:00:00</v>
          </cell>
          <cell r="R215">
            <v>1695000</v>
          </cell>
        </row>
        <row r="216">
          <cell r="A216">
            <v>1262780547</v>
          </cell>
          <cell r="B216" t="str">
            <v>8809003F</v>
          </cell>
          <cell r="C216" t="str">
            <v>ANDI MUHAMMAD FAISAL TAMRIN</v>
          </cell>
          <cell r="D216">
            <v>88097612</v>
          </cell>
          <cell r="E216">
            <v>4120176296</v>
          </cell>
          <cell r="F216">
            <v>54</v>
          </cell>
          <cell r="G216" t="str">
            <v>Perjalanan Dinas Non-Diklat</v>
          </cell>
          <cell r="H216" t="str">
            <v>Kab. Bone - Kota Makassar</v>
          </cell>
          <cell r="I216" t="str">
            <v>23/06/2025 - 25/06/2025</v>
          </cell>
          <cell r="J216" t="str">
            <v>3</v>
          </cell>
          <cell r="K216" t="str">
            <v>Hotel</v>
          </cell>
          <cell r="M216" t="str">
            <v>22-06-2025 12:15:43</v>
          </cell>
          <cell r="N216" t="str">
            <v xml:space="preserve">Gammara Hotel Makassar - 4.0 Stars  - </v>
          </cell>
          <cell r="O216" t="str">
            <v>TL DAL SUSUT</v>
          </cell>
          <cell r="P216" t="str">
            <v>7411232</v>
          </cell>
          <cell r="Q216" t="str">
            <v>23/06/2025 14:00:00 - 25/06/2025 12:00:00</v>
          </cell>
          <cell r="R216">
            <v>1257250</v>
          </cell>
        </row>
        <row r="217">
          <cell r="A217">
            <v>1262759250</v>
          </cell>
          <cell r="B217" t="str">
            <v>8208010F</v>
          </cell>
          <cell r="C217" t="str">
            <v>ISMAIL SYAHRIR</v>
          </cell>
          <cell r="D217">
            <v>82087610</v>
          </cell>
          <cell r="E217">
            <v>4120176304</v>
          </cell>
          <cell r="F217">
            <v>54</v>
          </cell>
          <cell r="G217" t="str">
            <v>Perjalanan Dinas Non-Diklat</v>
          </cell>
          <cell r="H217" t="str">
            <v>Kab. Bulukumba - Kota Makassar</v>
          </cell>
          <cell r="I217" t="str">
            <v>23/06/2025 - 25/06/2025</v>
          </cell>
          <cell r="J217" t="str">
            <v>3</v>
          </cell>
          <cell r="K217" t="str">
            <v>Hotel</v>
          </cell>
          <cell r="M217" t="str">
            <v>22-06-2025 10:49:55</v>
          </cell>
          <cell r="N217" t="str">
            <v xml:space="preserve">Aston Inn Pantai Losari Makassar - 3.0 Stars  - </v>
          </cell>
          <cell r="O217" t="str">
            <v>TL DAL SUSUT</v>
          </cell>
          <cell r="P217" t="str">
            <v>7411273</v>
          </cell>
          <cell r="Q217" t="str">
            <v>23/06/2025 14:00:00 - 25/06/2025 12:00:00</v>
          </cell>
          <cell r="R217">
            <v>1251268</v>
          </cell>
        </row>
        <row r="218">
          <cell r="A218">
            <v>1263292809</v>
          </cell>
          <cell r="B218" t="str">
            <v>8914063ZY</v>
          </cell>
          <cell r="C218" t="str">
            <v>ARMAN HIDAYAT</v>
          </cell>
          <cell r="D218">
            <v>89148000</v>
          </cell>
          <cell r="E218">
            <v>4120176281</v>
          </cell>
          <cell r="F218">
            <v>54</v>
          </cell>
          <cell r="G218" t="str">
            <v>Perjalanan Dinas Non-Diklat</v>
          </cell>
          <cell r="H218" t="str">
            <v>Kab.Pinrang-KotaMakassar</v>
          </cell>
          <cell r="I218" t="str">
            <v>23/06/2025 - 26/06/2025</v>
          </cell>
          <cell r="J218" t="str">
            <v>4</v>
          </cell>
          <cell r="K218" t="str">
            <v>Hotel</v>
          </cell>
          <cell r="M218" t="str">
            <v>24-06-2025 10:16:32</v>
          </cell>
          <cell r="N218" t="str">
            <v xml:space="preserve">Vasaka Hotel Makassar Managed By Dafam - 3.5 Stars  - </v>
          </cell>
          <cell r="O218" t="str">
            <v>SOF KIN AGA DAN SAR</v>
          </cell>
          <cell r="P218" t="str">
            <v>0007412253</v>
          </cell>
          <cell r="Q218" t="str">
            <v>24/06/2025 14:00:00 - 26/06/2025 12:00:00</v>
          </cell>
          <cell r="R218">
            <v>1589070</v>
          </cell>
        </row>
        <row r="219">
          <cell r="A219">
            <v>1262588310</v>
          </cell>
          <cell r="B219" t="str">
            <v>95172074ZY</v>
          </cell>
          <cell r="C219" t="str">
            <v>ILHAM RAMADHAN</v>
          </cell>
          <cell r="D219">
            <v>95177622</v>
          </cell>
          <cell r="E219">
            <v>4120176289</v>
          </cell>
          <cell r="F219">
            <v>54</v>
          </cell>
          <cell r="G219" t="str">
            <v>Perjalanan Dinas Non-Diklat</v>
          </cell>
          <cell r="H219" t="str">
            <v>Kab. Pinrang - Kota Makassar</v>
          </cell>
          <cell r="I219" t="str">
            <v>23/06/2025 - 26/06/2025</v>
          </cell>
          <cell r="J219" t="str">
            <v>4</v>
          </cell>
          <cell r="K219" t="str">
            <v>Hotel</v>
          </cell>
          <cell r="M219" t="str">
            <v>21-06-2025 16:16:13</v>
          </cell>
          <cell r="N219" t="str">
            <v xml:space="preserve">Mercure Makassar Nexa Pettarani - 4.0 Stars  - </v>
          </cell>
          <cell r="O219" t="str">
            <v>TL SALES RET</v>
          </cell>
          <cell r="P219" t="str">
            <v>7412253</v>
          </cell>
          <cell r="Q219" t="str">
            <v>23/06/2025 14:00:00 - 26/06/2025 12:00:00</v>
          </cell>
          <cell r="R219">
            <v>2170740</v>
          </cell>
        </row>
        <row r="220">
          <cell r="A220">
            <v>1262479926</v>
          </cell>
          <cell r="B220" t="str">
            <v>8510194Z</v>
          </cell>
          <cell r="C220" t="str">
            <v>PUTRI NILAM K. A.</v>
          </cell>
          <cell r="D220">
            <v>85102400</v>
          </cell>
          <cell r="E220">
            <v>4120176295</v>
          </cell>
          <cell r="F220">
            <v>54</v>
          </cell>
          <cell r="G220" t="str">
            <v>Perjalanan Dinas Diklat</v>
          </cell>
          <cell r="H220" t="str">
            <v>Kota Makassar - Kab. Bogor</v>
          </cell>
          <cell r="I220" t="str">
            <v>22/06/2025 - 26/06/2025</v>
          </cell>
          <cell r="J220" t="str">
            <v>5</v>
          </cell>
          <cell r="K220" t="str">
            <v>Flight One Way</v>
          </cell>
          <cell r="M220" t="str">
            <v>21-06-2025 09:27:44</v>
          </cell>
          <cell r="N220" t="str">
            <v>Batik Air Domestic UPG Hasanuddin ID-6293 - Batik Air 2D CGK Soekarno Hatta International Airport ID-6293</v>
          </cell>
          <cell r="O220" t="str">
            <v>SOF ASET PROP DAN MUM</v>
          </cell>
          <cell r="P220" t="str">
            <v>7412164</v>
          </cell>
          <cell r="Q220" t="str">
            <v>22/06/2025 18:00:00 - 22/06/2025 19:20:00</v>
          </cell>
          <cell r="R220">
            <v>1758700</v>
          </cell>
        </row>
        <row r="221">
          <cell r="A221">
            <v>1263268940</v>
          </cell>
          <cell r="B221" t="str">
            <v>8510194Z</v>
          </cell>
          <cell r="C221" t="str">
            <v>PUTRI NILAM K. A.</v>
          </cell>
          <cell r="D221">
            <v>85102400</v>
          </cell>
          <cell r="E221">
            <v>4120176295</v>
          </cell>
          <cell r="F221">
            <v>54</v>
          </cell>
          <cell r="G221" t="str">
            <v>Perjalanan Dinas Diklat</v>
          </cell>
          <cell r="H221" t="str">
            <v>KotaMakassar-Kab.Bogor</v>
          </cell>
          <cell r="I221" t="str">
            <v>22/06/2025 - 26/06/2025</v>
          </cell>
          <cell r="J221" t="str">
            <v>5</v>
          </cell>
          <cell r="K221" t="str">
            <v>Flight One Way</v>
          </cell>
          <cell r="M221" t="str">
            <v>24-06-2025 08:47:33</v>
          </cell>
          <cell r="N221" t="str">
            <v>Garuda Indonesia  CGK Soekarno Hatta International Airport GA-616 - Garuda Indonesia Domestic UPG Hasanuddin GA-616</v>
          </cell>
          <cell r="O221" t="str">
            <v>SOF ASET PROP DAN MUM</v>
          </cell>
          <cell r="P221" t="str">
            <v>0007412164</v>
          </cell>
          <cell r="Q221" t="str">
            <v>26/06/2025 16:30:00 - 26/06/2025 20:05:00</v>
          </cell>
          <cell r="R221">
            <v>1766300</v>
          </cell>
        </row>
        <row r="222">
          <cell r="A222">
            <v>1262476529</v>
          </cell>
          <cell r="B222" t="str">
            <v>8908087F</v>
          </cell>
          <cell r="C222" t="str">
            <v xml:space="preserve">ARJINOFALTIN </v>
          </cell>
          <cell r="D222">
            <v>89087605</v>
          </cell>
          <cell r="E222">
            <v>4120176294</v>
          </cell>
          <cell r="F222">
            <v>54</v>
          </cell>
          <cell r="G222" t="str">
            <v>Perjalanan Dinas Non-Diklat</v>
          </cell>
          <cell r="H222" t="str">
            <v>Kota Makassar - Kab. Bogor</v>
          </cell>
          <cell r="I222" t="str">
            <v>22/06/2025 - 26/06/2025</v>
          </cell>
          <cell r="J222" t="str">
            <v>5</v>
          </cell>
          <cell r="K222" t="str">
            <v>Flight One Way</v>
          </cell>
          <cell r="M222" t="str">
            <v>21-06-2025 09:13:42</v>
          </cell>
          <cell r="N222" t="str">
            <v>Garuda Indonesia Domestic UPG Hasanuddin GA-609 - Garuda Indonesia  CGK Soekarno Hatta International Airport GA-609</v>
          </cell>
          <cell r="O222" t="str">
            <v>ASMAN MUM</v>
          </cell>
          <cell r="P222" t="str">
            <v>7412164</v>
          </cell>
          <cell r="Q222" t="str">
            <v>22/06/2025 18:05:00 - 22/06/2025 19:30:00</v>
          </cell>
          <cell r="R222">
            <v>2230600</v>
          </cell>
        </row>
        <row r="223">
          <cell r="A223">
            <v>1263259129</v>
          </cell>
          <cell r="B223" t="str">
            <v>8908087F</v>
          </cell>
          <cell r="C223" t="str">
            <v>ARJINOFALTIN</v>
          </cell>
          <cell r="D223">
            <v>89087605</v>
          </cell>
          <cell r="E223">
            <v>4120176294</v>
          </cell>
          <cell r="F223">
            <v>54</v>
          </cell>
          <cell r="G223" t="str">
            <v>Perjalanan Dinas Non-Diklat</v>
          </cell>
          <cell r="H223" t="str">
            <v>KotaMakassar-Kab.Bogor</v>
          </cell>
          <cell r="I223" t="str">
            <v>22/06/2025 - 26/06/2025</v>
          </cell>
          <cell r="J223" t="str">
            <v>5</v>
          </cell>
          <cell r="K223" t="str">
            <v>Flight One Way</v>
          </cell>
          <cell r="M223" t="str">
            <v>24-06-2025 08:00:31</v>
          </cell>
          <cell r="N223" t="str">
            <v>Garuda Indonesia  CGK Soekarno Hatta International Airport GA-616 - Garuda Indonesia Domestic UPG Hasanuddin GA-616</v>
          </cell>
          <cell r="O223" t="str">
            <v>ASMAN MUM</v>
          </cell>
          <cell r="P223" t="str">
            <v>0007412164</v>
          </cell>
          <cell r="Q223" t="str">
            <v>26/06/2025 16:30:00 - 26/06/2025 20:05:00</v>
          </cell>
          <cell r="R223">
            <v>1775000</v>
          </cell>
        </row>
        <row r="224">
          <cell r="A224">
            <v>1263267335</v>
          </cell>
          <cell r="B224" t="str">
            <v>92141020ZY</v>
          </cell>
          <cell r="C224" t="str">
            <v>APRIANTO ROMBEPAYUNG</v>
          </cell>
          <cell r="D224">
            <v>92148010</v>
          </cell>
          <cell r="E224">
            <v>4120176290</v>
          </cell>
          <cell r="F224">
            <v>54</v>
          </cell>
          <cell r="G224" t="str">
            <v>Perjalanan Dinas Diklat</v>
          </cell>
          <cell r="H224" t="str">
            <v>Kota Makassar - Kab. Bogor</v>
          </cell>
          <cell r="I224" t="str">
            <v>22/06/2025 - 26/06/2025</v>
          </cell>
          <cell r="J224" t="str">
            <v>5</v>
          </cell>
          <cell r="K224" t="str">
            <v>Flight One Way</v>
          </cell>
          <cell r="M224" t="str">
            <v>24-06-2025 08:40:04</v>
          </cell>
          <cell r="N224" t="str">
            <v>Garuda Indonesia  CGK Soekarno Hatta International Airport GA-616 - Garuda Indonesia Domestic UPG Hasanuddin GA-616</v>
          </cell>
          <cell r="O224" t="str">
            <v>OF ASET PROP</v>
          </cell>
          <cell r="P224" t="str">
            <v>7412164</v>
          </cell>
          <cell r="Q224" t="str">
            <v>26/06/2025 16:30:00 - 26/06/2025 20:05:00</v>
          </cell>
          <cell r="R224">
            <v>1775000</v>
          </cell>
        </row>
        <row r="225">
          <cell r="A225">
            <v>1262480962</v>
          </cell>
          <cell r="B225" t="str">
            <v>92141020ZY</v>
          </cell>
          <cell r="C225" t="str">
            <v>APRIANTO ROMBEPAYUNG</v>
          </cell>
          <cell r="D225">
            <v>92148010</v>
          </cell>
          <cell r="E225">
            <v>4120176290</v>
          </cell>
          <cell r="F225">
            <v>54</v>
          </cell>
          <cell r="G225" t="str">
            <v>Perjalanan Dinas Diklat</v>
          </cell>
          <cell r="H225" t="str">
            <v>Kota Makassar - Kab. Bogor</v>
          </cell>
          <cell r="I225" t="str">
            <v>22/06/2025 - 26/06/2025</v>
          </cell>
          <cell r="J225" t="str">
            <v>5</v>
          </cell>
          <cell r="K225" t="str">
            <v>Flight One Way</v>
          </cell>
          <cell r="M225" t="str">
            <v>21-06-2025 09:31:49</v>
          </cell>
          <cell r="N225" t="str">
            <v>Batik Air Domestic UPG Hasanuddin ID-6293 - Batik Air 2D CGK Soekarno Hatta International Airport ID-6293</v>
          </cell>
          <cell r="O225" t="str">
            <v>OF ASET PROP</v>
          </cell>
          <cell r="P225" t="str">
            <v>7412164</v>
          </cell>
          <cell r="Q225" t="str">
            <v>22/06/2025 18:00:00 - 22/06/2025 19:20:00</v>
          </cell>
          <cell r="R225">
            <v>1758700</v>
          </cell>
        </row>
        <row r="226">
          <cell r="A226">
            <v>1262368149</v>
          </cell>
          <cell r="B226" t="str">
            <v>9619391ZY</v>
          </cell>
          <cell r="C226" t="str">
            <v>KRISNA DIAN SAPUTRA</v>
          </cell>
          <cell r="D226">
            <v>96196204</v>
          </cell>
          <cell r="E226">
            <v>4120176267</v>
          </cell>
          <cell r="F226">
            <v>54</v>
          </cell>
          <cell r="G226" t="str">
            <v>Perjalanan Dinas Non-Diklat</v>
          </cell>
          <cell r="H226" t="str">
            <v>Kota Baubau - Kab. Muna</v>
          </cell>
          <cell r="I226" t="str">
            <v>22/06/2025 - 25/06/2025</v>
          </cell>
          <cell r="J226" t="str">
            <v>4</v>
          </cell>
          <cell r="K226" t="str">
            <v>Hotel</v>
          </cell>
          <cell r="M226" t="str">
            <v>20-06-2025 19:56:18</v>
          </cell>
          <cell r="N226" t="str">
            <v xml:space="preserve">NES_inn Hotel - 0.0 Stars  - </v>
          </cell>
          <cell r="O226" t="str">
            <v>TL HAR ELEKTRO (BAUBAU)</v>
          </cell>
          <cell r="P226" t="str">
            <v>7412340</v>
          </cell>
          <cell r="Q226" t="str">
            <v>22/06/2025 14:00:00 - 25/06/2025 12:00:00</v>
          </cell>
          <cell r="R226">
            <v>1950000</v>
          </cell>
        </row>
        <row r="227">
          <cell r="A227">
            <v>1262317576</v>
          </cell>
          <cell r="B227" t="str">
            <v>0024047ZY</v>
          </cell>
          <cell r="C227" t="str">
            <v>GERALDY RIZKO ADHIRA PUTRA</v>
          </cell>
          <cell r="D227">
            <v>247405</v>
          </cell>
          <cell r="E227">
            <v>4120176272</v>
          </cell>
          <cell r="F227">
            <v>54</v>
          </cell>
          <cell r="G227" t="str">
            <v>Perjalanan Dinas Non-Diklat</v>
          </cell>
          <cell r="H227" t="str">
            <v>Kab. Pinrang - Kota Makassar</v>
          </cell>
          <cell r="I227" t="str">
            <v>22/06/2025 - 24/06/2025</v>
          </cell>
          <cell r="J227" t="str">
            <v>3</v>
          </cell>
          <cell r="K227" t="str">
            <v>Hotel</v>
          </cell>
          <cell r="M227" t="str">
            <v>20-06-2025 16:51:05</v>
          </cell>
          <cell r="N227" t="str">
            <v xml:space="preserve">Aston Makassar Hotel &amp; Convention Center - 4.0 Stars  - </v>
          </cell>
          <cell r="O227" t="str">
            <v>TC DAL SUSUT DAN PJU</v>
          </cell>
          <cell r="P227" t="str">
            <v>7411252</v>
          </cell>
          <cell r="Q227" t="str">
            <v>22/06/2025 14:00:00 - 24/06/2025 12:00:00</v>
          </cell>
          <cell r="R227">
            <v>1599078</v>
          </cell>
        </row>
        <row r="228">
          <cell r="A228">
            <v>1263552994</v>
          </cell>
          <cell r="B228" t="str">
            <v>9414010FY</v>
          </cell>
          <cell r="C228" t="str">
            <v>HARYADI MULIYADI</v>
          </cell>
          <cell r="D228">
            <v>96137725</v>
          </cell>
          <cell r="E228">
            <v>4120176255</v>
          </cell>
          <cell r="F228">
            <v>54</v>
          </cell>
          <cell r="G228" t="str">
            <v>Perjalanan Dinas Diklat</v>
          </cell>
          <cell r="H228" t="str">
            <v>KotaParepare-KotaSemarang</v>
          </cell>
          <cell r="I228" t="str">
            <v>29/06/2025 - 04/07/2025</v>
          </cell>
          <cell r="J228" t="str">
            <v>6</v>
          </cell>
          <cell r="K228" t="str">
            <v>Flight One Way</v>
          </cell>
          <cell r="M228" t="str">
            <v>25-06-2025 07:22:15</v>
          </cell>
          <cell r="N228" t="str">
            <v>Lion Air Domestic UPG Hasanuddin JT-909 - Lion Air Domestic SRG Achmad Yani JT-909</v>
          </cell>
          <cell r="O228" t="str">
            <v>JTC TEKNISI PDKB</v>
          </cell>
          <cell r="P228" t="str">
            <v>0007409221</v>
          </cell>
          <cell r="Q228" t="str">
            <v>29/06/2025 14:05:00 - 29/06/2025 14:50:00</v>
          </cell>
          <cell r="R228">
            <v>1444000</v>
          </cell>
        </row>
        <row r="229">
          <cell r="A229">
            <v>1265614780</v>
          </cell>
          <cell r="B229" t="str">
            <v>9414010FY</v>
          </cell>
          <cell r="C229" t="str">
            <v>HARYADI MULIYADI</v>
          </cell>
          <cell r="D229">
            <v>96137725</v>
          </cell>
          <cell r="E229">
            <v>4120176255</v>
          </cell>
          <cell r="F229">
            <v>54</v>
          </cell>
          <cell r="G229" t="str">
            <v>Perjalanan Dinas Diklat</v>
          </cell>
          <cell r="H229" t="str">
            <v>KotaParepare-KotaSemarang</v>
          </cell>
          <cell r="I229" t="str">
            <v>29/06/2025 - 04/07/2025</v>
          </cell>
          <cell r="J229" t="str">
            <v>6</v>
          </cell>
          <cell r="K229" t="str">
            <v>Flight One Way</v>
          </cell>
          <cell r="M229" t="str">
            <v>01-07-2025 21:02:36</v>
          </cell>
          <cell r="N229" t="str">
            <v>Garuda Indonesia Domestic SRG Achmad Yani GA-235 - Garuda Indonesia Domestic UPG Hasanuddin GA-235</v>
          </cell>
          <cell r="O229" t="str">
            <v>JTC TEKNISI PDKB</v>
          </cell>
          <cell r="P229" t="str">
            <v>0007409221</v>
          </cell>
          <cell r="Q229" t="str">
            <v>04/07/2025 09:45:00 - 04/07/2025 18:00:00</v>
          </cell>
          <cell r="R229">
            <v>2833700</v>
          </cell>
        </row>
        <row r="230">
          <cell r="A230">
            <v>1262327013</v>
          </cell>
          <cell r="B230" t="str">
            <v>9110014F</v>
          </cell>
          <cell r="C230" t="str">
            <v>RESJAN MANAYA SAMBARA</v>
          </cell>
          <cell r="D230">
            <v>91107603</v>
          </cell>
          <cell r="E230">
            <v>4120176248</v>
          </cell>
          <cell r="F230">
            <v>54</v>
          </cell>
          <cell r="G230" t="str">
            <v>Perjalanan Dinas Non-Diklat</v>
          </cell>
          <cell r="H230" t="str">
            <v>Kota Makassar - Kab. Mamuju</v>
          </cell>
          <cell r="I230" t="str">
            <v>23/06/2025 - 26/06/2025</v>
          </cell>
          <cell r="J230" t="str">
            <v>4</v>
          </cell>
          <cell r="K230" t="str">
            <v>Hotel</v>
          </cell>
          <cell r="M230" t="str">
            <v>20-06-2025 17:26:16</v>
          </cell>
          <cell r="N230" t="str">
            <v xml:space="preserve">Maleo Town Square - 3.0 Stars  - </v>
          </cell>
          <cell r="O230" t="str">
            <v>TL K3L DAN KAM</v>
          </cell>
          <cell r="P230" t="str">
            <v>74092801</v>
          </cell>
          <cell r="Q230" t="str">
            <v>23/06/2025 14:00:00 - 26/06/2025 12:00:00</v>
          </cell>
          <cell r="R230">
            <v>2147562</v>
          </cell>
        </row>
        <row r="231">
          <cell r="A231">
            <v>1262275841</v>
          </cell>
          <cell r="B231" t="str">
            <v>95191885ZY</v>
          </cell>
          <cell r="C231" t="str">
            <v>FIRDA HUWAIDA ULFAH</v>
          </cell>
          <cell r="D231">
            <v>95197618</v>
          </cell>
          <cell r="E231">
            <v>4120176262</v>
          </cell>
          <cell r="F231">
            <v>54</v>
          </cell>
          <cell r="G231" t="str">
            <v>Perjalanan Dinas Non-Diklat</v>
          </cell>
          <cell r="H231" t="str">
            <v>Kab. Bone - Kota Makassar</v>
          </cell>
          <cell r="I231" t="str">
            <v>23/06/2025 - 26/06/2025</v>
          </cell>
          <cell r="J231" t="str">
            <v>4</v>
          </cell>
          <cell r="K231" t="str">
            <v>Hotel</v>
          </cell>
          <cell r="M231" t="str">
            <v>20-06-2025 14:22:20</v>
          </cell>
          <cell r="N231" t="str">
            <v xml:space="preserve">Mercure Makassar Nexa Pettarani - 4.0 Stars  - </v>
          </cell>
          <cell r="O231" t="str">
            <v>OF KIN KEU DAN MUM</v>
          </cell>
          <cell r="P231" t="str">
            <v>7412230</v>
          </cell>
          <cell r="Q231" t="str">
            <v>23/06/2025 14:00:00 - 26/06/2025 12:00:00</v>
          </cell>
          <cell r="R231">
            <v>2170740</v>
          </cell>
        </row>
        <row r="232">
          <cell r="A232">
            <v>1262276157</v>
          </cell>
          <cell r="B232" t="str">
            <v>96191897ZY</v>
          </cell>
          <cell r="C232" t="str">
            <v>MYANA RINO ANDHANA</v>
          </cell>
          <cell r="D232">
            <v>96197633</v>
          </cell>
          <cell r="E232">
            <v>4120176264</v>
          </cell>
          <cell r="F232">
            <v>54</v>
          </cell>
          <cell r="G232" t="str">
            <v>Perjalanan Dinas Non-Diklat</v>
          </cell>
          <cell r="H232" t="str">
            <v>Kab. Bone - Kota Makassar</v>
          </cell>
          <cell r="I232" t="str">
            <v>23/06/2025 - 26/06/2025</v>
          </cell>
          <cell r="J232" t="str">
            <v>4</v>
          </cell>
          <cell r="K232" t="str">
            <v>Hotel</v>
          </cell>
          <cell r="M232" t="str">
            <v>20-06-2025 14:23:27</v>
          </cell>
          <cell r="N232" t="str">
            <v xml:space="preserve">Mercure Makassar Nexa Pettarani - 4.0 Stars  - </v>
          </cell>
          <cell r="O232" t="str">
            <v>OF AGA DAN SAR</v>
          </cell>
          <cell r="P232" t="str">
            <v>7412233</v>
          </cell>
          <cell r="Q232" t="str">
            <v>23/06/2025 14:00:00 - 26/06/2025 12:00:00</v>
          </cell>
          <cell r="R232">
            <v>2170740</v>
          </cell>
        </row>
        <row r="233">
          <cell r="A233">
            <v>1263210074</v>
          </cell>
          <cell r="B233" t="str">
            <v>8611991Z</v>
          </cell>
          <cell r="C233" t="str">
            <v>A. MALLOMBASSI</v>
          </cell>
          <cell r="D233">
            <v>86118004</v>
          </cell>
          <cell r="E233">
            <v>4120176265</v>
          </cell>
          <cell r="F233">
            <v>54</v>
          </cell>
          <cell r="G233" t="str">
            <v>Perjalanan Dinas Non-Diklat</v>
          </cell>
          <cell r="H233" t="str">
            <v>Kab. Bone - Kota Makassar</v>
          </cell>
          <cell r="I233" t="str">
            <v>23/06/2025 - 26/06/2025</v>
          </cell>
          <cell r="J233" t="str">
            <v>4</v>
          </cell>
          <cell r="K233" t="str">
            <v>Hotel</v>
          </cell>
          <cell r="M233" t="str">
            <v>23-06-2025 22:39:09</v>
          </cell>
          <cell r="N233" t="str">
            <v xml:space="preserve">ibis Styles Makassar Sam Ratulangi - 3.0 Stars  - </v>
          </cell>
          <cell r="O233" t="str">
            <v>ASMAN NPS</v>
          </cell>
          <cell r="P233" t="str">
            <v>7412233</v>
          </cell>
          <cell r="Q233" t="str">
            <v>24/06/2025 14:00:00 - 26/06/2025 12:00:00</v>
          </cell>
          <cell r="R233">
            <v>1027401</v>
          </cell>
        </row>
        <row r="234">
          <cell r="A234">
            <v>1263131607</v>
          </cell>
          <cell r="B234" t="str">
            <v>7493036F</v>
          </cell>
          <cell r="C234" t="str">
            <v>ARMAN</v>
          </cell>
          <cell r="D234">
            <v>74937601</v>
          </cell>
          <cell r="E234">
            <v>4120176261</v>
          </cell>
          <cell r="F234">
            <v>54</v>
          </cell>
          <cell r="G234" t="str">
            <v>Perjalanan Dinas Non-Diklat</v>
          </cell>
          <cell r="H234" t="str">
            <v>KotaMakassar-Kab.Mamuju</v>
          </cell>
          <cell r="I234" t="str">
            <v>23/06/2025 - 26/06/2025</v>
          </cell>
          <cell r="J234" t="str">
            <v>4</v>
          </cell>
          <cell r="K234" t="str">
            <v>Hotel</v>
          </cell>
          <cell r="M234" t="str">
            <v>23-06-2025 17:55:28</v>
          </cell>
          <cell r="N234" t="str">
            <v xml:space="preserve">Grand Maleo Hotel &amp; Convention - 4.0 Stars  - </v>
          </cell>
          <cell r="O234" t="str">
            <v>MAN K3L DAN KAM</v>
          </cell>
          <cell r="P234" t="str">
            <v>0007412000</v>
          </cell>
          <cell r="Q234" t="str">
            <v>23/06/2025 14:00:00 - 26/06/2025 12:00:00</v>
          </cell>
          <cell r="R234">
            <v>2280000</v>
          </cell>
        </row>
        <row r="235">
          <cell r="A235">
            <v>1262278836</v>
          </cell>
          <cell r="B235" t="str">
            <v>9718094FBY</v>
          </cell>
          <cell r="C235" t="str">
            <v>FIKRI ENGGAR LUKITA</v>
          </cell>
          <cell r="D235">
            <v>97187651</v>
          </cell>
          <cell r="E235">
            <v>4120176260</v>
          </cell>
          <cell r="F235">
            <v>54</v>
          </cell>
          <cell r="G235" t="str">
            <v>Perjalanan Dinas Non-Diklat</v>
          </cell>
          <cell r="H235" t="str">
            <v>Kab. Bone - Kota Makassar</v>
          </cell>
          <cell r="I235" t="str">
            <v>22/06/2025 - 25/06/2025</v>
          </cell>
          <cell r="J235" t="str">
            <v>4</v>
          </cell>
          <cell r="K235" t="str">
            <v>Hotel</v>
          </cell>
          <cell r="M235" t="str">
            <v>20-06-2025 14:32:42</v>
          </cell>
          <cell r="N235" t="str">
            <v xml:space="preserve">Mercure Makassar Nexa Pettarani - 4.0 Stars  - </v>
          </cell>
          <cell r="O235" t="str">
            <v>JOF YAN GAN</v>
          </cell>
          <cell r="P235" t="str">
            <v>7409618</v>
          </cell>
          <cell r="Q235" t="str">
            <v>22/06/2025 14:00:00 - 25/06/2025 12:00:00</v>
          </cell>
          <cell r="R235">
            <v>2170740</v>
          </cell>
        </row>
        <row r="236">
          <cell r="A236">
            <v>1262078604</v>
          </cell>
          <cell r="B236" t="str">
            <v>93163802ZY</v>
          </cell>
          <cell r="C236" t="str">
            <v>MARGIE ARIF KUSUMA</v>
          </cell>
          <cell r="D236">
            <v>93167652</v>
          </cell>
          <cell r="E236">
            <v>4120176254</v>
          </cell>
          <cell r="F236">
            <v>54</v>
          </cell>
          <cell r="G236" t="str">
            <v>Perjalanan Dinas Non-Diklat</v>
          </cell>
          <cell r="H236" t="str">
            <v>Kab. Bone - Kota Makassar</v>
          </cell>
          <cell r="I236" t="str">
            <v>19/06/2025 - 20/06/2025</v>
          </cell>
          <cell r="J236" t="str">
            <v>2</v>
          </cell>
          <cell r="K236" t="str">
            <v>Hotel</v>
          </cell>
          <cell r="M236" t="str">
            <v>19-06-2025 19:42:15</v>
          </cell>
          <cell r="N236" t="str">
            <v xml:space="preserve">Swiss-Belinn Panakkukang - 3.0 Stars  - </v>
          </cell>
          <cell r="O236" t="str">
            <v>TL REN SIS</v>
          </cell>
          <cell r="P236" t="str">
            <v>7412230</v>
          </cell>
          <cell r="Q236" t="str">
            <v>19/06/2025 14:00:00 - 20/06/2025 12:00:00</v>
          </cell>
          <cell r="R236">
            <v>740000</v>
          </cell>
        </row>
        <row r="237">
          <cell r="A237">
            <v>1261981893</v>
          </cell>
          <cell r="B237" t="str">
            <v>8609343Z</v>
          </cell>
          <cell r="C237" t="str">
            <v>ANDI SORAYA TENRI BAU</v>
          </cell>
          <cell r="D237">
            <v>86098669</v>
          </cell>
          <cell r="E237">
            <v>4120176208</v>
          </cell>
          <cell r="F237">
            <v>54</v>
          </cell>
          <cell r="G237" t="str">
            <v>Perjalanan Dinas Non-Diklat</v>
          </cell>
          <cell r="H237" t="str">
            <v>Kota Parepare - Kota Makassar</v>
          </cell>
          <cell r="I237" t="str">
            <v>23/06/2025 - 26/06/2025</v>
          </cell>
          <cell r="J237" t="str">
            <v>4</v>
          </cell>
          <cell r="K237" t="str">
            <v>Hotel</v>
          </cell>
          <cell r="M237" t="str">
            <v>19-06-2025 13:41:41</v>
          </cell>
          <cell r="N237" t="str">
            <v xml:space="preserve">Novotel Makassar Grand Shayla - 4.0 Stars  - </v>
          </cell>
          <cell r="O237" t="str">
            <v>ASMAN NPS</v>
          </cell>
          <cell r="P237" t="str">
            <v>7412223</v>
          </cell>
          <cell r="Q237" t="str">
            <v>23/06/2025 14:00:00 - 26/06/2025 12:00:00</v>
          </cell>
          <cell r="R237">
            <v>2940492</v>
          </cell>
        </row>
        <row r="238">
          <cell r="A238">
            <v>1262216472</v>
          </cell>
          <cell r="B238" t="str">
            <v>94191264ZY</v>
          </cell>
          <cell r="C238" t="str">
            <v>OLIVER KEVIN NDOEN</v>
          </cell>
          <cell r="D238">
            <v>94197611</v>
          </cell>
          <cell r="E238">
            <v>4120176218</v>
          </cell>
          <cell r="F238">
            <v>54</v>
          </cell>
          <cell r="G238" t="str">
            <v>Perjalanan Dinas Non-Diklat</v>
          </cell>
          <cell r="H238" t="str">
            <v>Kota Kendari - Kota Makassar</v>
          </cell>
          <cell r="I238" t="str">
            <v>19/06/2025 - 21/06/2025</v>
          </cell>
          <cell r="J238" t="str">
            <v>3</v>
          </cell>
          <cell r="K238" t="str">
            <v>Flight One Way</v>
          </cell>
          <cell r="M238" t="str">
            <v>20-06-2025 10:57:19</v>
          </cell>
          <cell r="N238" t="str">
            <v>Lion Air Domestic UPG Hasanuddin JT-994 - Lion Air  KDI Haluoleo JT-994</v>
          </cell>
          <cell r="O238" t="str">
            <v>TL REN LISDES</v>
          </cell>
          <cell r="P238" t="str">
            <v>7412240</v>
          </cell>
          <cell r="Q238" t="str">
            <v>21/06/2025 13:50:00 - 21/06/2025 14:55:00</v>
          </cell>
          <cell r="R238">
            <v>851400</v>
          </cell>
        </row>
        <row r="239">
          <cell r="A239">
            <v>1261953449</v>
          </cell>
          <cell r="B239" t="str">
            <v>94191264ZY</v>
          </cell>
          <cell r="C239" t="str">
            <v>OLIVER KEVIN NDOEN</v>
          </cell>
          <cell r="D239">
            <v>94197611</v>
          </cell>
          <cell r="E239">
            <v>4120176218</v>
          </cell>
          <cell r="F239">
            <v>54</v>
          </cell>
          <cell r="G239" t="str">
            <v>Perjalanan Dinas Non-Diklat</v>
          </cell>
          <cell r="H239" t="str">
            <v>Kota Kendari - Kota Makassar</v>
          </cell>
          <cell r="I239" t="str">
            <v>19/06/2025 - 21/06/2025</v>
          </cell>
          <cell r="J239" t="str">
            <v>3</v>
          </cell>
          <cell r="K239" t="str">
            <v>Hotel</v>
          </cell>
          <cell r="M239" t="str">
            <v>19-06-2025 12:00:58</v>
          </cell>
          <cell r="N239" t="str">
            <v xml:space="preserve">Gammara Hotel Makassar - 4.0 Stars  - </v>
          </cell>
          <cell r="O239" t="str">
            <v>TL REN LISDES</v>
          </cell>
          <cell r="P239" t="str">
            <v>7412240</v>
          </cell>
          <cell r="Q239" t="str">
            <v>19/06/2025 14:00:00 - 21/06/2025 12:00:00</v>
          </cell>
          <cell r="R239">
            <v>1494120</v>
          </cell>
        </row>
        <row r="240">
          <cell r="A240">
            <v>1262099428</v>
          </cell>
          <cell r="B240" t="str">
            <v>9318633ZY</v>
          </cell>
          <cell r="C240" t="str">
            <v>ALFIAN IZZA AL FAIZIN</v>
          </cell>
          <cell r="D240">
            <v>93187616</v>
          </cell>
          <cell r="E240">
            <v>4120176220</v>
          </cell>
          <cell r="F240">
            <v>54</v>
          </cell>
          <cell r="G240" t="str">
            <v>Perjalanan Dinas Non-Diklat</v>
          </cell>
          <cell r="H240" t="str">
            <v>Kab. Mamuju - Kota Makassar</v>
          </cell>
          <cell r="I240" t="str">
            <v>20/06/2025 - 21/06/2025</v>
          </cell>
          <cell r="J240" t="str">
            <v>2</v>
          </cell>
          <cell r="K240" t="str">
            <v>Hotel</v>
          </cell>
          <cell r="M240" t="str">
            <v>19-06-2025 20:57:50</v>
          </cell>
          <cell r="N240" t="str">
            <v xml:space="preserve">Mercure Makassar Nexa Pettarani - 4.0 Stars  - </v>
          </cell>
          <cell r="O240" t="str">
            <v>TL REN LISDES</v>
          </cell>
          <cell r="P240" t="str">
            <v>7412290</v>
          </cell>
          <cell r="Q240" t="str">
            <v>20/06/2025 14:00:00 - 21/06/2025 12:00:00</v>
          </cell>
          <cell r="R240">
            <v>723580</v>
          </cell>
        </row>
        <row r="241">
          <cell r="A241">
            <v>1262323965</v>
          </cell>
          <cell r="B241" t="str">
            <v>7603014F</v>
          </cell>
          <cell r="C241" t="str">
            <v xml:space="preserve">DAMBARUDIN </v>
          </cell>
          <cell r="D241">
            <v>76037600</v>
          </cell>
          <cell r="E241">
            <v>4120176213</v>
          </cell>
          <cell r="F241">
            <v>54</v>
          </cell>
          <cell r="G241" t="str">
            <v>Perjalanan Dinas Non-Diklat</v>
          </cell>
          <cell r="H241" t="str">
            <v>Kota Baubau - Kota Makassar</v>
          </cell>
          <cell r="I241" t="str">
            <v>19/06/2025 - 21/06/2025</v>
          </cell>
          <cell r="J241" t="str">
            <v>3</v>
          </cell>
          <cell r="K241" t="str">
            <v>Hotel</v>
          </cell>
          <cell r="M241" t="str">
            <v>20-06-2025 17:15:01</v>
          </cell>
          <cell r="N241" t="str">
            <v xml:space="preserve">Swiss-Belinn Panakkukang - 3.0 Stars  - </v>
          </cell>
          <cell r="O241" t="str">
            <v>ASMAN REN</v>
          </cell>
          <cell r="P241" t="str">
            <v>7412280</v>
          </cell>
          <cell r="Q241" t="str">
            <v>20/06/2025 14:00:00 - 21/06/2025 12:00:00</v>
          </cell>
          <cell r="R241">
            <v>740000</v>
          </cell>
        </row>
        <row r="242">
          <cell r="A242">
            <v>1262333962</v>
          </cell>
          <cell r="B242" t="str">
            <v>7603014F</v>
          </cell>
          <cell r="C242" t="str">
            <v xml:space="preserve">DAMBARUDIN </v>
          </cell>
          <cell r="D242">
            <v>76037600</v>
          </cell>
          <cell r="E242">
            <v>4120176213</v>
          </cell>
          <cell r="F242">
            <v>54</v>
          </cell>
          <cell r="G242" t="str">
            <v>Perjalanan Dinas Non-Diklat</v>
          </cell>
          <cell r="H242" t="str">
            <v>Kota Baubau - Kota Makassar</v>
          </cell>
          <cell r="I242" t="str">
            <v>19/06/2025 - 21/06/2025</v>
          </cell>
          <cell r="J242" t="str">
            <v>3</v>
          </cell>
          <cell r="K242" t="str">
            <v>Flight One Way</v>
          </cell>
          <cell r="M242" t="str">
            <v>20-06-2025 17:52:37</v>
          </cell>
          <cell r="N242" t="str">
            <v>Super Air Jet  UPG Hasanuddin IU-572 - Super Air Jet  BUW Betoambari IU-572</v>
          </cell>
          <cell r="O242" t="str">
            <v>ASMAN REN</v>
          </cell>
          <cell r="P242" t="str">
            <v>7412280</v>
          </cell>
          <cell r="Q242" t="str">
            <v>21/06/2025 14:10:00 - 21/06/2025 14:55:00</v>
          </cell>
          <cell r="R242">
            <v>805200</v>
          </cell>
        </row>
        <row r="243">
          <cell r="A243">
            <v>1262054848</v>
          </cell>
          <cell r="B243" t="str">
            <v>7603014F</v>
          </cell>
          <cell r="C243" t="str">
            <v xml:space="preserve">DAMBARUDIN </v>
          </cell>
          <cell r="D243">
            <v>76037600</v>
          </cell>
          <cell r="E243">
            <v>4120176213</v>
          </cell>
          <cell r="F243">
            <v>54</v>
          </cell>
          <cell r="G243" t="str">
            <v>Perjalanan Dinas Non-Diklat</v>
          </cell>
          <cell r="H243" t="str">
            <v>Kota Baubau - Kota Makassar</v>
          </cell>
          <cell r="I243" t="str">
            <v>19/06/2025 - 21/06/2025</v>
          </cell>
          <cell r="J243" t="str">
            <v>3</v>
          </cell>
          <cell r="K243" t="str">
            <v>Hotel</v>
          </cell>
          <cell r="M243" t="str">
            <v>19-06-2025 18:13:38</v>
          </cell>
          <cell r="N243" t="str">
            <v xml:space="preserve">Delf Apartemen, Makassar - 0.0 Stars  - </v>
          </cell>
          <cell r="O243" t="str">
            <v>ASMAN REN</v>
          </cell>
          <cell r="P243" t="str">
            <v>7412280</v>
          </cell>
          <cell r="Q243" t="str">
            <v>19/06/2025 14:00:00 - 20/06/2025 12:00:00</v>
          </cell>
          <cell r="R243">
            <v>625000</v>
          </cell>
        </row>
        <row r="244">
          <cell r="A244">
            <v>1261890073</v>
          </cell>
          <cell r="B244" t="str">
            <v>94161704ZY</v>
          </cell>
          <cell r="C244" t="str">
            <v>ARIO SUSENO</v>
          </cell>
          <cell r="D244">
            <v>94167610</v>
          </cell>
          <cell r="E244">
            <v>4120176212</v>
          </cell>
          <cell r="F244">
            <v>54</v>
          </cell>
          <cell r="G244" t="str">
            <v>Perjalanan Dinas Non-Diklat</v>
          </cell>
          <cell r="H244" t="str">
            <v>Kota Baubau - Kota Makassar</v>
          </cell>
          <cell r="I244" t="str">
            <v>22/06/2025 - 26/06/2025</v>
          </cell>
          <cell r="J244" t="str">
            <v>5</v>
          </cell>
          <cell r="K244" t="str">
            <v>Hotel</v>
          </cell>
          <cell r="M244" t="str">
            <v>19-06-2025 07:43:46</v>
          </cell>
          <cell r="N244" t="str">
            <v xml:space="preserve">Swiss-Belinn Panakkukang - 3.0 Stars  - </v>
          </cell>
          <cell r="O244" t="str">
            <v>TL SALES RET</v>
          </cell>
          <cell r="P244" t="str">
            <v>7412285</v>
          </cell>
          <cell r="Q244" t="str">
            <v>22/06/2025 14:00:00 - 26/06/2025 12:00:00</v>
          </cell>
          <cell r="R244">
            <v>3380000</v>
          </cell>
        </row>
        <row r="245">
          <cell r="A245">
            <v>1261888744</v>
          </cell>
          <cell r="B245" t="str">
            <v>94161704ZY</v>
          </cell>
          <cell r="C245" t="str">
            <v>ARIO SUSENO</v>
          </cell>
          <cell r="D245">
            <v>94167610</v>
          </cell>
          <cell r="E245">
            <v>4120176212</v>
          </cell>
          <cell r="F245">
            <v>54</v>
          </cell>
          <cell r="G245" t="str">
            <v>Perjalanan Dinas Non-Diklat</v>
          </cell>
          <cell r="H245" t="str">
            <v>Kota Baubau - Kota Makassar</v>
          </cell>
          <cell r="I245" t="str">
            <v>22/06/2025 - 26/06/2025</v>
          </cell>
          <cell r="J245" t="str">
            <v>5</v>
          </cell>
          <cell r="K245" t="str">
            <v>Flight One Way</v>
          </cell>
          <cell r="M245" t="str">
            <v>19-06-2025 07:35:28</v>
          </cell>
          <cell r="N245" t="str">
            <v>Super Air Jet  BUW Betoambari IU-573 - Super Air Jet  UPG Hasanuddin IU-573</v>
          </cell>
          <cell r="O245" t="str">
            <v>TL SALES RET</v>
          </cell>
          <cell r="P245" t="str">
            <v>7412285</v>
          </cell>
          <cell r="Q245" t="str">
            <v>22/06/2025 15:35:00 - 22/06/2025 16:20:00</v>
          </cell>
          <cell r="R245">
            <v>705300</v>
          </cell>
        </row>
        <row r="246">
          <cell r="A246">
            <v>1262818214</v>
          </cell>
          <cell r="B246" t="str">
            <v>8308021F</v>
          </cell>
          <cell r="C246" t="str">
            <v xml:space="preserve">ARIFUDDIN </v>
          </cell>
          <cell r="D246">
            <v>83087613</v>
          </cell>
          <cell r="E246">
            <v>4120176207</v>
          </cell>
          <cell r="F246">
            <v>54</v>
          </cell>
          <cell r="G246" t="str">
            <v>Perjalanan Dinas Non-Diklat</v>
          </cell>
          <cell r="H246" t="str">
            <v>Kota Baubau - Kota Makassar</v>
          </cell>
          <cell r="I246" t="str">
            <v>22/06/2025 - 26/06/2025</v>
          </cell>
          <cell r="J246" t="str">
            <v>5</v>
          </cell>
          <cell r="K246" t="str">
            <v>Hotel</v>
          </cell>
          <cell r="M246" t="str">
            <v>22-06-2025 14:52:14</v>
          </cell>
          <cell r="N246" t="str">
            <v xml:space="preserve">Swiss-Belinn Panakkukang - 3.0 Stars  - </v>
          </cell>
          <cell r="O246" t="str">
            <v>ASMAN AGA DAN SAR</v>
          </cell>
          <cell r="P246" t="str">
            <v>7412285</v>
          </cell>
          <cell r="Q246" t="str">
            <v>22/06/2025 14:00:00 - 24/06/2025 12:00:00</v>
          </cell>
          <cell r="R246">
            <v>1710000</v>
          </cell>
        </row>
        <row r="247">
          <cell r="A247">
            <v>1263156319</v>
          </cell>
          <cell r="B247" t="str">
            <v>8308021F</v>
          </cell>
          <cell r="C247" t="str">
            <v>ARIFUDDIN</v>
          </cell>
          <cell r="D247">
            <v>83087613</v>
          </cell>
          <cell r="E247">
            <v>4120176207</v>
          </cell>
          <cell r="F247">
            <v>54</v>
          </cell>
          <cell r="G247" t="str">
            <v>Perjalanan Dinas Non-Diklat</v>
          </cell>
          <cell r="H247" t="str">
            <v>KotaBaubau-KotaMakassar</v>
          </cell>
          <cell r="I247" t="str">
            <v>22/06/2025 - 26/06/2025</v>
          </cell>
          <cell r="J247" t="str">
            <v>5</v>
          </cell>
          <cell r="K247" t="str">
            <v>Hotel</v>
          </cell>
          <cell r="M247" t="str">
            <v>23-06-2025 19:25:27</v>
          </cell>
          <cell r="N247" t="str">
            <v xml:space="preserve">Swiss-Belinn Panakkukang - 3.0 Stars  - </v>
          </cell>
          <cell r="O247" t="str">
            <v>ASMAN AGA DAN SAR</v>
          </cell>
          <cell r="P247" t="str">
            <v>0007412285</v>
          </cell>
          <cell r="Q247" t="str">
            <v>24/06/2025 14:00:00 - 26/06/2025 12:00:00</v>
          </cell>
          <cell r="R247">
            <v>1390000</v>
          </cell>
        </row>
        <row r="248">
          <cell r="A248">
            <v>1262749216</v>
          </cell>
          <cell r="B248" t="str">
            <v>8908047F</v>
          </cell>
          <cell r="C248" t="str">
            <v>ZULKIFLI SETIOK</v>
          </cell>
          <cell r="D248">
            <v>89087622</v>
          </cell>
          <cell r="E248">
            <v>4120176203</v>
          </cell>
          <cell r="F248">
            <v>54</v>
          </cell>
          <cell r="G248" t="str">
            <v>Perjalanan Dinas Non-Diklat</v>
          </cell>
          <cell r="H248" t="str">
            <v>Kota Baubau - Kota Makassar</v>
          </cell>
          <cell r="I248" t="str">
            <v>22/06/2025 - 26/06/2025</v>
          </cell>
          <cell r="J248" t="str">
            <v>5</v>
          </cell>
          <cell r="K248" t="str">
            <v>Hotel</v>
          </cell>
          <cell r="M248" t="str">
            <v>22-06-2025 10:09:07</v>
          </cell>
          <cell r="N248" t="str">
            <v xml:space="preserve">Four Points by Sheraton Makassar - 4.0 Stars  - </v>
          </cell>
          <cell r="O248" t="str">
            <v>MUL ULP (PASAR WAJO)</v>
          </cell>
          <cell r="P248" t="str">
            <v>7409653</v>
          </cell>
          <cell r="Q248" t="str">
            <v>22/06/2025 14:00:00 - 24/06/2025 12:00:00</v>
          </cell>
          <cell r="R248">
            <v>1742400</v>
          </cell>
        </row>
        <row r="249">
          <cell r="A249">
            <v>1263174074</v>
          </cell>
          <cell r="B249" t="str">
            <v>8908047F</v>
          </cell>
          <cell r="C249" t="str">
            <v>ZULKIFLI SETIOK</v>
          </cell>
          <cell r="D249">
            <v>89087622</v>
          </cell>
          <cell r="E249">
            <v>4120176203</v>
          </cell>
          <cell r="F249">
            <v>54</v>
          </cell>
          <cell r="G249" t="str">
            <v>Perjalanan Dinas Non-Diklat</v>
          </cell>
          <cell r="H249" t="str">
            <v>Kota Baubau - Kota Makassar</v>
          </cell>
          <cell r="I249" t="str">
            <v>22/06/2025 - 26/06/2025</v>
          </cell>
          <cell r="J249" t="str">
            <v>5</v>
          </cell>
          <cell r="K249" t="str">
            <v>Hotel</v>
          </cell>
          <cell r="M249" t="str">
            <v>23-06-2025 20:26:38</v>
          </cell>
          <cell r="N249" t="str">
            <v>Four Points by Sheraton Makassar - 4.0 Stars  - 1 King Bed</v>
          </cell>
          <cell r="O249" t="str">
            <v>MUL ULP (PASAR WAJO)</v>
          </cell>
          <cell r="P249" t="str">
            <v>7409653</v>
          </cell>
          <cell r="Q249" t="str">
            <v>24/06/2025 14:00:00 - 26/06/2025 12:00:00</v>
          </cell>
          <cell r="R249">
            <v>1923900</v>
          </cell>
        </row>
        <row r="250">
          <cell r="A250">
            <v>1262252141</v>
          </cell>
          <cell r="B250" t="str">
            <v>9212050FY</v>
          </cell>
          <cell r="C250" t="str">
            <v>SYAMSURYA CATUR APRIAN</v>
          </cell>
          <cell r="D250">
            <v>92127619</v>
          </cell>
          <cell r="E250">
            <v>4120176107</v>
          </cell>
          <cell r="F250">
            <v>54</v>
          </cell>
          <cell r="G250" t="str">
            <v>Perjalanan Dinas Diklat</v>
          </cell>
          <cell r="H250" t="str">
            <v>Kab. Takalar - Kota Bandung</v>
          </cell>
          <cell r="I250" t="str">
            <v>15/06/2025 - 23/06/2025</v>
          </cell>
          <cell r="J250" t="str">
            <v>9</v>
          </cell>
          <cell r="K250" t="str">
            <v>Flight One Way</v>
          </cell>
          <cell r="M250" t="str">
            <v>20-06-2025 13:03:18</v>
          </cell>
          <cell r="N250" t="str">
            <v>Garuda Indonesia  CGK Soekarno Hatta International Airport GA-610 - Garuda Indonesia Domestic UPG Hasanuddin GA-610</v>
          </cell>
          <cell r="O250" t="str">
            <v>OF KIN</v>
          </cell>
          <cell r="P250" t="str">
            <v>74112811</v>
          </cell>
          <cell r="Q250" t="str">
            <v>21/06/2025 07:40:00 - 21/06/2025 11:15:00</v>
          </cell>
          <cell r="R250">
            <v>2214000</v>
          </cell>
        </row>
        <row r="251">
          <cell r="A251">
            <v>1262253398</v>
          </cell>
          <cell r="B251" t="str">
            <v>9212050FY</v>
          </cell>
          <cell r="C251" t="str">
            <v>SYAMSURYA CATUR APRIAN</v>
          </cell>
          <cell r="D251">
            <v>92127619</v>
          </cell>
          <cell r="E251">
            <v>4120176107</v>
          </cell>
          <cell r="F251">
            <v>54</v>
          </cell>
          <cell r="G251" t="str">
            <v>Perjalanan Dinas Diklat</v>
          </cell>
          <cell r="H251" t="str">
            <v>Kab. Takalar - Kota Bandung</v>
          </cell>
          <cell r="I251" t="str">
            <v>15/06/2025 - 23/06/2025</v>
          </cell>
          <cell r="J251" t="str">
            <v>9</v>
          </cell>
          <cell r="K251" t="str">
            <v>Hotel</v>
          </cell>
          <cell r="M251" t="str">
            <v>20-06-2025 13:07:35</v>
          </cell>
          <cell r="N251" t="str">
            <v xml:space="preserve">Melia Makassar - 4.0 Stars  - </v>
          </cell>
          <cell r="O251" t="str">
            <v>OF KIN</v>
          </cell>
          <cell r="P251" t="str">
            <v>74112811</v>
          </cell>
          <cell r="Q251" t="str">
            <v>21/06/2025 14:00:00 - 22/06/2025 12:00:00</v>
          </cell>
          <cell r="R251">
            <v>784124</v>
          </cell>
        </row>
        <row r="252">
          <cell r="A252">
            <v>1262001044</v>
          </cell>
          <cell r="B252" t="str">
            <v>9822194ZY</v>
          </cell>
          <cell r="C252" t="str">
            <v>RIZKY ZULAFIF SARIDJO</v>
          </cell>
          <cell r="D252">
            <v>98227603</v>
          </cell>
          <cell r="E252">
            <v>4120176143</v>
          </cell>
          <cell r="F252">
            <v>54</v>
          </cell>
          <cell r="G252" t="str">
            <v>Perjalanan Dinas Non-Diklat</v>
          </cell>
          <cell r="H252" t="str">
            <v>Kab. Wakatobi - Kota Makassar</v>
          </cell>
          <cell r="I252" t="str">
            <v>15/06/2025 - 20/06/2025</v>
          </cell>
          <cell r="J252" t="str">
            <v>6</v>
          </cell>
          <cell r="K252" t="str">
            <v>Hotel</v>
          </cell>
          <cell r="M252" t="str">
            <v>19-06-2025 14:50:19</v>
          </cell>
          <cell r="N252" t="str">
            <v xml:space="preserve">Hotel Galaxy Inn Baubau - 2.0 Stars  - </v>
          </cell>
          <cell r="O252" t="str">
            <v>JTC OP DAN HAR DIST</v>
          </cell>
          <cell r="P252" t="str">
            <v>7409652</v>
          </cell>
          <cell r="Q252" t="str">
            <v>19/06/2025 14:00:00 - 20/06/2025 12:00:00</v>
          </cell>
          <cell r="R252">
            <v>332500</v>
          </cell>
        </row>
        <row r="253">
          <cell r="A253">
            <v>1261947563</v>
          </cell>
          <cell r="B253" t="str">
            <v>9318633ZY</v>
          </cell>
          <cell r="C253" t="str">
            <v>ALFIAN IZZA AL FAIZIN</v>
          </cell>
          <cell r="D253">
            <v>93187616</v>
          </cell>
          <cell r="E253">
            <v>4120176135</v>
          </cell>
          <cell r="F253">
            <v>54</v>
          </cell>
          <cell r="G253" t="str">
            <v>Perjalanan Dinas Non-Diklat</v>
          </cell>
          <cell r="H253" t="str">
            <v>Kab. Mamuju - Kota Makassar - Jakarta Pusat</v>
          </cell>
          <cell r="I253" t="str">
            <v>15/06/2025 - 20/06/2025</v>
          </cell>
          <cell r="J253" t="str">
            <v>6</v>
          </cell>
          <cell r="K253" t="str">
            <v>Hotel</v>
          </cell>
          <cell r="M253" t="str">
            <v>19-06-2025 11:40:00</v>
          </cell>
          <cell r="N253" t="str">
            <v>Mercure Makassar Nexa Pettarani - 4.0 Stars  - Superior With 2 Single Beds</v>
          </cell>
          <cell r="O253" t="str">
            <v>TL REN LISDES</v>
          </cell>
          <cell r="P253" t="str">
            <v>7412290</v>
          </cell>
          <cell r="Q253" t="str">
            <v>19/06/2025 14:00:00 - 20/06/2025 12:00:00</v>
          </cell>
          <cell r="R253">
            <v>723580</v>
          </cell>
        </row>
        <row r="254">
          <cell r="A254">
            <v>1261903631</v>
          </cell>
          <cell r="B254" t="str">
            <v>8711340Z</v>
          </cell>
          <cell r="C254" t="str">
            <v>AGUNG PRATOMO</v>
          </cell>
          <cell r="D254">
            <v>87113407</v>
          </cell>
          <cell r="E254">
            <v>4120176114</v>
          </cell>
          <cell r="F254">
            <v>54</v>
          </cell>
          <cell r="G254" t="str">
            <v>Perjalanan Dinas Diklat</v>
          </cell>
          <cell r="H254" t="str">
            <v>KotaParepare-KotaBandung</v>
          </cell>
          <cell r="I254" t="str">
            <v>15/06/2025 - 22/06/2025</v>
          </cell>
          <cell r="J254" t="str">
            <v>8</v>
          </cell>
          <cell r="K254" t="str">
            <v>Flight One Way</v>
          </cell>
          <cell r="M254" t="str">
            <v>19-06-2025 08:54:56</v>
          </cell>
          <cell r="N254" t="str">
            <v>Citilink 1B CGK Soekarno Hatta International Airport QG-348 - Citilink Domestic UPG Hasanuddin QG-348</v>
          </cell>
          <cell r="O254" t="str">
            <v>MUP UP3 (PARE-PARE)</v>
          </cell>
          <cell r="P254" t="str">
            <v>0007412220</v>
          </cell>
          <cell r="Q254" t="str">
            <v>21/06/2025 19:00:00 - 21/06/2025 22:25:00</v>
          </cell>
          <cell r="R254">
            <v>1329900</v>
          </cell>
        </row>
        <row r="255">
          <cell r="A255">
            <v>1261886941</v>
          </cell>
          <cell r="B255" t="str">
            <v>8916012ZY</v>
          </cell>
          <cell r="C255" t="str">
            <v>RACHMAT RAMLI</v>
          </cell>
          <cell r="D255">
            <v>89160002</v>
          </cell>
          <cell r="E255">
            <v>4120176116</v>
          </cell>
          <cell r="F255">
            <v>54</v>
          </cell>
          <cell r="G255" t="str">
            <v>Perjalanan Dinas Non-Diklat</v>
          </cell>
          <cell r="H255" t="str">
            <v>Kota Makassar - Kota Denpasar</v>
          </cell>
          <cell r="I255" t="str">
            <v>17/06/2025 - 20/06/2025</v>
          </cell>
          <cell r="J255" t="str">
            <v>4</v>
          </cell>
          <cell r="K255" t="str">
            <v>Hotel</v>
          </cell>
          <cell r="M255" t="str">
            <v>19-06-2025 07:23:00</v>
          </cell>
          <cell r="N255" t="str">
            <v xml:space="preserve">Swiss-Belexpress Kuta Legian - 3.0 Stars  - </v>
          </cell>
          <cell r="O255" t="str">
            <v>OF LOLA KONS DIST</v>
          </cell>
          <cell r="P255" t="str">
            <v>7412000</v>
          </cell>
          <cell r="Q255" t="str">
            <v>19/06/2025 14:00:00 - 20/06/2025 12:00:00</v>
          </cell>
          <cell r="R255">
            <v>617106</v>
          </cell>
        </row>
        <row r="256">
          <cell r="A256">
            <v>1261922292</v>
          </cell>
          <cell r="B256" t="str">
            <v>8810018F</v>
          </cell>
          <cell r="C256" t="str">
            <v>MUHAMMAD IRSAN</v>
          </cell>
          <cell r="D256">
            <v>88107600</v>
          </cell>
          <cell r="E256">
            <v>4120176099</v>
          </cell>
          <cell r="F256">
            <v>54</v>
          </cell>
          <cell r="G256" t="str">
            <v>Perjalanan Dinas Non-Diklat</v>
          </cell>
          <cell r="H256" t="str">
            <v>Kota Makassar - Kota Denpasar</v>
          </cell>
          <cell r="I256" t="str">
            <v>17/06/2025 - 20/06/2025</v>
          </cell>
          <cell r="J256" t="str">
            <v>4</v>
          </cell>
          <cell r="K256" t="str">
            <v>Hotel</v>
          </cell>
          <cell r="M256" t="str">
            <v>19-06-2025 10:07:51</v>
          </cell>
          <cell r="N256" t="str">
            <v xml:space="preserve">Swiss-Belexpress Kuta Legian - 3.0 Stars  - </v>
          </cell>
          <cell r="O256" t="str">
            <v>ASMAN LOLA KONS DAN LOG</v>
          </cell>
          <cell r="P256" t="str">
            <v>7412000</v>
          </cell>
          <cell r="Q256" t="str">
            <v>19/06/2025 14:00:00 - 20/06/2025 12:00:00</v>
          </cell>
          <cell r="R256">
            <v>645373</v>
          </cell>
        </row>
        <row r="257">
          <cell r="A257">
            <v>1261905773</v>
          </cell>
          <cell r="B257" t="str">
            <v>8810018F</v>
          </cell>
          <cell r="C257" t="str">
            <v>MUHAMMAD IRSAN</v>
          </cell>
          <cell r="D257">
            <v>88107600</v>
          </cell>
          <cell r="E257">
            <v>4120176099</v>
          </cell>
          <cell r="F257">
            <v>54</v>
          </cell>
          <cell r="G257" t="str">
            <v>Perjalanan Dinas Non-Diklat</v>
          </cell>
          <cell r="H257" t="str">
            <v>Kota Makassar - Kota Denpasar</v>
          </cell>
          <cell r="I257" t="str">
            <v>17/06/2025 - 20/06/2025</v>
          </cell>
          <cell r="J257" t="str">
            <v>4</v>
          </cell>
          <cell r="K257" t="str">
            <v>Flight One Way</v>
          </cell>
          <cell r="M257" t="str">
            <v>19-06-2025 09:03:39</v>
          </cell>
          <cell r="N257" t="str">
            <v>Garuda Indonesia Domestic DPS Ngurah Rai International Airport GA-620 - Garuda Indonesia Domestic UPG Hasanuddin GA-620</v>
          </cell>
          <cell r="O257" t="str">
            <v>ASMAN LOLA KONS DAN LOG</v>
          </cell>
          <cell r="P257" t="str">
            <v>7412000</v>
          </cell>
          <cell r="Q257" t="str">
            <v>20/06/2025 12:10:00 - 20/06/2025 13:40:00</v>
          </cell>
          <cell r="R257">
            <v>1383400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425C1-A4FE-4FAB-A79E-EB52CE59CAF1}">
  <sheetPr>
    <pageSetUpPr fitToPage="1"/>
  </sheetPr>
  <dimension ref="B2:L335"/>
  <sheetViews>
    <sheetView tabSelected="1" topLeftCell="D1" zoomScaleNormal="100" workbookViewId="0">
      <selection activeCell="G20" sqref="G20"/>
    </sheetView>
  </sheetViews>
  <sheetFormatPr defaultColWidth="9.140625" defaultRowHeight="15" x14ac:dyDescent="0.25"/>
  <cols>
    <col min="1" max="1" width="9.140625" style="4"/>
    <col min="2" max="2" width="7.7109375" style="47" customWidth="1"/>
    <col min="3" max="3" width="15" style="47" customWidth="1"/>
    <col min="4" max="4" width="56.42578125" style="48" bestFit="1" customWidth="1"/>
    <col min="5" max="5" width="16.28515625" style="47" customWidth="1"/>
    <col min="6" max="6" width="16.7109375" style="47" customWidth="1"/>
    <col min="7" max="7" width="62" style="49" bestFit="1" customWidth="1"/>
    <col min="8" max="8" width="25.85546875" style="47" customWidth="1"/>
    <col min="9" max="9" width="18.28515625" style="50" customWidth="1"/>
    <col min="10" max="10" width="22.85546875" style="4" customWidth="1"/>
    <col min="11" max="11" width="13.42578125" style="4" customWidth="1"/>
    <col min="12" max="12" width="13" style="4" customWidth="1"/>
    <col min="13" max="16384" width="9.140625" style="4"/>
  </cols>
  <sheetData>
    <row r="2" spans="2:10" ht="17.25" customHeight="1" x14ac:dyDescent="0.25">
      <c r="B2" s="1" t="s">
        <v>55</v>
      </c>
      <c r="C2" s="2"/>
      <c r="D2" s="1"/>
      <c r="E2" s="1"/>
      <c r="F2" s="1"/>
      <c r="G2" s="1"/>
      <c r="H2" s="1"/>
      <c r="I2" s="3"/>
    </row>
    <row r="3" spans="2:10" ht="17.25" customHeight="1" x14ac:dyDescent="0.25">
      <c r="B3" s="1" t="s">
        <v>22</v>
      </c>
      <c r="C3" s="2"/>
      <c r="D3" s="1"/>
      <c r="E3" s="1"/>
      <c r="F3" s="1"/>
      <c r="G3" s="1"/>
      <c r="H3" s="1"/>
      <c r="I3" s="3"/>
    </row>
    <row r="5" spans="2:10" s="5" customFormat="1" ht="30" x14ac:dyDescent="0.25">
      <c r="B5" s="7" t="s">
        <v>2</v>
      </c>
      <c r="C5" s="7" t="s">
        <v>3</v>
      </c>
      <c r="D5" s="7" t="s">
        <v>4</v>
      </c>
      <c r="E5" s="8" t="s">
        <v>5</v>
      </c>
      <c r="F5" s="8" t="s">
        <v>6</v>
      </c>
      <c r="G5" s="9" t="s">
        <v>7</v>
      </c>
      <c r="H5" s="7" t="s">
        <v>8</v>
      </c>
      <c r="I5" s="10" t="s">
        <v>9</v>
      </c>
    </row>
    <row r="6" spans="2:10" s="5" customFormat="1" ht="21" customHeight="1" x14ac:dyDescent="0.25">
      <c r="B6" s="7">
        <v>1</v>
      </c>
      <c r="C6" s="52">
        <v>1262054848</v>
      </c>
      <c r="D6" s="12" t="str">
        <f>VLOOKUP(C6,[4]report!$A$2:$R$257,3,FALSE)</f>
        <v xml:space="preserve">DAMBARUDIN </v>
      </c>
      <c r="E6" s="12" t="str">
        <f>VLOOKUP(C6,[4]report!$A$2:$R$257,2,FALSE)</f>
        <v>7603014F</v>
      </c>
      <c r="F6" s="12">
        <f>VLOOKUP(C6,[4]report!$A$2:$R$257,5,FALSE)</f>
        <v>4120176213</v>
      </c>
      <c r="G6" s="12" t="str">
        <f>VLOOKUP(C6,[4]report!$A$2:$R$257,8,FALSE)</f>
        <v>Kota Baubau - Kota Makassar</v>
      </c>
      <c r="H6" s="12" t="str">
        <f>VLOOKUP(C6,[4]report!$A$2:$R$257,9,FALSE)</f>
        <v>19/06/2025 - 21/06/2025</v>
      </c>
      <c r="I6" s="13">
        <f>VLOOKUP(C6,[4]report!$A$2:$R$257,18,FALSE)</f>
        <v>625000</v>
      </c>
      <c r="J6" s="14"/>
    </row>
    <row r="7" spans="2:10" s="5" customFormat="1" ht="21" customHeight="1" x14ac:dyDescent="0.25">
      <c r="B7" s="7">
        <v>2</v>
      </c>
      <c r="C7" s="52">
        <v>1262099428</v>
      </c>
      <c r="D7" s="12" t="str">
        <f>VLOOKUP(C7,[4]report!$A$2:$R$257,3,FALSE)</f>
        <v>ALFIAN IZZA AL FAIZIN</v>
      </c>
      <c r="E7" s="12" t="str">
        <f>VLOOKUP(C7,[4]report!$A$2:$R$257,2,FALSE)</f>
        <v>9318633ZY</v>
      </c>
      <c r="F7" s="12">
        <f>VLOOKUP(C7,[4]report!$A$2:$R$257,5,FALSE)</f>
        <v>4120176220</v>
      </c>
      <c r="G7" s="12" t="str">
        <f>VLOOKUP(C7,[4]report!$A$2:$R$257,8,FALSE)</f>
        <v>Kab. Mamuju - Kota Makassar</v>
      </c>
      <c r="H7" s="12" t="str">
        <f>VLOOKUP(C7,[4]report!$A$2:$R$257,9,FALSE)</f>
        <v>20/06/2025 - 21/06/2025</v>
      </c>
      <c r="I7" s="13">
        <f>VLOOKUP(C7,[4]report!$A$2:$R$257,18,FALSE)</f>
        <v>723580</v>
      </c>
      <c r="J7" s="14"/>
    </row>
    <row r="8" spans="2:10" s="5" customFormat="1" ht="21" customHeight="1" x14ac:dyDescent="0.25">
      <c r="B8" s="7">
        <v>3</v>
      </c>
      <c r="C8" s="52">
        <v>1262078604</v>
      </c>
      <c r="D8" s="12" t="str">
        <f>VLOOKUP(C8,[4]report!$A$2:$R$257,3,FALSE)</f>
        <v>MARGIE ARIF KUSUMA</v>
      </c>
      <c r="E8" s="12" t="str">
        <f>VLOOKUP(C8,[4]report!$A$2:$R$257,2,FALSE)</f>
        <v>93163802ZY</v>
      </c>
      <c r="F8" s="12">
        <f>VLOOKUP(C8,[4]report!$A$2:$R$257,5,FALSE)</f>
        <v>4120176254</v>
      </c>
      <c r="G8" s="12" t="str">
        <f>VLOOKUP(C8,[4]report!$A$2:$R$257,8,FALSE)</f>
        <v>Kab. Bone - Kota Makassar</v>
      </c>
      <c r="H8" s="12" t="str">
        <f>VLOOKUP(C8,[4]report!$A$2:$R$257,9,FALSE)</f>
        <v>19/06/2025 - 20/06/2025</v>
      </c>
      <c r="I8" s="13">
        <f>VLOOKUP(C8,[4]report!$A$2:$R$257,18,FALSE)</f>
        <v>740000</v>
      </c>
      <c r="J8" s="14"/>
    </row>
    <row r="9" spans="2:10" s="5" customFormat="1" ht="21" customHeight="1" x14ac:dyDescent="0.25">
      <c r="B9" s="7">
        <v>4</v>
      </c>
      <c r="C9" s="52">
        <v>1262323965</v>
      </c>
      <c r="D9" s="12" t="str">
        <f>VLOOKUP(C9,[4]report!$A$2:$R$257,3,FALSE)</f>
        <v xml:space="preserve">DAMBARUDIN </v>
      </c>
      <c r="E9" s="12" t="str">
        <f>VLOOKUP(C9,[4]report!$A$2:$R$257,2,FALSE)</f>
        <v>7603014F</v>
      </c>
      <c r="F9" s="12">
        <f>VLOOKUP(C9,[4]report!$A$2:$R$257,5,FALSE)</f>
        <v>4120176213</v>
      </c>
      <c r="G9" s="12" t="str">
        <f>VLOOKUP(C9,[4]report!$A$2:$R$257,8,FALSE)</f>
        <v>Kota Baubau - Kota Makassar</v>
      </c>
      <c r="H9" s="12" t="str">
        <f>VLOOKUP(C9,[4]report!$A$2:$R$257,9,FALSE)</f>
        <v>19/06/2025 - 21/06/2025</v>
      </c>
      <c r="I9" s="13">
        <f>VLOOKUP(C9,[4]report!$A$2:$R$257,18,FALSE)</f>
        <v>740000</v>
      </c>
      <c r="J9" s="14"/>
    </row>
    <row r="10" spans="2:10" s="5" customFormat="1" ht="21" customHeight="1" x14ac:dyDescent="0.25">
      <c r="B10" s="7">
        <v>5</v>
      </c>
      <c r="C10" s="52">
        <v>1262253398</v>
      </c>
      <c r="D10" s="12" t="str">
        <f>VLOOKUP(C10,[4]report!$A$2:$R$257,3,FALSE)</f>
        <v>SYAMSURYA CATUR APRIAN</v>
      </c>
      <c r="E10" s="12" t="str">
        <f>VLOOKUP(C10,[4]report!$A$2:$R$257,2,FALSE)</f>
        <v>9212050FY</v>
      </c>
      <c r="F10" s="12">
        <f>VLOOKUP(C10,[4]report!$A$2:$R$257,5,FALSE)</f>
        <v>4120176107</v>
      </c>
      <c r="G10" s="12" t="str">
        <f>VLOOKUP(C10,[4]report!$A$2:$R$257,8,FALSE)</f>
        <v>Kab. Takalar - Kota Bandung</v>
      </c>
      <c r="H10" s="12" t="str">
        <f>VLOOKUP(C10,[4]report!$A$2:$R$257,9,FALSE)</f>
        <v>15/06/2025 - 23/06/2025</v>
      </c>
      <c r="I10" s="13">
        <f>VLOOKUP(C10,[4]report!$A$2:$R$257,18,FALSE)</f>
        <v>784124</v>
      </c>
      <c r="J10" s="14"/>
    </row>
    <row r="11" spans="2:10" s="5" customFormat="1" ht="21" customHeight="1" x14ac:dyDescent="0.25">
      <c r="B11" s="7">
        <v>6</v>
      </c>
      <c r="C11" s="52">
        <v>1262333962</v>
      </c>
      <c r="D11" s="12" t="str">
        <f>VLOOKUP(C11,[4]report!$A$2:$R$257,3,FALSE)</f>
        <v xml:space="preserve">DAMBARUDIN </v>
      </c>
      <c r="E11" s="12" t="str">
        <f>VLOOKUP(C11,[4]report!$A$2:$R$257,2,FALSE)</f>
        <v>7603014F</v>
      </c>
      <c r="F11" s="12">
        <f>VLOOKUP(C11,[4]report!$A$2:$R$257,5,FALSE)</f>
        <v>4120176213</v>
      </c>
      <c r="G11" s="12" t="str">
        <f>VLOOKUP(C11,[4]report!$A$2:$R$257,8,FALSE)</f>
        <v>Kota Baubau - Kota Makassar</v>
      </c>
      <c r="H11" s="12" t="str">
        <f>VLOOKUP(C11,[4]report!$A$2:$R$257,9,FALSE)</f>
        <v>19/06/2025 - 21/06/2025</v>
      </c>
      <c r="I11" s="13">
        <f>VLOOKUP(C11,[4]report!$A$2:$R$257,18,FALSE)</f>
        <v>805200</v>
      </c>
      <c r="J11" s="14"/>
    </row>
    <row r="12" spans="2:10" s="5" customFormat="1" ht="21" customHeight="1" x14ac:dyDescent="0.25">
      <c r="B12" s="7">
        <v>7</v>
      </c>
      <c r="C12" s="52">
        <v>1262216472</v>
      </c>
      <c r="D12" s="12" t="str">
        <f>VLOOKUP(C12,[4]report!$A$2:$R$257,3,FALSE)</f>
        <v>OLIVER KEVIN NDOEN</v>
      </c>
      <c r="E12" s="12" t="str">
        <f>VLOOKUP(C12,[4]report!$A$2:$R$257,2,FALSE)</f>
        <v>94191264ZY</v>
      </c>
      <c r="F12" s="12">
        <f>VLOOKUP(C12,[4]report!$A$2:$R$257,5,FALSE)</f>
        <v>4120176218</v>
      </c>
      <c r="G12" s="12" t="str">
        <f>VLOOKUP(C12,[4]report!$A$2:$R$257,8,FALSE)</f>
        <v>Kota Kendari - Kota Makassar</v>
      </c>
      <c r="H12" s="12" t="str">
        <f>VLOOKUP(C12,[4]report!$A$2:$R$257,9,FALSE)</f>
        <v>19/06/2025 - 21/06/2025</v>
      </c>
      <c r="I12" s="13">
        <f>VLOOKUP(C12,[4]report!$A$2:$R$257,18,FALSE)</f>
        <v>851400</v>
      </c>
      <c r="J12" s="14"/>
    </row>
    <row r="13" spans="2:10" s="5" customFormat="1" ht="21" customHeight="1" x14ac:dyDescent="0.25">
      <c r="B13" s="7">
        <v>8</v>
      </c>
      <c r="C13" s="52">
        <v>1262317576</v>
      </c>
      <c r="D13" s="12" t="str">
        <f>VLOOKUP(C13,[4]report!$A$2:$R$257,3,FALSE)</f>
        <v>GERALDY RIZKO ADHIRA PUTRA</v>
      </c>
      <c r="E13" s="12" t="str">
        <f>VLOOKUP(C13,[4]report!$A$2:$R$257,2,FALSE)</f>
        <v>0024047ZY</v>
      </c>
      <c r="F13" s="12">
        <f>VLOOKUP(C13,[4]report!$A$2:$R$257,5,FALSE)</f>
        <v>4120176272</v>
      </c>
      <c r="G13" s="12" t="str">
        <f>VLOOKUP(C13,[4]report!$A$2:$R$257,8,FALSE)</f>
        <v>Kab. Pinrang - Kota Makassar</v>
      </c>
      <c r="H13" s="12" t="str">
        <f>VLOOKUP(C13,[4]report!$A$2:$R$257,9,FALSE)</f>
        <v>22/06/2025 - 24/06/2025</v>
      </c>
      <c r="I13" s="13">
        <f>VLOOKUP(C13,[4]report!$A$2:$R$257,18,FALSE)</f>
        <v>1599078</v>
      </c>
      <c r="J13" s="14"/>
    </row>
    <row r="14" spans="2:10" s="5" customFormat="1" ht="21" customHeight="1" x14ac:dyDescent="0.25">
      <c r="B14" s="7">
        <v>9</v>
      </c>
      <c r="C14" s="52">
        <v>1262368149</v>
      </c>
      <c r="D14" s="12" t="str">
        <f>VLOOKUP(C14,[4]report!$A$2:$R$257,3,FALSE)</f>
        <v>KRISNA DIAN SAPUTRA</v>
      </c>
      <c r="E14" s="12" t="str">
        <f>VLOOKUP(C14,[4]report!$A$2:$R$257,2,FALSE)</f>
        <v>9619391ZY</v>
      </c>
      <c r="F14" s="12">
        <f>VLOOKUP(C14,[4]report!$A$2:$R$257,5,FALSE)</f>
        <v>4120176267</v>
      </c>
      <c r="G14" s="12" t="str">
        <f>VLOOKUP(C14,[4]report!$A$2:$R$257,8,FALSE)</f>
        <v>Kota Baubau - Kab. Muna</v>
      </c>
      <c r="H14" s="12" t="str">
        <f>VLOOKUP(C14,[4]report!$A$2:$R$257,9,FALSE)</f>
        <v>22/06/2025 - 25/06/2025</v>
      </c>
      <c r="I14" s="13">
        <f>VLOOKUP(C14,[4]report!$A$2:$R$257,18,FALSE)</f>
        <v>1950000</v>
      </c>
      <c r="J14" s="15"/>
    </row>
    <row r="15" spans="2:10" s="5" customFormat="1" ht="21" customHeight="1" x14ac:dyDescent="0.25">
      <c r="B15" s="7">
        <v>10</v>
      </c>
      <c r="C15" s="52">
        <v>1262327013</v>
      </c>
      <c r="D15" s="12" t="str">
        <f>VLOOKUP(C15,[4]report!$A$2:$R$257,3,FALSE)</f>
        <v>RESJAN MANAYA SAMBARA</v>
      </c>
      <c r="E15" s="12" t="str">
        <f>VLOOKUP(C15,[4]report!$A$2:$R$257,2,FALSE)</f>
        <v>9110014F</v>
      </c>
      <c r="F15" s="12">
        <f>VLOOKUP(C15,[4]report!$A$2:$R$257,5,FALSE)</f>
        <v>4120176248</v>
      </c>
      <c r="G15" s="12" t="str">
        <f>VLOOKUP(C15,[4]report!$A$2:$R$257,8,FALSE)</f>
        <v>Kota Makassar - Kab. Mamuju</v>
      </c>
      <c r="H15" s="12" t="str">
        <f>VLOOKUP(C15,[4]report!$A$2:$R$257,9,FALSE)</f>
        <v>23/06/2025 - 26/06/2025</v>
      </c>
      <c r="I15" s="13">
        <f>VLOOKUP(C15,[4]report!$A$2:$R$257,18,FALSE)</f>
        <v>2147562</v>
      </c>
      <c r="J15" s="15"/>
    </row>
    <row r="16" spans="2:10" s="5" customFormat="1" ht="21" customHeight="1" x14ac:dyDescent="0.25">
      <c r="B16" s="7">
        <v>11</v>
      </c>
      <c r="C16" s="52">
        <v>1262275841</v>
      </c>
      <c r="D16" s="12" t="str">
        <f>VLOOKUP(C16,[4]report!$A$2:$R$257,3,FALSE)</f>
        <v>FIRDA HUWAIDA ULFAH</v>
      </c>
      <c r="E16" s="12" t="str">
        <f>VLOOKUP(C16,[4]report!$A$2:$R$257,2,FALSE)</f>
        <v>95191885ZY</v>
      </c>
      <c r="F16" s="12">
        <f>VLOOKUP(C16,[4]report!$A$2:$R$257,5,FALSE)</f>
        <v>4120176262</v>
      </c>
      <c r="G16" s="12" t="str">
        <f>VLOOKUP(C16,[4]report!$A$2:$R$257,8,FALSE)</f>
        <v>Kab. Bone - Kota Makassar</v>
      </c>
      <c r="H16" s="12" t="str">
        <f>VLOOKUP(C16,[4]report!$A$2:$R$257,9,FALSE)</f>
        <v>23/06/2025 - 26/06/2025</v>
      </c>
      <c r="I16" s="13">
        <f>VLOOKUP(C16,[4]report!$A$2:$R$257,18,FALSE)</f>
        <v>2170740</v>
      </c>
      <c r="J16" s="15"/>
    </row>
    <row r="17" spans="2:10" s="5" customFormat="1" ht="21" customHeight="1" x14ac:dyDescent="0.25">
      <c r="B17" s="7">
        <v>12</v>
      </c>
      <c r="C17" s="52">
        <v>1262276157</v>
      </c>
      <c r="D17" s="12" t="str">
        <f>VLOOKUP(C17,[4]report!$A$2:$R$257,3,FALSE)</f>
        <v>MYANA RINO ANDHANA</v>
      </c>
      <c r="E17" s="12" t="str">
        <f>VLOOKUP(C17,[4]report!$A$2:$R$257,2,FALSE)</f>
        <v>96191897ZY</v>
      </c>
      <c r="F17" s="12">
        <f>VLOOKUP(C17,[4]report!$A$2:$R$257,5,FALSE)</f>
        <v>4120176264</v>
      </c>
      <c r="G17" s="12" t="str">
        <f>VLOOKUP(C17,[4]report!$A$2:$R$257,8,FALSE)</f>
        <v>Kab. Bone - Kota Makassar</v>
      </c>
      <c r="H17" s="12" t="str">
        <f>VLOOKUP(C17,[4]report!$A$2:$R$257,9,FALSE)</f>
        <v>23/06/2025 - 26/06/2025</v>
      </c>
      <c r="I17" s="13">
        <f>VLOOKUP(C17,[4]report!$A$2:$R$257,18,FALSE)</f>
        <v>2170740</v>
      </c>
      <c r="J17" s="15"/>
    </row>
    <row r="18" spans="2:10" s="5" customFormat="1" ht="21" customHeight="1" x14ac:dyDescent="0.25">
      <c r="B18" s="7">
        <v>13</v>
      </c>
      <c r="C18" s="52">
        <v>1262278836</v>
      </c>
      <c r="D18" s="12" t="str">
        <f>VLOOKUP(C18,[4]report!$A$2:$R$257,3,FALSE)</f>
        <v>FIKRI ENGGAR LUKITA</v>
      </c>
      <c r="E18" s="12" t="str">
        <f>VLOOKUP(C18,[4]report!$A$2:$R$257,2,FALSE)</f>
        <v>9718094FBY</v>
      </c>
      <c r="F18" s="12">
        <f>VLOOKUP(C18,[4]report!$A$2:$R$257,5,FALSE)</f>
        <v>4120176260</v>
      </c>
      <c r="G18" s="12" t="str">
        <f>VLOOKUP(C18,[4]report!$A$2:$R$257,8,FALSE)</f>
        <v>Kab. Bone - Kota Makassar</v>
      </c>
      <c r="H18" s="12" t="str">
        <f>VLOOKUP(C18,[4]report!$A$2:$R$257,9,FALSE)</f>
        <v>22/06/2025 - 25/06/2025</v>
      </c>
      <c r="I18" s="13">
        <f>VLOOKUP(C18,[4]report!$A$2:$R$257,18,FALSE)</f>
        <v>2170740</v>
      </c>
      <c r="J18" s="15"/>
    </row>
    <row r="19" spans="2:10" s="5" customFormat="1" ht="21" customHeight="1" x14ac:dyDescent="0.25">
      <c r="B19" s="7">
        <v>14</v>
      </c>
      <c r="C19" s="52">
        <v>1262252141</v>
      </c>
      <c r="D19" s="12" t="str">
        <f>VLOOKUP(C19,[4]report!$A$2:$R$257,3,FALSE)</f>
        <v>SYAMSURYA CATUR APRIAN</v>
      </c>
      <c r="E19" s="12" t="str">
        <f>VLOOKUP(C19,[4]report!$A$2:$R$257,2,FALSE)</f>
        <v>9212050FY</v>
      </c>
      <c r="F19" s="12">
        <f>VLOOKUP(C19,[4]report!$A$2:$R$257,5,FALSE)</f>
        <v>4120176107</v>
      </c>
      <c r="G19" s="12" t="str">
        <f>VLOOKUP(C19,[4]report!$A$2:$R$257,8,FALSE)</f>
        <v>Kab. Takalar - Kota Bandung</v>
      </c>
      <c r="H19" s="12" t="str">
        <f>VLOOKUP(C19,[4]report!$A$2:$R$257,9,FALSE)</f>
        <v>15/06/2025 - 23/06/2025</v>
      </c>
      <c r="I19" s="13">
        <f>VLOOKUP(C19,[4]report!$A$2:$R$257,18,FALSE)</f>
        <v>2214000</v>
      </c>
      <c r="J19" s="15"/>
    </row>
    <row r="20" spans="2:10" s="5" customFormat="1" ht="21" customHeight="1" x14ac:dyDescent="0.25">
      <c r="B20" s="7">
        <v>15</v>
      </c>
      <c r="C20" s="52">
        <v>1262479926</v>
      </c>
      <c r="D20" s="12" t="str">
        <f>VLOOKUP(C20,[4]report!$A$2:$R$257,3,FALSE)</f>
        <v>PUTRI NILAM K. A.</v>
      </c>
      <c r="E20" s="12" t="str">
        <f>VLOOKUP(C20,[4]report!$A$2:$R$257,2,FALSE)</f>
        <v>8510194Z</v>
      </c>
      <c r="F20" s="12">
        <f>VLOOKUP(C20,[4]report!$A$2:$R$257,5,FALSE)</f>
        <v>4120176295</v>
      </c>
      <c r="G20" s="12" t="str">
        <f>VLOOKUP(C20,[4]report!$A$2:$R$257,8,FALSE)</f>
        <v>Kota Makassar - Kab. Bogor</v>
      </c>
      <c r="H20" s="12" t="str">
        <f>VLOOKUP(C20,[4]report!$A$2:$R$257,9,FALSE)</f>
        <v>22/06/2025 - 26/06/2025</v>
      </c>
      <c r="I20" s="13">
        <f>VLOOKUP(C20,[4]report!$A$2:$R$257,18,FALSE)</f>
        <v>1758700</v>
      </c>
      <c r="J20" s="15"/>
    </row>
    <row r="21" spans="2:10" s="5" customFormat="1" ht="21" customHeight="1" x14ac:dyDescent="0.25">
      <c r="B21" s="7">
        <v>16</v>
      </c>
      <c r="C21" s="52">
        <v>1262480962</v>
      </c>
      <c r="D21" s="12" t="str">
        <f>VLOOKUP(C21,[4]report!$A$2:$R$257,3,FALSE)</f>
        <v>APRIANTO ROMBEPAYUNG</v>
      </c>
      <c r="E21" s="12" t="str">
        <f>VLOOKUP(C21,[4]report!$A$2:$R$257,2,FALSE)</f>
        <v>92141020ZY</v>
      </c>
      <c r="F21" s="12">
        <f>VLOOKUP(C21,[4]report!$A$2:$R$257,5,FALSE)</f>
        <v>4120176290</v>
      </c>
      <c r="G21" s="12" t="str">
        <f>VLOOKUP(C21,[4]report!$A$2:$R$257,8,FALSE)</f>
        <v>Kota Makassar - Kab. Bogor</v>
      </c>
      <c r="H21" s="12" t="str">
        <f>VLOOKUP(C21,[4]report!$A$2:$R$257,9,FALSE)</f>
        <v>22/06/2025 - 26/06/2025</v>
      </c>
      <c r="I21" s="13">
        <f>VLOOKUP(C21,[4]report!$A$2:$R$257,18,FALSE)</f>
        <v>1758700</v>
      </c>
      <c r="J21" s="15"/>
    </row>
    <row r="22" spans="2:10" s="5" customFormat="1" ht="21" customHeight="1" x14ac:dyDescent="0.25">
      <c r="B22" s="7">
        <v>17</v>
      </c>
      <c r="C22" s="52">
        <v>1262588310</v>
      </c>
      <c r="D22" s="12" t="str">
        <f>VLOOKUP(C22,[4]report!$A$2:$R$257,3,FALSE)</f>
        <v>ILHAM RAMADHAN</v>
      </c>
      <c r="E22" s="12" t="str">
        <f>VLOOKUP(C22,[4]report!$A$2:$R$257,2,FALSE)</f>
        <v>95172074ZY</v>
      </c>
      <c r="F22" s="12">
        <f>VLOOKUP(C22,[4]report!$A$2:$R$257,5,FALSE)</f>
        <v>4120176289</v>
      </c>
      <c r="G22" s="12" t="str">
        <f>VLOOKUP(C22,[4]report!$A$2:$R$257,8,FALSE)</f>
        <v>Kab. Pinrang - Kota Makassar</v>
      </c>
      <c r="H22" s="12" t="str">
        <f>VLOOKUP(C22,[4]report!$A$2:$R$257,9,FALSE)</f>
        <v>23/06/2025 - 26/06/2025</v>
      </c>
      <c r="I22" s="13">
        <f>VLOOKUP(C22,[4]report!$A$2:$R$257,18,FALSE)</f>
        <v>2170740</v>
      </c>
      <c r="J22" s="15"/>
    </row>
    <row r="23" spans="2:10" s="5" customFormat="1" ht="21" customHeight="1" x14ac:dyDescent="0.25">
      <c r="B23" s="7">
        <v>18</v>
      </c>
      <c r="C23" s="52">
        <v>1262476529</v>
      </c>
      <c r="D23" s="12" t="str">
        <f>VLOOKUP(C23,[4]report!$A$2:$R$257,3,FALSE)</f>
        <v xml:space="preserve">ARJINOFALTIN </v>
      </c>
      <c r="E23" s="12" t="str">
        <f>VLOOKUP(C23,[4]report!$A$2:$R$257,2,FALSE)</f>
        <v>8908087F</v>
      </c>
      <c r="F23" s="12">
        <f>VLOOKUP(C23,[4]report!$A$2:$R$257,5,FALSE)</f>
        <v>4120176294</v>
      </c>
      <c r="G23" s="12" t="str">
        <f>VLOOKUP(C23,[4]report!$A$2:$R$257,8,FALSE)</f>
        <v>Kota Makassar - Kab. Bogor</v>
      </c>
      <c r="H23" s="12" t="str">
        <f>VLOOKUP(C23,[4]report!$A$2:$R$257,9,FALSE)</f>
        <v>22/06/2025 - 26/06/2025</v>
      </c>
      <c r="I23" s="13">
        <f>VLOOKUP(C23,[4]report!$A$2:$R$257,18,FALSE)</f>
        <v>2230600</v>
      </c>
      <c r="J23" s="15"/>
    </row>
    <row r="24" spans="2:10" s="5" customFormat="1" ht="21" customHeight="1" x14ac:dyDescent="0.25">
      <c r="B24" s="7">
        <v>19</v>
      </c>
      <c r="C24" s="52">
        <v>1262759250</v>
      </c>
      <c r="D24" s="12" t="str">
        <f>VLOOKUP(C24,[4]report!$A$2:$R$257,3,FALSE)</f>
        <v>ISMAIL SYAHRIR</v>
      </c>
      <c r="E24" s="12" t="str">
        <f>VLOOKUP(C24,[4]report!$A$2:$R$257,2,FALSE)</f>
        <v>8208010F</v>
      </c>
      <c r="F24" s="12">
        <f>VLOOKUP(C24,[4]report!$A$2:$R$257,5,FALSE)</f>
        <v>4120176304</v>
      </c>
      <c r="G24" s="12" t="str">
        <f>VLOOKUP(C24,[4]report!$A$2:$R$257,8,FALSE)</f>
        <v>Kab. Bulukumba - Kota Makassar</v>
      </c>
      <c r="H24" s="12" t="str">
        <f>VLOOKUP(C24,[4]report!$A$2:$R$257,9,FALSE)</f>
        <v>23/06/2025 - 25/06/2025</v>
      </c>
      <c r="I24" s="13">
        <f>VLOOKUP(C24,[4]report!$A$2:$R$257,18,FALSE)</f>
        <v>1251268</v>
      </c>
      <c r="J24" s="15"/>
    </row>
    <row r="25" spans="2:10" s="5" customFormat="1" ht="21" customHeight="1" x14ac:dyDescent="0.25">
      <c r="B25" s="7">
        <v>20</v>
      </c>
      <c r="C25" s="52">
        <v>1262780547</v>
      </c>
      <c r="D25" s="12" t="str">
        <f>VLOOKUP(C25,[4]report!$A$2:$R$257,3,FALSE)</f>
        <v>ANDI MUHAMMAD FAISAL TAMRIN</v>
      </c>
      <c r="E25" s="12" t="str">
        <f>VLOOKUP(C25,[4]report!$A$2:$R$257,2,FALSE)</f>
        <v>8809003F</v>
      </c>
      <c r="F25" s="12">
        <f>VLOOKUP(C25,[4]report!$A$2:$R$257,5,FALSE)</f>
        <v>4120176296</v>
      </c>
      <c r="G25" s="12" t="str">
        <f>VLOOKUP(C25,[4]report!$A$2:$R$257,8,FALSE)</f>
        <v>Kab. Bone - Kota Makassar</v>
      </c>
      <c r="H25" s="12" t="str">
        <f>VLOOKUP(C25,[4]report!$A$2:$R$257,9,FALSE)</f>
        <v>23/06/2025 - 25/06/2025</v>
      </c>
      <c r="I25" s="13">
        <f>VLOOKUP(C25,[4]report!$A$2:$R$257,18,FALSE)</f>
        <v>1257250</v>
      </c>
      <c r="J25" s="15"/>
    </row>
    <row r="26" spans="2:10" s="5" customFormat="1" ht="21" customHeight="1" x14ac:dyDescent="0.25">
      <c r="B26" s="7">
        <v>21</v>
      </c>
      <c r="C26" s="52">
        <v>1262818214</v>
      </c>
      <c r="D26" s="12" t="str">
        <f>VLOOKUP(C26,[4]report!$A$2:$R$257,3,FALSE)</f>
        <v xml:space="preserve">ARIFUDDIN </v>
      </c>
      <c r="E26" s="12" t="str">
        <f>VLOOKUP(C26,[4]report!$A$2:$R$257,2,FALSE)</f>
        <v>8308021F</v>
      </c>
      <c r="F26" s="12">
        <f>VLOOKUP(C26,[4]report!$A$2:$R$257,5,FALSE)</f>
        <v>4120176207</v>
      </c>
      <c r="G26" s="12" t="str">
        <f>VLOOKUP(C26,[4]report!$A$2:$R$257,8,FALSE)</f>
        <v>Kota Baubau - Kota Makassar</v>
      </c>
      <c r="H26" s="12" t="str">
        <f>VLOOKUP(C26,[4]report!$A$2:$R$257,9,FALSE)</f>
        <v>22/06/2025 - 26/06/2025</v>
      </c>
      <c r="I26" s="13">
        <f>VLOOKUP(C26,[4]report!$A$2:$R$257,18,FALSE)</f>
        <v>1710000</v>
      </c>
      <c r="J26" s="15"/>
    </row>
    <row r="27" spans="2:10" s="5" customFormat="1" ht="21" customHeight="1" x14ac:dyDescent="0.25">
      <c r="B27" s="7">
        <v>22</v>
      </c>
      <c r="C27" s="52">
        <v>1262749216</v>
      </c>
      <c r="D27" s="12" t="str">
        <f>VLOOKUP(C27,[4]report!$A$2:$R$257,3,FALSE)</f>
        <v>ZULKIFLI SETIOK</v>
      </c>
      <c r="E27" s="12" t="str">
        <f>VLOOKUP(C27,[4]report!$A$2:$R$257,2,FALSE)</f>
        <v>8908047F</v>
      </c>
      <c r="F27" s="12">
        <f>VLOOKUP(C27,[4]report!$A$2:$R$257,5,FALSE)</f>
        <v>4120176203</v>
      </c>
      <c r="G27" s="12" t="str">
        <f>VLOOKUP(C27,[4]report!$A$2:$R$257,8,FALSE)</f>
        <v>Kota Baubau - Kota Makassar</v>
      </c>
      <c r="H27" s="12" t="str">
        <f>VLOOKUP(C27,[4]report!$A$2:$R$257,9,FALSE)</f>
        <v>22/06/2025 - 26/06/2025</v>
      </c>
      <c r="I27" s="13">
        <f>VLOOKUP(C27,[4]report!$A$2:$R$257,18,FALSE)</f>
        <v>1742400</v>
      </c>
      <c r="J27" s="15"/>
    </row>
    <row r="28" spans="2:10" s="5" customFormat="1" ht="21" customHeight="1" x14ac:dyDescent="0.25">
      <c r="B28" s="7">
        <v>23</v>
      </c>
      <c r="C28" s="52">
        <v>1263115833</v>
      </c>
      <c r="D28" s="12" t="str">
        <f>VLOOKUP(C28,[4]report!$A$2:$R$257,3,FALSE)</f>
        <v>MUH. ILHAM EFENDY NASRUL</v>
      </c>
      <c r="E28" s="12" t="str">
        <f>VLOOKUP(C28,[4]report!$A$2:$R$257,2,FALSE)</f>
        <v>9821290ZY</v>
      </c>
      <c r="F28" s="12">
        <f>VLOOKUP(C28,[4]report!$A$2:$R$257,5,FALSE)</f>
        <v>4120176302</v>
      </c>
      <c r="G28" s="12" t="str">
        <f>VLOOKUP(C28,[4]report!$A$2:$R$257,8,FALSE)</f>
        <v>Kota Makassar - Kota Palopo</v>
      </c>
      <c r="H28" s="12" t="str">
        <f>VLOOKUP(C28,[4]report!$A$2:$R$257,9,FALSE)</f>
        <v>23/06/2025 - 27/06/2025</v>
      </c>
      <c r="I28" s="13">
        <f>VLOOKUP(C28,[4]report!$A$2:$R$257,18,FALSE)</f>
        <v>627000</v>
      </c>
      <c r="J28" s="15"/>
    </row>
    <row r="29" spans="2:10" s="5" customFormat="1" ht="21" customHeight="1" x14ac:dyDescent="0.25">
      <c r="B29" s="7">
        <v>24</v>
      </c>
      <c r="C29" s="52">
        <v>1263015634</v>
      </c>
      <c r="D29" s="12" t="str">
        <f>VLOOKUP(C29,[4]report!$A$2:$R$257,3,FALSE)</f>
        <v>SARTO SENOBUA'</v>
      </c>
      <c r="E29" s="12" t="str">
        <f>VLOOKUP(C29,[4]report!$A$2:$R$257,2,FALSE)</f>
        <v>9009026F</v>
      </c>
      <c r="F29" s="12">
        <f>VLOOKUP(C29,[4]report!$A$2:$R$257,5,FALSE)</f>
        <v>4120176307</v>
      </c>
      <c r="G29" s="12" t="str">
        <f>VLOOKUP(C29,[4]report!$A$2:$R$257,8,FALSE)</f>
        <v>Kab. Pinrang - Kota Makassar</v>
      </c>
      <c r="H29" s="12" t="str">
        <f>VLOOKUP(C29,[4]report!$A$2:$R$257,9,FALSE)</f>
        <v>23/06/2025 - 25/06/2025</v>
      </c>
      <c r="I29" s="13">
        <f>VLOOKUP(C29,[4]report!$A$2:$R$257,18,FALSE)</f>
        <v>1695000</v>
      </c>
      <c r="J29" s="15"/>
    </row>
    <row r="30" spans="2:10" s="5" customFormat="1" ht="21" customHeight="1" x14ac:dyDescent="0.25">
      <c r="B30" s="7">
        <v>25</v>
      </c>
      <c r="C30" s="52">
        <v>1263136999</v>
      </c>
      <c r="D30" s="12" t="str">
        <f>VLOOKUP(C30,[4]report!$A$2:$R$257,3,FALSE)</f>
        <v xml:space="preserve">ARDIANTO </v>
      </c>
      <c r="E30" s="12" t="str">
        <f>VLOOKUP(C30,[4]report!$A$2:$R$257,2,FALSE)</f>
        <v>84111259Z</v>
      </c>
      <c r="F30" s="12">
        <f>VLOOKUP(C30,[4]report!$A$2:$R$257,5,FALSE)</f>
        <v>4120176321</v>
      </c>
      <c r="G30" s="12" t="str">
        <f>VLOOKUP(C30,[4]report!$A$2:$R$257,8,FALSE)</f>
        <v>Kota Makassar - Kota Palopo</v>
      </c>
      <c r="H30" s="12" t="str">
        <f>VLOOKUP(C30,[4]report!$A$2:$R$257,9,FALSE)</f>
        <v>25/06/2025 - 27/06/2025</v>
      </c>
      <c r="I30" s="13">
        <f>VLOOKUP(C30,[4]report!$A$2:$R$257,18,FALSE)</f>
        <v>886788</v>
      </c>
      <c r="J30" s="15"/>
    </row>
    <row r="31" spans="2:10" s="5" customFormat="1" ht="21" customHeight="1" x14ac:dyDescent="0.25">
      <c r="B31" s="7">
        <v>26</v>
      </c>
      <c r="C31" s="52">
        <v>1263210074</v>
      </c>
      <c r="D31" s="12" t="str">
        <f>VLOOKUP(C31,[4]report!$A$2:$R$257,3,FALSE)</f>
        <v>A. MALLOMBASSI</v>
      </c>
      <c r="E31" s="12" t="str">
        <f>VLOOKUP(C31,[4]report!$A$2:$R$257,2,FALSE)</f>
        <v>8611991Z</v>
      </c>
      <c r="F31" s="12">
        <f>VLOOKUP(C31,[4]report!$A$2:$R$257,5,FALSE)</f>
        <v>4120176265</v>
      </c>
      <c r="G31" s="12" t="str">
        <f>VLOOKUP(C31,[4]report!$A$2:$R$257,8,FALSE)</f>
        <v>Kab. Bone - Kota Makassar</v>
      </c>
      <c r="H31" s="12" t="str">
        <f>VLOOKUP(C31,[4]report!$A$2:$R$257,9,FALSE)</f>
        <v>23/06/2025 - 26/06/2025</v>
      </c>
      <c r="I31" s="13">
        <f>VLOOKUP(C31,[4]report!$A$2:$R$257,18,FALSE)</f>
        <v>1027401</v>
      </c>
      <c r="J31" s="15"/>
    </row>
    <row r="32" spans="2:10" s="5" customFormat="1" ht="21" customHeight="1" x14ac:dyDescent="0.25">
      <c r="B32" s="7">
        <v>27</v>
      </c>
      <c r="C32" s="52">
        <v>1263156319</v>
      </c>
      <c r="D32" s="12" t="str">
        <f>VLOOKUP(C32,[4]report!$A$2:$R$257,3,FALSE)</f>
        <v>ARIFUDDIN</v>
      </c>
      <c r="E32" s="12" t="str">
        <f>VLOOKUP(C32,[4]report!$A$2:$R$257,2,FALSE)</f>
        <v>8308021F</v>
      </c>
      <c r="F32" s="12">
        <f>VLOOKUP(C32,[4]report!$A$2:$R$257,5,FALSE)</f>
        <v>4120176207</v>
      </c>
      <c r="G32" s="12" t="str">
        <f>VLOOKUP(C32,[4]report!$A$2:$R$257,8,FALSE)</f>
        <v>KotaBaubau-KotaMakassar</v>
      </c>
      <c r="H32" s="12" t="str">
        <f>VLOOKUP(C32,[4]report!$A$2:$R$257,9,FALSE)</f>
        <v>22/06/2025 - 26/06/2025</v>
      </c>
      <c r="I32" s="13">
        <f>VLOOKUP(C32,[4]report!$A$2:$R$257,18,FALSE)</f>
        <v>1390000</v>
      </c>
      <c r="J32" s="15"/>
    </row>
    <row r="33" spans="2:10" s="5" customFormat="1" ht="21" customHeight="1" x14ac:dyDescent="0.25">
      <c r="B33" s="7">
        <v>28</v>
      </c>
      <c r="C33" s="52">
        <v>1263165735</v>
      </c>
      <c r="D33" s="12" t="str">
        <f>VLOOKUP(C33,[4]report!$A$2:$R$257,3,FALSE)</f>
        <v>YUSUF TRIADI</v>
      </c>
      <c r="E33" s="12" t="str">
        <f>VLOOKUP(C33,[4]report!$A$2:$R$257,2,FALSE)</f>
        <v>8610591Z</v>
      </c>
      <c r="F33" s="12">
        <f>VLOOKUP(C33,[4]report!$A$2:$R$257,5,FALSE)</f>
        <v>4120176349</v>
      </c>
      <c r="G33" s="12" t="str">
        <f>VLOOKUP(C33,[4]report!$A$2:$R$257,8,FALSE)</f>
        <v>Kota Makassar - Kota Surabaya</v>
      </c>
      <c r="H33" s="12" t="str">
        <f>VLOOKUP(C33,[4]report!$A$2:$R$257,9,FALSE)</f>
        <v>24/06/2025 - 26/06/2025</v>
      </c>
      <c r="I33" s="13">
        <f>VLOOKUP(C33,[4]report!$A$2:$R$257,18,FALSE)</f>
        <v>1407000</v>
      </c>
      <c r="J33" s="15"/>
    </row>
    <row r="34" spans="2:10" s="5" customFormat="1" ht="21" customHeight="1" x14ac:dyDescent="0.25">
      <c r="B34" s="7">
        <v>29</v>
      </c>
      <c r="C34" s="52">
        <v>1263129180</v>
      </c>
      <c r="D34" s="12" t="str">
        <f>VLOOKUP(C34,[4]report!$A$2:$R$257,3,FALSE)</f>
        <v>ARDAYA PRATAMA</v>
      </c>
      <c r="E34" s="12" t="str">
        <f>VLOOKUP(C34,[4]report!$A$2:$R$257,2,FALSE)</f>
        <v>0124013ZY</v>
      </c>
      <c r="F34" s="12">
        <f>VLOOKUP(C34,[4]report!$A$2:$R$257,5,FALSE)</f>
        <v>4120176288</v>
      </c>
      <c r="G34" s="12" t="str">
        <f>VLOOKUP(C34,[4]report!$A$2:$R$257,8,FALSE)</f>
        <v>Kota Baubau - Kota Makassar</v>
      </c>
      <c r="H34" s="12" t="str">
        <f>VLOOKUP(C34,[4]report!$A$2:$R$257,9,FALSE)</f>
        <v>22/06/2025 - 25/06/2025</v>
      </c>
      <c r="I34" s="13">
        <f>VLOOKUP(C34,[4]report!$A$2:$R$257,18,FALSE)</f>
        <v>1626754</v>
      </c>
      <c r="J34" s="17"/>
    </row>
    <row r="35" spans="2:10" s="5" customFormat="1" ht="21" customHeight="1" x14ac:dyDescent="0.25">
      <c r="B35" s="7">
        <v>30</v>
      </c>
      <c r="C35" s="53">
        <v>1263170201</v>
      </c>
      <c r="D35" s="12" t="str">
        <f>VLOOKUP(C35,[4]report!$A$2:$R$257,3,FALSE)</f>
        <v xml:space="preserve">ZUNARYATI </v>
      </c>
      <c r="E35" s="12" t="str">
        <f>VLOOKUP(C35,[4]report!$A$2:$R$257,2,FALSE)</f>
        <v>89112379Z</v>
      </c>
      <c r="F35" s="12">
        <f>VLOOKUP(C35,[4]report!$A$2:$R$257,5,FALSE)</f>
        <v>4120176348</v>
      </c>
      <c r="G35" s="12" t="str">
        <f>VLOOKUP(C35,[4]report!$A$2:$R$257,8,FALSE)</f>
        <v>Kota Makassar - Jakarta Pusat</v>
      </c>
      <c r="H35" s="12" t="str">
        <f>VLOOKUP(C35,[4]report!$A$2:$R$257,9,FALSE)</f>
        <v>24/06/2025 - 27/06/2025</v>
      </c>
      <c r="I35" s="13">
        <f>VLOOKUP(C35,[4]report!$A$2:$R$257,18,FALSE)</f>
        <v>1906000</v>
      </c>
      <c r="J35" s="17"/>
    </row>
    <row r="36" spans="2:10" s="5" customFormat="1" ht="21" customHeight="1" x14ac:dyDescent="0.25">
      <c r="B36" s="7">
        <v>31</v>
      </c>
      <c r="C36" s="52">
        <v>1263174074</v>
      </c>
      <c r="D36" s="12" t="str">
        <f>VLOOKUP(C36,[4]report!$A$2:$R$257,3,FALSE)</f>
        <v>ZULKIFLI SETIOK</v>
      </c>
      <c r="E36" s="12" t="str">
        <f>VLOOKUP(C36,[4]report!$A$2:$R$257,2,FALSE)</f>
        <v>8908047F</v>
      </c>
      <c r="F36" s="12">
        <f>VLOOKUP(C36,[4]report!$A$2:$R$257,5,FALSE)</f>
        <v>4120176203</v>
      </c>
      <c r="G36" s="12" t="str">
        <f>VLOOKUP(C36,[4]report!$A$2:$R$257,8,FALSE)</f>
        <v>Kota Baubau - Kota Makassar</v>
      </c>
      <c r="H36" s="12" t="str">
        <f>VLOOKUP(C36,[4]report!$A$2:$R$257,9,FALSE)</f>
        <v>22/06/2025 - 26/06/2025</v>
      </c>
      <c r="I36" s="13">
        <f>VLOOKUP(C36,[4]report!$A$2:$R$257,18,FALSE)</f>
        <v>1923900</v>
      </c>
      <c r="J36" s="15"/>
    </row>
    <row r="37" spans="2:10" s="5" customFormat="1" ht="21" customHeight="1" x14ac:dyDescent="0.25">
      <c r="B37" s="7">
        <v>32</v>
      </c>
      <c r="C37" s="53">
        <v>1263131607</v>
      </c>
      <c r="D37" s="12" t="str">
        <f>VLOOKUP(C37,[4]report!$A$2:$R$257,3,FALSE)</f>
        <v>ARMAN</v>
      </c>
      <c r="E37" s="12" t="str">
        <f>VLOOKUP(C37,[4]report!$A$2:$R$257,2,FALSE)</f>
        <v>7493036F</v>
      </c>
      <c r="F37" s="12">
        <f>VLOOKUP(C37,[4]report!$A$2:$R$257,5,FALSE)</f>
        <v>4120176261</v>
      </c>
      <c r="G37" s="12" t="str">
        <f>VLOOKUP(C37,[4]report!$A$2:$R$257,8,FALSE)</f>
        <v>KotaMakassar-Kab.Mamuju</v>
      </c>
      <c r="H37" s="12" t="str">
        <f>VLOOKUP(C37,[4]report!$A$2:$R$257,9,FALSE)</f>
        <v>23/06/2025 - 26/06/2025</v>
      </c>
      <c r="I37" s="13">
        <f>VLOOKUP(C37,[4]report!$A$2:$R$257,18,FALSE)</f>
        <v>2280000</v>
      </c>
      <c r="J37" s="14"/>
    </row>
    <row r="38" spans="2:10" s="5" customFormat="1" ht="21" customHeight="1" x14ac:dyDescent="0.25">
      <c r="B38" s="7">
        <v>33</v>
      </c>
      <c r="C38" s="52">
        <v>1263371603</v>
      </c>
      <c r="D38" s="12" t="str">
        <f>VLOOKUP(C38,[4]report!$A$2:$R$257,3,FALSE)</f>
        <v>MUH. ILHAM EFENDY NASRUL</v>
      </c>
      <c r="E38" s="12" t="str">
        <f>VLOOKUP(C38,[4]report!$A$2:$R$257,2,FALSE)</f>
        <v>9821290ZY</v>
      </c>
      <c r="F38" s="12">
        <f>VLOOKUP(C38,[4]report!$A$2:$R$257,5,FALSE)</f>
        <v>4120176302</v>
      </c>
      <c r="G38" s="12" t="str">
        <f>VLOOKUP(C38,[4]report!$A$2:$R$257,8,FALSE)</f>
        <v>Kota Makassar - Kota Palopo</v>
      </c>
      <c r="H38" s="12" t="str">
        <f>VLOOKUP(C38,[4]report!$A$2:$R$257,9,FALSE)</f>
        <v>23/06/2025 - 27/06/2025</v>
      </c>
      <c r="I38" s="13">
        <f>VLOOKUP(C38,[4]report!$A$2:$R$257,18,FALSE)</f>
        <v>543000</v>
      </c>
      <c r="J38" s="15"/>
    </row>
    <row r="39" spans="2:10" s="5" customFormat="1" ht="21" customHeight="1" x14ac:dyDescent="0.25">
      <c r="B39" s="7">
        <v>34</v>
      </c>
      <c r="C39" s="52">
        <v>1263383923</v>
      </c>
      <c r="D39" s="12" t="str">
        <f>VLOOKUP(C39,[4]report!$A$2:$R$257,3,FALSE)</f>
        <v>ARDAYA PRATAMA</v>
      </c>
      <c r="E39" s="12" t="str">
        <f>VLOOKUP(C39,[4]report!$A$2:$R$257,2,FALSE)</f>
        <v>0124013ZY</v>
      </c>
      <c r="F39" s="12">
        <f>VLOOKUP(C39,[4]report!$A$2:$R$257,5,FALSE)</f>
        <v>4120176288</v>
      </c>
      <c r="G39" s="12" t="str">
        <f>VLOOKUP(C39,[4]report!$A$2:$R$257,8,FALSE)</f>
        <v>Kota Baubau - Kota Makassar</v>
      </c>
      <c r="H39" s="12" t="str">
        <f>VLOOKUP(C39,[4]report!$A$2:$R$257,9,FALSE)</f>
        <v>22/06/2025 - 25/06/2025</v>
      </c>
      <c r="I39" s="13">
        <f>VLOOKUP(C39,[4]report!$A$2:$R$257,18,FALSE)</f>
        <v>805200</v>
      </c>
      <c r="J39" s="14"/>
    </row>
    <row r="40" spans="2:10" s="5" customFormat="1" ht="21" customHeight="1" x14ac:dyDescent="0.25">
      <c r="B40" s="7">
        <v>35</v>
      </c>
      <c r="C40" s="52">
        <v>1263245292</v>
      </c>
      <c r="D40" s="12" t="str">
        <f>VLOOKUP(C40,[4]report!$A$2:$R$257,3,FALSE)</f>
        <v>DALMASIUS NUGROHO ADI PUTRANTO</v>
      </c>
      <c r="E40" s="12" t="str">
        <f>VLOOKUP(C40,[4]report!$A$2:$R$257,2,FALSE)</f>
        <v>8007053Z</v>
      </c>
      <c r="F40" s="12">
        <f>VLOOKUP(C40,[4]report!$A$2:$R$257,5,FALSE)</f>
        <v>4120176340</v>
      </c>
      <c r="G40" s="12" t="str">
        <f>VLOOKUP(C40,[4]report!$A$2:$R$257,8,FALSE)</f>
        <v>Kota Makassar - Kota Kendari</v>
      </c>
      <c r="H40" s="12" t="str">
        <f>VLOOKUP(C40,[4]report!$A$2:$R$257,9,FALSE)</f>
        <v>24/06/2025 - 26/06/2025</v>
      </c>
      <c r="I40" s="13">
        <f>VLOOKUP(C40,[4]report!$A$2:$R$257,18,FALSE)</f>
        <v>807600</v>
      </c>
      <c r="J40" s="14"/>
    </row>
    <row r="41" spans="2:10" s="5" customFormat="1" ht="21" customHeight="1" x14ac:dyDescent="0.25">
      <c r="B41" s="7">
        <v>36</v>
      </c>
      <c r="C41" s="52">
        <v>1263246078</v>
      </c>
      <c r="D41" s="12" t="str">
        <f>VLOOKUP(C41,[4]report!$A$2:$R$257,3,FALSE)</f>
        <v>RIFKI MAULANA MUSLIM</v>
      </c>
      <c r="E41" s="12" t="str">
        <f>VLOOKUP(C41,[4]report!$A$2:$R$257,2,FALSE)</f>
        <v>9318892ZY</v>
      </c>
      <c r="F41" s="12">
        <f>VLOOKUP(C41,[4]report!$A$2:$R$257,5,FALSE)</f>
        <v>4120176346</v>
      </c>
      <c r="G41" s="12" t="str">
        <f>VLOOKUP(C41,[4]report!$A$2:$R$257,8,FALSE)</f>
        <v>Kota Parepare - Kota Bandung</v>
      </c>
      <c r="H41" s="12" t="str">
        <f>VLOOKUP(C41,[4]report!$A$2:$R$257,9,FALSE)</f>
        <v>29/06/2025 - 07/07/2025</v>
      </c>
      <c r="I41" s="13">
        <f>VLOOKUP(C41,[4]report!$A$2:$R$257,18,FALSE)</f>
        <v>834900</v>
      </c>
      <c r="J41" s="14"/>
    </row>
    <row r="42" spans="2:10" s="5" customFormat="1" ht="21" customHeight="1" x14ac:dyDescent="0.25">
      <c r="B42" s="7">
        <v>37</v>
      </c>
      <c r="C42" s="52">
        <v>1263305364</v>
      </c>
      <c r="D42" s="12" t="str">
        <f>VLOOKUP(C42,[4]report!$A$2:$R$257,3,FALSE)</f>
        <v>YULI ASHANIAIS RAMADANI</v>
      </c>
      <c r="E42" s="12" t="str">
        <f>VLOOKUP(C42,[4]report!$A$2:$R$257,2,FALSE)</f>
        <v>7904006F</v>
      </c>
      <c r="F42" s="12">
        <f>VLOOKUP(C42,[4]report!$A$2:$R$257,5,FALSE)</f>
        <v>4120176364</v>
      </c>
      <c r="G42" s="12" t="str">
        <f>VLOOKUP(C42,[4]report!$A$2:$R$257,8,FALSE)</f>
        <v>Kota Makassar - Kota Surabaya</v>
      </c>
      <c r="H42" s="12" t="str">
        <f>VLOOKUP(C42,[4]report!$A$2:$R$257,9,FALSE)</f>
        <v>25/06/2025 - 28/06/2025</v>
      </c>
      <c r="I42" s="13">
        <f>VLOOKUP(C42,[4]report!$A$2:$R$257,18,FALSE)</f>
        <v>995100</v>
      </c>
      <c r="J42" s="14"/>
    </row>
    <row r="43" spans="2:10" s="5" customFormat="1" ht="21" customHeight="1" x14ac:dyDescent="0.25">
      <c r="B43" s="7">
        <v>38</v>
      </c>
      <c r="C43" s="52">
        <v>1263249770</v>
      </c>
      <c r="D43" s="12" t="str">
        <f>VLOOKUP(C43,[4]report!$A$2:$R$257,3,FALSE)</f>
        <v>BASO NURAHMAN</v>
      </c>
      <c r="E43" s="12" t="str">
        <f>VLOOKUP(C43,[4]report!$A$2:$R$257,2,FALSE)</f>
        <v>7293035F</v>
      </c>
      <c r="F43" s="12">
        <f>VLOOKUP(C43,[4]report!$A$2:$R$257,5,FALSE)</f>
        <v>4120176354</v>
      </c>
      <c r="G43" s="12" t="str">
        <f>VLOOKUP(C43,[4]report!$A$2:$R$257,8,FALSE)</f>
        <v>Kota Makassar - Kota Surabaya</v>
      </c>
      <c r="H43" s="12" t="str">
        <f>VLOOKUP(C43,[4]report!$A$2:$R$257,9,FALSE)</f>
        <v>24/06/2025 - 27/06/2025</v>
      </c>
      <c r="I43" s="13">
        <f>VLOOKUP(C43,[4]report!$A$2:$R$257,18,FALSE)</f>
        <v>1428700</v>
      </c>
      <c r="J43" s="15"/>
    </row>
    <row r="44" spans="2:10" s="5" customFormat="1" ht="21" customHeight="1" x14ac:dyDescent="0.25">
      <c r="B44" s="7">
        <v>39</v>
      </c>
      <c r="C44" s="52">
        <v>1263297998</v>
      </c>
      <c r="D44" s="12" t="str">
        <f>VLOOKUP(C44,[4]report!$A$2:$R$257,3,FALSE)</f>
        <v xml:space="preserve">EDYANSYAH </v>
      </c>
      <c r="E44" s="12" t="str">
        <f>VLOOKUP(C44,[4]report!$A$2:$R$257,2,FALSE)</f>
        <v>7095015F</v>
      </c>
      <c r="F44" s="12">
        <f>VLOOKUP(C44,[4]report!$A$2:$R$257,5,FALSE)</f>
        <v>4120176362</v>
      </c>
      <c r="G44" s="12" t="str">
        <f>VLOOKUP(C44,[4]report!$A$2:$R$257,8,FALSE)</f>
        <v>Kota Makassar - Kota Surabaya</v>
      </c>
      <c r="H44" s="12" t="str">
        <f>VLOOKUP(C44,[4]report!$A$2:$R$257,9,FALSE)</f>
        <v>25/06/2025 - 28/06/2025</v>
      </c>
      <c r="I44" s="13">
        <f>VLOOKUP(C44,[4]report!$A$2:$R$257,18,FALSE)</f>
        <v>1498000</v>
      </c>
      <c r="J44" s="14"/>
    </row>
    <row r="45" spans="2:10" s="5" customFormat="1" ht="21" customHeight="1" x14ac:dyDescent="0.25">
      <c r="B45" s="7">
        <v>40</v>
      </c>
      <c r="C45" s="52">
        <v>1263302819</v>
      </c>
      <c r="D45" s="12" t="str">
        <f>VLOOKUP(C45,[4]report!$A$2:$R$257,3,FALSE)</f>
        <v>YULI ASHANIAIS RAMADANI</v>
      </c>
      <c r="E45" s="12" t="str">
        <f>VLOOKUP(C45,[4]report!$A$2:$R$257,2,FALSE)</f>
        <v>7904006F</v>
      </c>
      <c r="F45" s="12">
        <f>VLOOKUP(C45,[4]report!$A$2:$R$257,5,FALSE)</f>
        <v>4120176364</v>
      </c>
      <c r="G45" s="12" t="str">
        <f>VLOOKUP(C45,[4]report!$A$2:$R$257,8,FALSE)</f>
        <v>Kota Makassar - Kota Surabaya</v>
      </c>
      <c r="H45" s="12" t="str">
        <f>VLOOKUP(C45,[4]report!$A$2:$R$257,9,FALSE)</f>
        <v>25/06/2025 - 28/06/2025</v>
      </c>
      <c r="I45" s="13">
        <f>VLOOKUP(C45,[4]report!$A$2:$R$257,18,FALSE)</f>
        <v>1498000</v>
      </c>
      <c r="J45" s="14"/>
    </row>
    <row r="46" spans="2:10" s="5" customFormat="1" ht="21" customHeight="1" x14ac:dyDescent="0.25">
      <c r="B46" s="7">
        <v>41</v>
      </c>
      <c r="C46" s="52">
        <v>1263292809</v>
      </c>
      <c r="D46" s="12" t="str">
        <f>VLOOKUP(C46,[4]report!$A$2:$R$257,3,FALSE)</f>
        <v>ARMAN HIDAYAT</v>
      </c>
      <c r="E46" s="12" t="str">
        <f>VLOOKUP(C46,[4]report!$A$2:$R$257,2,FALSE)</f>
        <v>8914063ZY</v>
      </c>
      <c r="F46" s="12">
        <f>VLOOKUP(C46,[4]report!$A$2:$R$257,5,FALSE)</f>
        <v>4120176281</v>
      </c>
      <c r="G46" s="12" t="str">
        <f>VLOOKUP(C46,[4]report!$A$2:$R$257,8,FALSE)</f>
        <v>Kab.Pinrang-KotaMakassar</v>
      </c>
      <c r="H46" s="12" t="str">
        <f>VLOOKUP(C46,[4]report!$A$2:$R$257,9,FALSE)</f>
        <v>23/06/2025 - 26/06/2025</v>
      </c>
      <c r="I46" s="13">
        <f>VLOOKUP(C46,[4]report!$A$2:$R$257,18,FALSE)</f>
        <v>1589070</v>
      </c>
      <c r="J46" s="14"/>
    </row>
    <row r="47" spans="2:10" s="5" customFormat="1" ht="21" customHeight="1" x14ac:dyDescent="0.25">
      <c r="B47" s="7">
        <v>42</v>
      </c>
      <c r="C47" s="52">
        <v>1263268940</v>
      </c>
      <c r="D47" s="12" t="str">
        <f>VLOOKUP(C47,[4]report!$A$2:$R$257,3,FALSE)</f>
        <v>PUTRI NILAM K. A.</v>
      </c>
      <c r="E47" s="12" t="str">
        <f>VLOOKUP(C47,[4]report!$A$2:$R$257,2,FALSE)</f>
        <v>8510194Z</v>
      </c>
      <c r="F47" s="12">
        <f>VLOOKUP(C47,[4]report!$A$2:$R$257,5,FALSE)</f>
        <v>4120176295</v>
      </c>
      <c r="G47" s="12" t="str">
        <f>VLOOKUP(C47,[4]report!$A$2:$R$257,8,FALSE)</f>
        <v>KotaMakassar-Kab.Bogor</v>
      </c>
      <c r="H47" s="12" t="str">
        <f>VLOOKUP(C47,[4]report!$A$2:$R$257,9,FALSE)</f>
        <v>22/06/2025 - 26/06/2025</v>
      </c>
      <c r="I47" s="13">
        <f>VLOOKUP(C47,[4]report!$A$2:$R$257,18,FALSE)</f>
        <v>1766300</v>
      </c>
      <c r="J47" s="14"/>
    </row>
    <row r="48" spans="2:10" s="5" customFormat="1" ht="21" customHeight="1" x14ac:dyDescent="0.25">
      <c r="B48" s="7">
        <v>43</v>
      </c>
      <c r="C48" s="52">
        <v>1263267335</v>
      </c>
      <c r="D48" s="12" t="str">
        <f>VLOOKUP(C48,[4]report!$A$2:$R$257,3,FALSE)</f>
        <v>APRIANTO ROMBEPAYUNG</v>
      </c>
      <c r="E48" s="12" t="str">
        <f>VLOOKUP(C48,[4]report!$A$2:$R$257,2,FALSE)</f>
        <v>92141020ZY</v>
      </c>
      <c r="F48" s="12">
        <f>VLOOKUP(C48,[4]report!$A$2:$R$257,5,FALSE)</f>
        <v>4120176290</v>
      </c>
      <c r="G48" s="12" t="str">
        <f>VLOOKUP(C48,[4]report!$A$2:$R$257,8,FALSE)</f>
        <v>Kota Makassar - Kab. Bogor</v>
      </c>
      <c r="H48" s="12" t="str">
        <f>VLOOKUP(C48,[4]report!$A$2:$R$257,9,FALSE)</f>
        <v>22/06/2025 - 26/06/2025</v>
      </c>
      <c r="I48" s="13">
        <f>VLOOKUP(C48,[4]report!$A$2:$R$257,18,FALSE)</f>
        <v>1775000</v>
      </c>
      <c r="J48" s="14"/>
    </row>
    <row r="49" spans="2:10" s="5" customFormat="1" ht="21" customHeight="1" x14ac:dyDescent="0.25">
      <c r="B49" s="7">
        <v>44</v>
      </c>
      <c r="C49" s="52">
        <v>1263259129</v>
      </c>
      <c r="D49" s="12" t="str">
        <f>VLOOKUP(C49,[4]report!$A$2:$R$257,3,FALSE)</f>
        <v>ARJINOFALTIN</v>
      </c>
      <c r="E49" s="12" t="str">
        <f>VLOOKUP(C49,[4]report!$A$2:$R$257,2,FALSE)</f>
        <v>8908087F</v>
      </c>
      <c r="F49" s="12">
        <f>VLOOKUP(C49,[4]report!$A$2:$R$257,5,FALSE)</f>
        <v>4120176294</v>
      </c>
      <c r="G49" s="12" t="str">
        <f>VLOOKUP(C49,[4]report!$A$2:$R$257,8,FALSE)</f>
        <v>KotaMakassar-Kab.Bogor</v>
      </c>
      <c r="H49" s="12" t="str">
        <f>VLOOKUP(C49,[4]report!$A$2:$R$257,9,FALSE)</f>
        <v>22/06/2025 - 26/06/2025</v>
      </c>
      <c r="I49" s="13">
        <f>VLOOKUP(C49,[4]report!$A$2:$R$257,18,FALSE)</f>
        <v>1775000</v>
      </c>
      <c r="J49" s="14"/>
    </row>
    <row r="50" spans="2:10" s="5" customFormat="1" ht="21" customHeight="1" x14ac:dyDescent="0.25">
      <c r="B50" s="7">
        <v>45</v>
      </c>
      <c r="C50" s="52">
        <v>1263294551</v>
      </c>
      <c r="D50" s="12" t="str">
        <f>VLOOKUP(C50,[4]report!$A$2:$R$257,3,FALSE)</f>
        <v>PRADIKTA CENDIKA</v>
      </c>
      <c r="E50" s="12" t="str">
        <f>VLOOKUP(C50,[4]report!$A$2:$R$257,2,FALSE)</f>
        <v>8710466Z</v>
      </c>
      <c r="F50" s="12">
        <f>VLOOKUP(C50,[4]report!$A$2:$R$257,5,FALSE)</f>
        <v>4120176355</v>
      </c>
      <c r="G50" s="12" t="str">
        <f>VLOOKUP(C50,[4]report!$A$2:$R$257,8,FALSE)</f>
        <v>Kota Makassar - Jakarta Pusat</v>
      </c>
      <c r="H50" s="12" t="str">
        <f>VLOOKUP(C50,[4]report!$A$2:$R$257,9,FALSE)</f>
        <v>24/06/2025 - 27/06/2025</v>
      </c>
      <c r="I50" s="13">
        <f>VLOOKUP(C50,[4]report!$A$2:$R$257,18,FALSE)</f>
        <v>1906000</v>
      </c>
      <c r="J50" s="14"/>
    </row>
    <row r="51" spans="2:10" s="5" customFormat="1" ht="21" customHeight="1" x14ac:dyDescent="0.25">
      <c r="B51" s="7">
        <v>46</v>
      </c>
      <c r="C51" s="52">
        <v>1263251344</v>
      </c>
      <c r="D51" s="12" t="str">
        <f>VLOOKUP(C51,[4]report!$A$2:$R$257,3,FALSE)</f>
        <v>YUSUF TRIADI</v>
      </c>
      <c r="E51" s="12" t="str">
        <f>VLOOKUP(C51,[4]report!$A$2:$R$257,2,FALSE)</f>
        <v>8610591Z</v>
      </c>
      <c r="F51" s="12">
        <f>VLOOKUP(C51,[4]report!$A$2:$R$257,5,FALSE)</f>
        <v>4120176349</v>
      </c>
      <c r="G51" s="12" t="str">
        <f>VLOOKUP(C51,[4]report!$A$2:$R$257,8,FALSE)</f>
        <v>Kota Makassar - Kota Surabaya</v>
      </c>
      <c r="H51" s="12" t="str">
        <f>VLOOKUP(C51,[4]report!$A$2:$R$257,9,FALSE)</f>
        <v>24/06/2025 - 26/06/2025</v>
      </c>
      <c r="I51" s="13">
        <f>VLOOKUP(C51,[4]report!$A$2:$R$257,18,FALSE)</f>
        <v>1955000</v>
      </c>
      <c r="J51" s="15"/>
    </row>
    <row r="52" spans="2:10" s="5" customFormat="1" ht="21" customHeight="1" x14ac:dyDescent="0.25">
      <c r="B52" s="7">
        <v>47</v>
      </c>
      <c r="C52" s="52">
        <v>1263301592</v>
      </c>
      <c r="D52" s="12" t="str">
        <f>VLOOKUP(C52,[4]report!$A$2:$R$257,3,FALSE)</f>
        <v xml:space="preserve">EDYANSYAH </v>
      </c>
      <c r="E52" s="12" t="str">
        <f>VLOOKUP(C52,[4]report!$A$2:$R$257,2,FALSE)</f>
        <v>7095015F</v>
      </c>
      <c r="F52" s="12">
        <f>VLOOKUP(C52,[4]report!$A$2:$R$257,5,FALSE)</f>
        <v>4120176362</v>
      </c>
      <c r="G52" s="12" t="str">
        <f>VLOOKUP(C52,[4]report!$A$2:$R$257,8,FALSE)</f>
        <v>Kota Makassar - Kota Surabaya</v>
      </c>
      <c r="H52" s="12" t="str">
        <f>VLOOKUP(C52,[4]report!$A$2:$R$257,9,FALSE)</f>
        <v>25/06/2025 - 28/06/2025</v>
      </c>
      <c r="I52" s="13">
        <f>VLOOKUP(C52,[4]report!$A$2:$R$257,18,FALSE)</f>
        <v>1968800</v>
      </c>
      <c r="J52" s="15"/>
    </row>
    <row r="53" spans="2:10" s="5" customFormat="1" ht="21" customHeight="1" x14ac:dyDescent="0.25">
      <c r="B53" s="7">
        <v>48</v>
      </c>
      <c r="C53" s="52">
        <v>1263244565</v>
      </c>
      <c r="D53" s="12" t="str">
        <f>VLOOKUP(C53,[4]report!$A$2:$R$257,3,FALSE)</f>
        <v>RIFKI MAULANA MUSLIM</v>
      </c>
      <c r="E53" s="12" t="str">
        <f>VLOOKUP(C53,[4]report!$A$2:$R$257,2,FALSE)</f>
        <v>9318892ZY</v>
      </c>
      <c r="F53" s="12">
        <f>VLOOKUP(C53,[4]report!$A$2:$R$257,5,FALSE)</f>
        <v>4120176346</v>
      </c>
      <c r="G53" s="12" t="str">
        <f>VLOOKUP(C53,[4]report!$A$2:$R$257,8,FALSE)</f>
        <v>Kota Parepare - Kota Bandung</v>
      </c>
      <c r="H53" s="12" t="str">
        <f>VLOOKUP(C53,[4]report!$A$2:$R$257,9,FALSE)</f>
        <v>29/06/2025 - 07/07/2025</v>
      </c>
      <c r="I53" s="13">
        <f>VLOOKUP(C53,[4]report!$A$2:$R$257,18,FALSE)</f>
        <v>2080300</v>
      </c>
      <c r="J53" s="14"/>
    </row>
    <row r="54" spans="2:10" s="5" customFormat="1" ht="21" customHeight="1" x14ac:dyDescent="0.25">
      <c r="B54" s="7">
        <v>49</v>
      </c>
      <c r="C54" s="52">
        <v>1263245337</v>
      </c>
      <c r="D54" s="12" t="str">
        <f>VLOOKUP(C54,[4]report!$A$2:$R$257,3,FALSE)</f>
        <v>RIFKI MAULANA MUSLIM</v>
      </c>
      <c r="E54" s="12" t="str">
        <f>VLOOKUP(C54,[4]report!$A$2:$R$257,2,FALSE)</f>
        <v>9318892ZY</v>
      </c>
      <c r="F54" s="12">
        <f>VLOOKUP(C54,[4]report!$A$2:$R$257,5,FALSE)</f>
        <v>4120176346</v>
      </c>
      <c r="G54" s="12" t="str">
        <f>VLOOKUP(C54,[4]report!$A$2:$R$257,8,FALSE)</f>
        <v>Kota Parepare - Kota Bandung</v>
      </c>
      <c r="H54" s="12" t="str">
        <f>VLOOKUP(C54,[4]report!$A$2:$R$257,9,FALSE)</f>
        <v>29/06/2025 - 07/07/2025</v>
      </c>
      <c r="I54" s="13">
        <f>VLOOKUP(C54,[4]report!$A$2:$R$257,18,FALSE)</f>
        <v>2134200</v>
      </c>
      <c r="J54" s="14"/>
    </row>
    <row r="55" spans="2:10" s="5" customFormat="1" ht="21" customHeight="1" x14ac:dyDescent="0.25">
      <c r="B55" s="7">
        <v>50</v>
      </c>
      <c r="C55" s="52">
        <v>1263252000</v>
      </c>
      <c r="D55" s="12" t="str">
        <f>VLOOKUP(C55,[4]report!$A$2:$R$257,3,FALSE)</f>
        <v>BASO NURAHMAN</v>
      </c>
      <c r="E55" s="12" t="str">
        <f>VLOOKUP(C55,[4]report!$A$2:$R$257,2,FALSE)</f>
        <v>7293035F</v>
      </c>
      <c r="F55" s="12">
        <f>VLOOKUP(C55,[4]report!$A$2:$R$257,5,FALSE)</f>
        <v>4120176354</v>
      </c>
      <c r="G55" s="12" t="str">
        <f>VLOOKUP(C55,[4]report!$A$2:$R$257,8,FALSE)</f>
        <v>Kota Makassar - Kota Surabaya</v>
      </c>
      <c r="H55" s="12" t="str">
        <f>VLOOKUP(C55,[4]report!$A$2:$R$257,9,FALSE)</f>
        <v>24/06/2025 - 27/06/2025</v>
      </c>
      <c r="I55" s="13">
        <f>VLOOKUP(C55,[4]report!$A$2:$R$257,18,FALSE)</f>
        <v>2730000</v>
      </c>
      <c r="J55" s="14"/>
    </row>
    <row r="56" spans="2:10" s="5" customFormat="1" ht="21" customHeight="1" x14ac:dyDescent="0.25">
      <c r="B56" s="7">
        <v>51</v>
      </c>
      <c r="C56" s="52">
        <v>1263428914</v>
      </c>
      <c r="D56" s="12" t="str">
        <f>VLOOKUP(C56,[4]report!$A$2:$R$257,3,FALSE)</f>
        <v>ALAMSYAH ANWAR</v>
      </c>
      <c r="E56" s="12" t="str">
        <f>VLOOKUP(C56,[4]report!$A$2:$R$257,2,FALSE)</f>
        <v>7805001M</v>
      </c>
      <c r="F56" s="12">
        <f>VLOOKUP(C56,[4]report!$A$2:$R$257,5,FALSE)</f>
        <v>4120176370</v>
      </c>
      <c r="G56" s="12" t="str">
        <f>VLOOKUP(C56,[4]report!$A$2:$R$257,8,FALSE)</f>
        <v>Kota Makassar - Kota Surabaya</v>
      </c>
      <c r="H56" s="12" t="str">
        <f>VLOOKUP(C56,[4]report!$A$2:$R$257,9,FALSE)</f>
        <v>25/06/2025 - 27/06/2025</v>
      </c>
      <c r="I56" s="13">
        <f>VLOOKUP(C56,[4]report!$A$2:$R$257,18,FALSE)</f>
        <v>651000</v>
      </c>
      <c r="J56" s="14"/>
    </row>
    <row r="57" spans="2:10" s="5" customFormat="1" ht="21" customHeight="1" x14ac:dyDescent="0.25">
      <c r="B57" s="7">
        <v>52</v>
      </c>
      <c r="C57" s="52">
        <v>1263411803</v>
      </c>
      <c r="D57" s="12" t="str">
        <f>VLOOKUP(C57,[4]report!$A$2:$R$257,3,FALSE)</f>
        <v>ALAMSYAH ANWAR</v>
      </c>
      <c r="E57" s="12" t="str">
        <f>VLOOKUP(C57,[4]report!$A$2:$R$257,2,FALSE)</f>
        <v>7805001M</v>
      </c>
      <c r="F57" s="12">
        <f>VLOOKUP(C57,[4]report!$A$2:$R$257,5,FALSE)</f>
        <v>4120176370</v>
      </c>
      <c r="G57" s="12" t="str">
        <f>VLOOKUP(C57,[4]report!$A$2:$R$257,8,FALSE)</f>
        <v>Kota Makassar - Kota Surabaya</v>
      </c>
      <c r="H57" s="12" t="str">
        <f>VLOOKUP(C57,[4]report!$A$2:$R$257,9,FALSE)</f>
        <v>25/06/2025 - 27/06/2025</v>
      </c>
      <c r="I57" s="13">
        <f>VLOOKUP(C57,[4]report!$A$2:$R$257,18,FALSE)</f>
        <v>1407000</v>
      </c>
      <c r="J57" s="15"/>
    </row>
    <row r="58" spans="2:10" s="5" customFormat="1" ht="21" customHeight="1" x14ac:dyDescent="0.25">
      <c r="B58" s="7">
        <v>53</v>
      </c>
      <c r="C58" s="52">
        <v>1263418268</v>
      </c>
      <c r="D58" s="12" t="str">
        <f>VLOOKUP(C58,[4]report!$A$2:$R$257,3,FALSE)</f>
        <v>RATHY SHINTA UTAMI</v>
      </c>
      <c r="E58" s="12" t="str">
        <f>VLOOKUP(C58,[4]report!$A$2:$R$257,2,FALSE)</f>
        <v>8609336Z</v>
      </c>
      <c r="F58" s="12">
        <f>VLOOKUP(C58,[4]report!$A$2:$R$257,5,FALSE)</f>
        <v>4120176369</v>
      </c>
      <c r="G58" s="12" t="str">
        <f>VLOOKUP(C58,[4]report!$A$2:$R$257,8,FALSE)</f>
        <v>Kota Makassar - Kota Surabaya</v>
      </c>
      <c r="H58" s="12" t="str">
        <f>VLOOKUP(C58,[4]report!$A$2:$R$257,9,FALSE)</f>
        <v>25/06/2025 - 28/06/2025</v>
      </c>
      <c r="I58" s="13">
        <f>VLOOKUP(C58,[4]report!$A$2:$R$257,18,FALSE)</f>
        <v>1428700</v>
      </c>
      <c r="J58" s="14"/>
    </row>
    <row r="59" spans="2:10" s="5" customFormat="1" ht="21" customHeight="1" x14ac:dyDescent="0.25">
      <c r="B59" s="7">
        <v>54</v>
      </c>
      <c r="C59" s="52">
        <v>1263716061</v>
      </c>
      <c r="D59" s="12" t="str">
        <f>VLOOKUP(C59,[4]report!$A$2:$R$257,3,FALSE)</f>
        <v>MUH. ILHAM EFENDY NASRUL</v>
      </c>
      <c r="E59" s="12" t="str">
        <f>VLOOKUP(C59,[4]report!$A$2:$R$257,2,FALSE)</f>
        <v>9821290ZY</v>
      </c>
      <c r="F59" s="12">
        <f>VLOOKUP(C59,[4]report!$A$2:$R$257,5,FALSE)</f>
        <v>4120176302</v>
      </c>
      <c r="G59" s="12" t="str">
        <f>VLOOKUP(C59,[4]report!$A$2:$R$257,8,FALSE)</f>
        <v>Kota Makassar - Kota Palopo</v>
      </c>
      <c r="H59" s="12" t="str">
        <f>VLOOKUP(C59,[4]report!$A$2:$R$257,9,FALSE)</f>
        <v>23/06/2025 - 27/06/2025</v>
      </c>
      <c r="I59" s="13">
        <f>VLOOKUP(C59,[4]report!$A$2:$R$257,18,FALSE)</f>
        <v>247000</v>
      </c>
      <c r="J59" s="14"/>
    </row>
    <row r="60" spans="2:10" s="5" customFormat="1" ht="21" customHeight="1" x14ac:dyDescent="0.25">
      <c r="B60" s="7">
        <v>55</v>
      </c>
      <c r="C60" s="52">
        <v>1263559308</v>
      </c>
      <c r="D60" s="12" t="str">
        <f>VLOOKUP(C60,[4]report!$A$2:$R$257,3,FALSE)</f>
        <v>DALMASIUS NUGROHO ADI PUTRANTO</v>
      </c>
      <c r="E60" s="12" t="str">
        <f>VLOOKUP(C60,[4]report!$A$2:$R$257,2,FALSE)</f>
        <v>8007053Z</v>
      </c>
      <c r="F60" s="12">
        <f>VLOOKUP(C60,[4]report!$A$2:$R$257,5,FALSE)</f>
        <v>4120176340</v>
      </c>
      <c r="G60" s="12" t="str">
        <f>VLOOKUP(C60,[4]report!$A$2:$R$257,8,FALSE)</f>
        <v>Kota Makassar - Kota Kendari</v>
      </c>
      <c r="H60" s="12" t="str">
        <f>VLOOKUP(C60,[4]report!$A$2:$R$257,9,FALSE)</f>
        <v>24/06/2025 - 26/06/2025</v>
      </c>
      <c r="I60" s="13">
        <f>VLOOKUP(C60,[4]report!$A$2:$R$257,18,FALSE)</f>
        <v>761500</v>
      </c>
      <c r="J60" s="14"/>
    </row>
    <row r="61" spans="2:10" s="5" customFormat="1" ht="21" customHeight="1" x14ac:dyDescent="0.25">
      <c r="B61" s="7">
        <v>56</v>
      </c>
      <c r="C61" s="52">
        <v>1263669929</v>
      </c>
      <c r="D61" s="12" t="str">
        <f>VLOOKUP(C61,[4]report!$A$2:$R$257,3,FALSE)</f>
        <v>RIFKI MAULANA MUSLIM</v>
      </c>
      <c r="E61" s="12" t="str">
        <f>VLOOKUP(C61,[4]report!$A$2:$R$257,2,FALSE)</f>
        <v>9318892ZY</v>
      </c>
      <c r="F61" s="12">
        <f>VLOOKUP(C61,[4]report!$A$2:$R$257,5,FALSE)</f>
        <v>4120176346</v>
      </c>
      <c r="G61" s="12" t="str">
        <f>VLOOKUP(C61,[4]report!$A$2:$R$257,8,FALSE)</f>
        <v>Kota Parepare - Kota Bandung</v>
      </c>
      <c r="H61" s="12" t="str">
        <f>VLOOKUP(C61,[4]report!$A$2:$R$257,9,FALSE)</f>
        <v>29/06/2025 - 07/07/2025</v>
      </c>
      <c r="I61" s="13">
        <f>VLOOKUP(C61,[4]report!$A$2:$R$257,18,FALSE)</f>
        <v>784124</v>
      </c>
      <c r="J61" s="14"/>
    </row>
    <row r="62" spans="2:10" s="5" customFormat="1" ht="21" customHeight="1" x14ac:dyDescent="0.25">
      <c r="B62" s="7">
        <v>57</v>
      </c>
      <c r="C62" s="52">
        <v>1263568417</v>
      </c>
      <c r="D62" s="12" t="str">
        <f>VLOOKUP(C62,[4]report!$A$2:$R$257,3,FALSE)</f>
        <v>YUSUF TRIADI</v>
      </c>
      <c r="E62" s="12" t="str">
        <f>VLOOKUP(C62,[4]report!$A$2:$R$257,2,FALSE)</f>
        <v>8610591Z</v>
      </c>
      <c r="F62" s="12">
        <f>VLOOKUP(C62,[4]report!$A$2:$R$257,5,FALSE)</f>
        <v>4120176349</v>
      </c>
      <c r="G62" s="12" t="str">
        <f>VLOOKUP(C62,[4]report!$A$2:$R$257,8,FALSE)</f>
        <v>Kota Makassar - Kota Surabaya</v>
      </c>
      <c r="H62" s="12" t="str">
        <f>VLOOKUP(C62,[4]report!$A$2:$R$257,9,FALSE)</f>
        <v>24/06/2025 - 26/06/2025</v>
      </c>
      <c r="I62" s="13">
        <f>VLOOKUP(C62,[4]report!$A$2:$R$257,18,FALSE)</f>
        <v>1349200</v>
      </c>
      <c r="J62" s="17"/>
    </row>
    <row r="63" spans="2:10" s="5" customFormat="1" ht="21" customHeight="1" x14ac:dyDescent="0.25">
      <c r="B63" s="7">
        <v>58</v>
      </c>
      <c r="C63" s="52">
        <v>1263552994</v>
      </c>
      <c r="D63" s="12" t="str">
        <f>VLOOKUP(C63,[4]report!$A$2:$R$257,3,FALSE)</f>
        <v>HARYADI MULIYADI</v>
      </c>
      <c r="E63" s="12" t="str">
        <f>VLOOKUP(C63,[4]report!$A$2:$R$257,2,FALSE)</f>
        <v>9414010FY</v>
      </c>
      <c r="F63" s="12">
        <f>VLOOKUP(C63,[4]report!$A$2:$R$257,5,FALSE)</f>
        <v>4120176255</v>
      </c>
      <c r="G63" s="12" t="str">
        <f>VLOOKUP(C63,[4]report!$A$2:$R$257,8,FALSE)</f>
        <v>KotaParepare-KotaSemarang</v>
      </c>
      <c r="H63" s="12" t="str">
        <f>VLOOKUP(C63,[4]report!$A$2:$R$257,9,FALSE)</f>
        <v>29/06/2025 - 04/07/2025</v>
      </c>
      <c r="I63" s="13">
        <f>VLOOKUP(C63,[4]report!$A$2:$R$257,18,FALSE)</f>
        <v>1444000</v>
      </c>
      <c r="J63" s="15"/>
    </row>
    <row r="64" spans="2:10" s="5" customFormat="1" ht="21" customHeight="1" x14ac:dyDescent="0.25">
      <c r="B64" s="7">
        <v>59</v>
      </c>
      <c r="C64" s="53">
        <v>1263703376</v>
      </c>
      <c r="D64" s="12" t="str">
        <f>VLOOKUP(C64,[4]report!$A$2:$R$257,3,FALSE)</f>
        <v>MUHAMMAD FADLAN</v>
      </c>
      <c r="E64" s="12" t="str">
        <f>VLOOKUP(C64,[4]report!$A$2:$R$257,2,FALSE)</f>
        <v>9818127FBY</v>
      </c>
      <c r="F64" s="12">
        <f>VLOOKUP(C64,[4]report!$A$2:$R$257,5,FALSE)</f>
        <v>4120176374</v>
      </c>
      <c r="G64" s="12" t="str">
        <f>VLOOKUP(C64,[4]report!$A$2:$R$257,8,FALSE)</f>
        <v>Kab. Pinrang - Kota Semarang</v>
      </c>
      <c r="H64" s="12" t="str">
        <f>VLOOKUP(C64,[4]report!$A$2:$R$257,9,FALSE)</f>
        <v>29/06/2025 - 04/07/2025</v>
      </c>
      <c r="I64" s="13">
        <f>VLOOKUP(C64,[4]report!$A$2:$R$257,18,FALSE)</f>
        <v>2882500</v>
      </c>
      <c r="J64" s="15"/>
    </row>
    <row r="65" spans="2:10" s="5" customFormat="1" ht="21" customHeight="1" x14ac:dyDescent="0.25">
      <c r="B65" s="7">
        <v>60</v>
      </c>
      <c r="C65" s="52">
        <v>1263704879</v>
      </c>
      <c r="D65" s="12" t="str">
        <f>VLOOKUP(C65,[4]report!$A$2:$R$257,3,FALSE)</f>
        <v>TRI ALFIAN LANDUNG</v>
      </c>
      <c r="E65" s="12" t="str">
        <f>VLOOKUP(C65,[4]report!$A$2:$R$257,2,FALSE)</f>
        <v>9818150FBY</v>
      </c>
      <c r="F65" s="12">
        <f>VLOOKUP(C65,[4]report!$A$2:$R$257,5,FALSE)</f>
        <v>4120176343</v>
      </c>
      <c r="G65" s="12" t="str">
        <f>VLOOKUP(C65,[4]report!$A$2:$R$257,8,FALSE)</f>
        <v>Kab. Pinrang - Kota Semarang</v>
      </c>
      <c r="H65" s="12" t="str">
        <f>VLOOKUP(C65,[4]report!$A$2:$R$257,9,FALSE)</f>
        <v>29/06/2025 - 04/07/2025</v>
      </c>
      <c r="I65" s="13">
        <f>VLOOKUP(C65,[4]report!$A$2:$R$257,18,FALSE)</f>
        <v>2882500</v>
      </c>
      <c r="J65" s="15"/>
    </row>
    <row r="66" spans="2:10" s="5" customFormat="1" ht="21" customHeight="1" x14ac:dyDescent="0.25">
      <c r="B66" s="7">
        <v>61</v>
      </c>
      <c r="C66" s="53">
        <v>1263715495</v>
      </c>
      <c r="D66" s="12" t="str">
        <f>VLOOKUP(C66,[4]report!$A$2:$R$257,3,FALSE)</f>
        <v>MUH ISWAR S</v>
      </c>
      <c r="E66" s="12" t="str">
        <f>VLOOKUP(C66,[4]report!$A$2:$R$257,2,FALSE)</f>
        <v>9213048FY</v>
      </c>
      <c r="F66" s="12">
        <f>VLOOKUP(C66,[4]report!$A$2:$R$257,5,FALSE)</f>
        <v>4120176382</v>
      </c>
      <c r="G66" s="12" t="str">
        <f>VLOOKUP(C66,[4]report!$A$2:$R$257,8,FALSE)</f>
        <v>Kab. Pinrang - Kota Semarang</v>
      </c>
      <c r="H66" s="12" t="str">
        <f>VLOOKUP(C66,[4]report!$A$2:$R$257,9,FALSE)</f>
        <v>29/06/2025 - 04/07/2025</v>
      </c>
      <c r="I66" s="13">
        <f>VLOOKUP(C66,[4]report!$A$2:$R$257,18,FALSE)</f>
        <v>2882500</v>
      </c>
      <c r="J66" s="15"/>
    </row>
    <row r="67" spans="2:10" s="5" customFormat="1" ht="21" customHeight="1" x14ac:dyDescent="0.25">
      <c r="B67" s="7">
        <v>62</v>
      </c>
      <c r="C67" s="52">
        <v>1263708695</v>
      </c>
      <c r="D67" s="12" t="str">
        <f>VLOOKUP(C67,[4]report!$A$2:$R$257,3,FALSE)</f>
        <v>ANDRI KURNIAWAN</v>
      </c>
      <c r="E67" s="12" t="str">
        <f>VLOOKUP(C67,[4]report!$A$2:$R$257,2,FALSE)</f>
        <v>9616064FY</v>
      </c>
      <c r="F67" s="12">
        <f>VLOOKUP(C67,[4]report!$A$2:$R$257,5,FALSE)</f>
        <v>4120176333</v>
      </c>
      <c r="G67" s="12" t="str">
        <f>VLOOKUP(C67,[4]report!$A$2:$R$257,8,FALSE)</f>
        <v>Kab. Pinrang - Kota Semarang</v>
      </c>
      <c r="H67" s="12" t="str">
        <f>VLOOKUP(C67,[4]report!$A$2:$R$257,9,FALSE)</f>
        <v>29/06/2025 - 04/07/2025</v>
      </c>
      <c r="I67" s="13">
        <f>VLOOKUP(C67,[4]report!$A$2:$R$257,18,FALSE)</f>
        <v>2882500</v>
      </c>
      <c r="J67" s="15"/>
    </row>
    <row r="68" spans="2:10" s="5" customFormat="1" ht="21" customHeight="1" x14ac:dyDescent="0.25">
      <c r="B68" s="7">
        <v>63</v>
      </c>
      <c r="C68" s="52">
        <v>1263565364</v>
      </c>
      <c r="D68" s="12" t="str">
        <f>VLOOKUP(C68,[4]report!$A$2:$R$257,3,FALSE)</f>
        <v xml:space="preserve">YUSDI </v>
      </c>
      <c r="E68" s="12" t="str">
        <f>VLOOKUP(C68,[4]report!$A$2:$R$257,2,FALSE)</f>
        <v>8308017F</v>
      </c>
      <c r="F68" s="12">
        <f>VLOOKUP(C68,[4]report!$A$2:$R$257,5,FALSE)</f>
        <v>4120176376</v>
      </c>
      <c r="G68" s="12" t="str">
        <f>VLOOKUP(C68,[4]report!$A$2:$R$257,8,FALSE)</f>
        <v>Kab. Bone - Kab. Semarang</v>
      </c>
      <c r="H68" s="12" t="str">
        <f>VLOOKUP(C68,[4]report!$A$2:$R$257,9,FALSE)</f>
        <v>29/06/2025 - 04/07/2025</v>
      </c>
      <c r="I68" s="13">
        <f>VLOOKUP(C68,[4]report!$A$2:$R$257,18,FALSE)</f>
        <v>2882500</v>
      </c>
      <c r="J68" s="15"/>
    </row>
    <row r="69" spans="2:10" s="5" customFormat="1" ht="21" customHeight="1" x14ac:dyDescent="0.25">
      <c r="B69" s="7">
        <v>64</v>
      </c>
      <c r="C69" s="52">
        <v>1263764305</v>
      </c>
      <c r="D69" s="12" t="str">
        <f>VLOOKUP(C69,[4]report!$A$2:$R$257,3,FALSE)</f>
        <v>BASO NURAHMAN</v>
      </c>
      <c r="E69" s="12" t="str">
        <f>VLOOKUP(C69,[4]report!$A$2:$R$257,2,FALSE)</f>
        <v>7293035F</v>
      </c>
      <c r="F69" s="12">
        <f>VLOOKUP(C69,[4]report!$A$2:$R$257,5,FALSE)</f>
        <v>4120176354</v>
      </c>
      <c r="G69" s="12" t="str">
        <f>VLOOKUP(C69,[4]report!$A$2:$R$257,8,FALSE)</f>
        <v>Kota Makassar - Kota Surabaya</v>
      </c>
      <c r="H69" s="12" t="str">
        <f>VLOOKUP(C69,[4]report!$A$2:$R$257,9,FALSE)</f>
        <v>24/06/2025 - 27/06/2025</v>
      </c>
      <c r="I69" s="13">
        <f>VLOOKUP(C69,[4]report!$A$2:$R$257,18,FALSE)</f>
        <v>1253700</v>
      </c>
      <c r="J69" s="15"/>
    </row>
    <row r="70" spans="2:10" s="5" customFormat="1" ht="21" customHeight="1" x14ac:dyDescent="0.25">
      <c r="B70" s="7">
        <v>65</v>
      </c>
      <c r="C70" s="52">
        <v>1263863584</v>
      </c>
      <c r="D70" s="12" t="str">
        <f>VLOOKUP(C70,[4]report!$A$2:$R$257,3,FALSE)</f>
        <v>ALAMSYAH ANWAR</v>
      </c>
      <c r="E70" s="12" t="str">
        <f>VLOOKUP(C70,[4]report!$A$2:$R$257,2,FALSE)</f>
        <v>7805001M</v>
      </c>
      <c r="F70" s="12">
        <f>VLOOKUP(C70,[4]report!$A$2:$R$257,5,FALSE)</f>
        <v>4120176370</v>
      </c>
      <c r="G70" s="12" t="str">
        <f>VLOOKUP(C70,[4]report!$A$2:$R$257,8,FALSE)</f>
        <v>Kota Makassar - Kota Surabaya</v>
      </c>
      <c r="H70" s="12" t="str">
        <f>VLOOKUP(C70,[4]report!$A$2:$R$257,9,FALSE)</f>
        <v>25/06/2025 - 27/06/2025</v>
      </c>
      <c r="I70" s="13">
        <f>VLOOKUP(C70,[4]report!$A$2:$R$257,18,FALSE)</f>
        <v>735603</v>
      </c>
      <c r="J70" s="15"/>
    </row>
    <row r="71" spans="2:10" s="5" customFormat="1" ht="21" customHeight="1" x14ac:dyDescent="0.25">
      <c r="B71" s="7">
        <v>66</v>
      </c>
      <c r="C71" s="52">
        <v>1263876885</v>
      </c>
      <c r="D71" s="12" t="str">
        <f>VLOOKUP(C71,[4]report!$A$2:$R$257,3,FALSE)</f>
        <v>GERRY SEPTIAN LABA WUWUR</v>
      </c>
      <c r="E71" s="12" t="str">
        <f>VLOOKUP(C71,[4]report!$A$2:$R$257,2,FALSE)</f>
        <v>9617039FBY</v>
      </c>
      <c r="F71" s="12">
        <f>VLOOKUP(C71,[4]report!$A$2:$R$257,5,FALSE)</f>
        <v>4120176371</v>
      </c>
      <c r="G71" s="12" t="str">
        <f>VLOOKUP(C71,[4]report!$A$2:$R$257,8,FALSE)</f>
        <v>Kota Makassar - Kota Bandung</v>
      </c>
      <c r="H71" s="12" t="str">
        <f>VLOOKUP(C71,[4]report!$A$2:$R$257,9,FALSE)</f>
        <v>27/06/2025 - 07/07/2025</v>
      </c>
      <c r="I71" s="13">
        <f>VLOOKUP(C71,[4]report!$A$2:$R$257,18,FALSE)</f>
        <v>1405900</v>
      </c>
      <c r="J71" s="15"/>
    </row>
    <row r="72" spans="2:10" s="5" customFormat="1" ht="21" customHeight="1" x14ac:dyDescent="0.25">
      <c r="B72" s="7">
        <v>67</v>
      </c>
      <c r="C72" s="52">
        <v>1263978864</v>
      </c>
      <c r="D72" s="12" t="str">
        <f>VLOOKUP(C72,[4]report!$A$2:$R$257,3,FALSE)</f>
        <v xml:space="preserve">RIJAL </v>
      </c>
      <c r="E72" s="12" t="str">
        <f>VLOOKUP(C72,[4]report!$A$2:$R$257,2,FALSE)</f>
        <v>9515043FY</v>
      </c>
      <c r="F72" s="12">
        <f>VLOOKUP(C72,[4]report!$A$2:$R$257,5,FALSE)</f>
        <v>4120176278</v>
      </c>
      <c r="G72" s="12" t="str">
        <f>VLOOKUP(C72,[4]report!$A$2:$R$257,8,FALSE)</f>
        <v>Kota Makassar - Kota Semarang</v>
      </c>
      <c r="H72" s="12" t="str">
        <f>VLOOKUP(C72,[4]report!$A$2:$R$257,9,FALSE)</f>
        <v>29/06/2025 - 04/07/2025</v>
      </c>
      <c r="I72" s="13">
        <f>VLOOKUP(C72,[4]report!$A$2:$R$257,18,FALSE)</f>
        <v>4295900</v>
      </c>
      <c r="J72" s="15"/>
    </row>
    <row r="73" spans="2:10" s="5" customFormat="1" ht="21" customHeight="1" x14ac:dyDescent="0.25">
      <c r="B73" s="7">
        <v>68</v>
      </c>
      <c r="C73" s="52">
        <v>1264093456</v>
      </c>
      <c r="D73" s="12" t="str">
        <f>VLOOKUP(C73,[4]report!$A$2:$R$257,3,FALSE)</f>
        <v>MUH. ILHAM EFENDY NASRUL</v>
      </c>
      <c r="E73" s="12" t="str">
        <f>VLOOKUP(C73,[4]report!$A$2:$R$257,2,FALSE)</f>
        <v>9821290ZY</v>
      </c>
      <c r="F73" s="12">
        <f>VLOOKUP(C73,[4]report!$A$2:$R$257,5,FALSE)</f>
        <v>4120176302</v>
      </c>
      <c r="G73" s="12" t="str">
        <f>VLOOKUP(C73,[4]report!$A$2:$R$257,8,FALSE)</f>
        <v>Kota Makassar - Kota Palopo</v>
      </c>
      <c r="H73" s="12" t="str">
        <f>VLOOKUP(C73,[4]report!$A$2:$R$257,9,FALSE)</f>
        <v>23/06/2025 - 27/06/2025</v>
      </c>
      <c r="I73" s="13">
        <f>VLOOKUP(C73,[4]report!$A$2:$R$257,18,FALSE)</f>
        <v>168170</v>
      </c>
      <c r="J73" s="15"/>
    </row>
    <row r="74" spans="2:10" s="5" customFormat="1" ht="21" customHeight="1" x14ac:dyDescent="0.25">
      <c r="B74" s="7">
        <v>69</v>
      </c>
      <c r="C74" s="52">
        <v>1264053147</v>
      </c>
      <c r="D74" s="12" t="str">
        <f>VLOOKUP(C74,[4]report!$A$2:$R$257,3,FALSE)</f>
        <v>ALAMSYAH ANWAR</v>
      </c>
      <c r="E74" s="12" t="str">
        <f>VLOOKUP(C74,[4]report!$A$2:$R$257,2,FALSE)</f>
        <v>7805001M</v>
      </c>
      <c r="F74" s="12">
        <f>VLOOKUP(C74,[4]report!$A$2:$R$257,5,FALSE)</f>
        <v>4120176370</v>
      </c>
      <c r="G74" s="12" t="str">
        <f>VLOOKUP(C74,[4]report!$A$2:$R$257,8,FALSE)</f>
        <v>Kota Makassar - Kota Surabaya</v>
      </c>
      <c r="H74" s="12" t="str">
        <f>VLOOKUP(C74,[4]report!$A$2:$R$257,9,FALSE)</f>
        <v>25/06/2025 - 27/06/2025</v>
      </c>
      <c r="I74" s="13">
        <f>VLOOKUP(C74,[4]report!$A$2:$R$257,18,FALSE)</f>
        <v>1155000</v>
      </c>
      <c r="J74" s="15"/>
    </row>
    <row r="75" spans="2:10" s="5" customFormat="1" ht="21" customHeight="1" x14ac:dyDescent="0.25">
      <c r="B75" s="7">
        <v>70</v>
      </c>
      <c r="C75" s="52">
        <v>1264138577</v>
      </c>
      <c r="D75" s="12" t="str">
        <f>VLOOKUP(C75,[4]report!$A$2:$R$257,3,FALSE)</f>
        <v xml:space="preserve">ZUNARYATI </v>
      </c>
      <c r="E75" s="12" t="str">
        <f>VLOOKUP(C75,[4]report!$A$2:$R$257,2,FALSE)</f>
        <v>89112379Z</v>
      </c>
      <c r="F75" s="12">
        <f>VLOOKUP(C75,[4]report!$A$2:$R$257,5,FALSE)</f>
        <v>4120176348</v>
      </c>
      <c r="G75" s="12" t="str">
        <f>VLOOKUP(C75,[4]report!$A$2:$R$257,8,FALSE)</f>
        <v>Kota Makassar - Jakarta Pusat</v>
      </c>
      <c r="H75" s="12" t="str">
        <f>VLOOKUP(C75,[4]report!$A$2:$R$257,9,FALSE)</f>
        <v>24/06/2025 - 27/06/2025</v>
      </c>
      <c r="I75" s="13">
        <f>VLOOKUP(C75,[4]report!$A$2:$R$257,18,FALSE)</f>
        <v>1719400</v>
      </c>
      <c r="J75" s="15"/>
    </row>
    <row r="76" spans="2:10" s="5" customFormat="1" ht="21" customHeight="1" x14ac:dyDescent="0.25">
      <c r="B76" s="7">
        <v>71</v>
      </c>
      <c r="C76" s="52">
        <v>1264258165</v>
      </c>
      <c r="D76" s="12" t="str">
        <f>VLOOKUP(C76,[4]report!$A$2:$R$257,3,FALSE)</f>
        <v>GERRY SEPTIAN LABA WUWUR</v>
      </c>
      <c r="E76" s="12" t="str">
        <f>VLOOKUP(C76,[4]report!$A$2:$R$257,2,FALSE)</f>
        <v>9617039FBY</v>
      </c>
      <c r="F76" s="12">
        <f>VLOOKUP(C76,[4]report!$A$2:$R$257,5,FALSE)</f>
        <v>4120176371</v>
      </c>
      <c r="G76" s="12" t="str">
        <f>VLOOKUP(C76,[4]report!$A$2:$R$257,8,FALSE)</f>
        <v>Kota Makassar - Kota Bandung</v>
      </c>
      <c r="H76" s="12" t="str">
        <f>VLOOKUP(C76,[4]report!$A$2:$R$257,9,FALSE)</f>
        <v>27/06/2025 - 07/07/2025</v>
      </c>
      <c r="I76" s="13">
        <f>VLOOKUP(C76,[4]report!$A$2:$R$257,18,FALSE)</f>
        <v>1277400</v>
      </c>
      <c r="J76" s="15"/>
    </row>
    <row r="77" spans="2:10" s="5" customFormat="1" ht="21" customHeight="1" x14ac:dyDescent="0.25">
      <c r="B77" s="7">
        <v>72</v>
      </c>
      <c r="C77" s="52">
        <v>1264423704</v>
      </c>
      <c r="D77" s="12" t="str">
        <f>VLOOKUP(C77,[4]report!$A$2:$R$257,3,FALSE)</f>
        <v>ANDI MUH. ADE ISMAIL BAHAR</v>
      </c>
      <c r="E77" s="12" t="str">
        <f>VLOOKUP(C77,[4]report!$A$2:$R$257,2,FALSE)</f>
        <v>9718090FBY</v>
      </c>
      <c r="F77" s="12">
        <f>VLOOKUP(C77,[4]report!$A$2:$R$257,5,FALSE)</f>
        <v>4120176383</v>
      </c>
      <c r="G77" s="12" t="str">
        <f>VLOOKUP(C77,[4]report!$A$2:$R$257,8,FALSE)</f>
        <v>Kab. Bone - Kota Bandung</v>
      </c>
      <c r="H77" s="12" t="str">
        <f>VLOOKUP(C77,[4]report!$A$2:$R$257,9,FALSE)</f>
        <v>29/06/2025 - 06/07/2025</v>
      </c>
      <c r="I77" s="13">
        <f>VLOOKUP(C77,[4]report!$A$2:$R$257,18,FALSE)</f>
        <v>2238600</v>
      </c>
      <c r="J77" s="15"/>
    </row>
    <row r="78" spans="2:10" s="5" customFormat="1" ht="21" customHeight="1" x14ac:dyDescent="0.25">
      <c r="B78" s="7">
        <v>73</v>
      </c>
      <c r="C78" s="52">
        <v>1264562505</v>
      </c>
      <c r="D78" s="12" t="str">
        <f>VLOOKUP(C78,[4]report!$A$2:$R$257,3,FALSE)</f>
        <v>YULI ASHANIAIS RAMADANI</v>
      </c>
      <c r="E78" s="12" t="str">
        <f>VLOOKUP(C78,[4]report!$A$2:$R$257,2,FALSE)</f>
        <v>7904006F</v>
      </c>
      <c r="F78" s="12">
        <f>VLOOKUP(C78,[4]report!$A$2:$R$257,5,FALSE)</f>
        <v>4120176364</v>
      </c>
      <c r="G78" s="12" t="str">
        <f>VLOOKUP(C78,[4]report!$A$2:$R$257,8,FALSE)</f>
        <v>Kota Makassar - Kota Surabaya</v>
      </c>
      <c r="H78" s="12" t="str">
        <f>VLOOKUP(C78,[4]report!$A$2:$R$257,9,FALSE)</f>
        <v>25/06/2025 - 28/06/2025</v>
      </c>
      <c r="I78" s="13">
        <f>VLOOKUP(C78,[4]report!$A$2:$R$257,18,FALSE)</f>
        <v>1154700</v>
      </c>
      <c r="J78" s="15"/>
    </row>
    <row r="79" spans="2:10" s="5" customFormat="1" ht="21" customHeight="1" x14ac:dyDescent="0.25">
      <c r="B79" s="7">
        <v>74</v>
      </c>
      <c r="C79" s="52">
        <v>1264562497</v>
      </c>
      <c r="D79" s="12" t="str">
        <f>VLOOKUP(C79,[4]report!$A$2:$R$257,3,FALSE)</f>
        <v>RATHY SHINTA UTAMI</v>
      </c>
      <c r="E79" s="12" t="str">
        <f>VLOOKUP(C79,[4]report!$A$2:$R$257,2,FALSE)</f>
        <v>8609336Z</v>
      </c>
      <c r="F79" s="12">
        <f>VLOOKUP(C79,[4]report!$A$2:$R$257,5,FALSE)</f>
        <v>4120176369</v>
      </c>
      <c r="G79" s="12" t="str">
        <f>VLOOKUP(C79,[4]report!$A$2:$R$257,8,FALSE)</f>
        <v>Kota Makassar - Kota Surabaya</v>
      </c>
      <c r="H79" s="12" t="str">
        <f>VLOOKUP(C79,[4]report!$A$2:$R$257,9,FALSE)</f>
        <v>25/06/2025 - 28/06/2025</v>
      </c>
      <c r="I79" s="13">
        <f>VLOOKUP(C79,[4]report!$A$2:$R$257,18,FALSE)</f>
        <v>1154700</v>
      </c>
      <c r="J79" s="15"/>
    </row>
    <row r="80" spans="2:10" s="5" customFormat="1" ht="21" customHeight="1" x14ac:dyDescent="0.25">
      <c r="B80" s="7">
        <v>75</v>
      </c>
      <c r="C80" s="52">
        <v>1265155876</v>
      </c>
      <c r="D80" s="12" t="str">
        <f>VLOOKUP(C80,[4]report!$A$2:$R$257,3,FALSE)</f>
        <v>KHAYRUNNISA B. MUHAMMADIA</v>
      </c>
      <c r="E80" s="12" t="str">
        <f>VLOOKUP(C80,[4]report!$A$2:$R$257,2,FALSE)</f>
        <v>93162777ZY</v>
      </c>
      <c r="F80" s="12">
        <f>VLOOKUP(C80,[4]report!$A$2:$R$257,5,FALSE)</f>
        <v>4120176424</v>
      </c>
      <c r="G80" s="12" t="str">
        <f>VLOOKUP(C80,[4]report!$A$2:$R$257,8,FALSE)</f>
        <v>Kota Makassar - Jakarta Timur</v>
      </c>
      <c r="H80" s="12" t="str">
        <f>VLOOKUP(C80,[4]report!$A$2:$R$257,9,FALSE)</f>
        <v>30/06/2025 - 02/07/2025</v>
      </c>
      <c r="I80" s="13">
        <f>VLOOKUP(C80,[4]report!$A$2:$R$257,18,FALSE)</f>
        <v>1440000</v>
      </c>
      <c r="J80" s="15"/>
    </row>
    <row r="81" spans="2:10" s="5" customFormat="1" ht="21" customHeight="1" x14ac:dyDescent="0.25">
      <c r="B81" s="7">
        <v>76</v>
      </c>
      <c r="C81" s="52">
        <v>1265146272</v>
      </c>
      <c r="D81" s="12" t="str">
        <f>VLOOKUP(C81,[4]report!$A$2:$R$257,3,FALSE)</f>
        <v>KHAYRUNNISA B. MUHAMMADIA</v>
      </c>
      <c r="E81" s="12" t="str">
        <f>VLOOKUP(C81,[4]report!$A$2:$R$257,2,FALSE)</f>
        <v>93162777ZY</v>
      </c>
      <c r="F81" s="12">
        <f>VLOOKUP(C81,[4]report!$A$2:$R$257,5,FALSE)</f>
        <v>4120176424</v>
      </c>
      <c r="G81" s="12" t="str">
        <f>VLOOKUP(C81,[4]report!$A$2:$R$257,8,FALSE)</f>
        <v>Kota Makassar - Jakarta Timur</v>
      </c>
      <c r="H81" s="12" t="str">
        <f>VLOOKUP(C81,[4]report!$A$2:$R$257,9,FALSE)</f>
        <v>30/06/2025 - 02/07/2025</v>
      </c>
      <c r="I81" s="13">
        <f>VLOOKUP(C81,[4]report!$A$2:$R$257,18,FALSE)</f>
        <v>1470000</v>
      </c>
      <c r="J81" s="15"/>
    </row>
    <row r="82" spans="2:10" s="5" customFormat="1" ht="21" customHeight="1" x14ac:dyDescent="0.25">
      <c r="B82" s="7">
        <v>77</v>
      </c>
      <c r="C82" s="52">
        <v>1265193088</v>
      </c>
      <c r="D82" s="12" t="str">
        <f>VLOOKUP(C82,[4]report!$A$2:$R$257,3,FALSE)</f>
        <v xml:space="preserve">SYAHLAN </v>
      </c>
      <c r="E82" s="12" t="str">
        <f>VLOOKUP(C82,[4]report!$A$2:$R$257,2,FALSE)</f>
        <v>8808036F</v>
      </c>
      <c r="F82" s="12">
        <f>VLOOKUP(C82,[4]report!$A$2:$R$257,5,FALSE)</f>
        <v>4120176427</v>
      </c>
      <c r="G82" s="12" t="str">
        <f>VLOOKUP(C82,[4]report!$A$2:$R$257,8,FALSE)</f>
        <v>Kota Makassar - Jakarta Timur</v>
      </c>
      <c r="H82" s="12" t="str">
        <f>VLOOKUP(C82,[4]report!$A$2:$R$257,9,FALSE)</f>
        <v>30/06/2025 - 02/07/2025</v>
      </c>
      <c r="I82" s="13">
        <f>VLOOKUP(C82,[4]report!$A$2:$R$257,18,FALSE)</f>
        <v>1487300</v>
      </c>
      <c r="J82" s="15"/>
    </row>
    <row r="83" spans="2:10" s="5" customFormat="1" ht="21" customHeight="1" x14ac:dyDescent="0.25">
      <c r="B83" s="7">
        <v>78</v>
      </c>
      <c r="C83" s="52">
        <v>1265211865</v>
      </c>
      <c r="D83" s="12" t="str">
        <f>VLOOKUP(C83,[4]report!$A$2:$R$257,3,FALSE)</f>
        <v>APRILIANI DEWI SETIAWATI</v>
      </c>
      <c r="E83" s="12" t="str">
        <f>VLOOKUP(C83,[4]report!$A$2:$R$257,2,FALSE)</f>
        <v>93162705ZY</v>
      </c>
      <c r="F83" s="12">
        <f>VLOOKUP(C83,[4]report!$A$2:$R$257,5,FALSE)</f>
        <v>4120176436</v>
      </c>
      <c r="G83" s="12" t="str">
        <f>VLOOKUP(C83,[4]report!$A$2:$R$257,8,FALSE)</f>
        <v>Kota Makassar - Jakarta Selatan</v>
      </c>
      <c r="H83" s="12" t="str">
        <f>VLOOKUP(C83,[4]report!$A$2:$R$257,9,FALSE)</f>
        <v>01/07/2025 - 02/07/2025</v>
      </c>
      <c r="I83" s="13">
        <f>VLOOKUP(C83,[4]report!$A$2:$R$257,18,FALSE)</f>
        <v>3184100</v>
      </c>
      <c r="J83" s="15"/>
    </row>
    <row r="84" spans="2:10" s="5" customFormat="1" ht="21" customHeight="1" x14ac:dyDescent="0.25">
      <c r="B84" s="7">
        <v>79</v>
      </c>
      <c r="C84" s="52">
        <v>1265274178</v>
      </c>
      <c r="D84" s="12" t="str">
        <f>VLOOKUP(C84,[4]report!$A$2:$R$257,3,FALSE)</f>
        <v xml:space="preserve">SYAHLAN </v>
      </c>
      <c r="E84" s="12" t="str">
        <f>VLOOKUP(C84,[4]report!$A$2:$R$257,2,FALSE)</f>
        <v>8808036F</v>
      </c>
      <c r="F84" s="12">
        <f>VLOOKUP(C84,[4]report!$A$2:$R$257,5,FALSE)</f>
        <v>4120176427</v>
      </c>
      <c r="G84" s="12" t="str">
        <f>VLOOKUP(C84,[4]report!$A$2:$R$257,8,FALSE)</f>
        <v>Kota Makassar - Jakarta Timur</v>
      </c>
      <c r="H84" s="12" t="str">
        <f>VLOOKUP(C84,[4]report!$A$2:$R$257,9,FALSE)</f>
        <v>30/06/2025 - 02/07/2025</v>
      </c>
      <c r="I84" s="13">
        <f>VLOOKUP(C84,[4]report!$A$2:$R$257,18,FALSE)</f>
        <v>1964250</v>
      </c>
      <c r="J84" s="15"/>
    </row>
    <row r="85" spans="2:10" s="5" customFormat="1" ht="21" customHeight="1" x14ac:dyDescent="0.25">
      <c r="B85" s="7">
        <v>80</v>
      </c>
      <c r="C85" s="52">
        <v>1265363385</v>
      </c>
      <c r="D85" s="12" t="str">
        <f>VLOOKUP(C85,[4]report!$A$2:$R$257,3,FALSE)</f>
        <v xml:space="preserve">SYAHLAN </v>
      </c>
      <c r="E85" s="12" t="str">
        <f>VLOOKUP(C85,[4]report!$A$2:$R$257,2,FALSE)</f>
        <v>8808036F</v>
      </c>
      <c r="F85" s="12">
        <f>VLOOKUP(C85,[4]report!$A$2:$R$257,5,FALSE)</f>
        <v>4120176427</v>
      </c>
      <c r="G85" s="12" t="str">
        <f>VLOOKUP(C85,[4]report!$A$2:$R$257,8,FALSE)</f>
        <v>Kota Makassar - Jakarta Timur</v>
      </c>
      <c r="H85" s="12" t="str">
        <f>VLOOKUP(C85,[4]report!$A$2:$R$257,9,FALSE)</f>
        <v>30/06/2025 - 02/07/2025</v>
      </c>
      <c r="I85" s="13">
        <f>VLOOKUP(C85,[4]report!$A$2:$R$257,18,FALSE)</f>
        <v>1717300</v>
      </c>
      <c r="J85" s="15"/>
    </row>
    <row r="86" spans="2:10" s="5" customFormat="1" ht="21" customHeight="1" x14ac:dyDescent="0.25">
      <c r="B86" s="7">
        <v>81</v>
      </c>
      <c r="C86" s="52">
        <v>1265543332</v>
      </c>
      <c r="D86" s="12" t="str">
        <f>VLOOKUP(C86,[4]report!$A$2:$R$257,3,FALSE)</f>
        <v>ANDI FADLI</v>
      </c>
      <c r="E86" s="12" t="str">
        <f>VLOOKUP(C86,[4]report!$A$2:$R$257,2,FALSE)</f>
        <v>9618015FBY</v>
      </c>
      <c r="F86" s="12">
        <f>VLOOKUP(C86,[4]report!$A$2:$R$257,5,FALSE)</f>
        <v>4120176448</v>
      </c>
      <c r="G86" s="12" t="str">
        <f>VLOOKUP(C86,[4]report!$A$2:$R$257,8,FALSE)</f>
        <v>Kab. Bone - Kota Makassar</v>
      </c>
      <c r="H86" s="12" t="str">
        <f>VLOOKUP(C86,[4]report!$A$2:$R$257,9,FALSE)</f>
        <v>01/07/2025 - 03/07/2025</v>
      </c>
      <c r="I86" s="13">
        <f>VLOOKUP(C86,[4]report!$A$2:$R$257,18,FALSE)</f>
        <v>720000</v>
      </c>
      <c r="J86" s="15"/>
    </row>
    <row r="87" spans="2:10" s="5" customFormat="1" ht="21" customHeight="1" x14ac:dyDescent="0.25">
      <c r="B87" s="7">
        <v>82</v>
      </c>
      <c r="C87" s="52">
        <v>1265543632</v>
      </c>
      <c r="D87" s="12" t="str">
        <f>VLOOKUP(C87,[4]report!$A$2:$R$257,3,FALSE)</f>
        <v>FARHAN ALBAR MIFTAHULHUDA</v>
      </c>
      <c r="E87" s="12" t="str">
        <f>VLOOKUP(C87,[4]report!$A$2:$R$257,2,FALSE)</f>
        <v>9716067FY</v>
      </c>
      <c r="F87" s="12">
        <f>VLOOKUP(C87,[4]report!$A$2:$R$257,5,FALSE)</f>
        <v>4120176447</v>
      </c>
      <c r="G87" s="12" t="str">
        <f>VLOOKUP(C87,[4]report!$A$2:$R$257,8,FALSE)</f>
        <v>Kab. Bone - Kota Makassar</v>
      </c>
      <c r="H87" s="12" t="str">
        <f>VLOOKUP(C87,[4]report!$A$2:$R$257,9,FALSE)</f>
        <v>01/07/2025 - 03/07/2025</v>
      </c>
      <c r="I87" s="13">
        <f>VLOOKUP(C87,[4]report!$A$2:$R$257,18,FALSE)</f>
        <v>720000</v>
      </c>
      <c r="J87" s="15"/>
    </row>
    <row r="88" spans="2:10" s="5" customFormat="1" ht="21" customHeight="1" x14ac:dyDescent="0.25">
      <c r="B88" s="7">
        <v>83</v>
      </c>
      <c r="C88" s="52">
        <v>1265571485</v>
      </c>
      <c r="D88" s="12" t="str">
        <f>VLOOKUP(C88,[4]report!$A$2:$R$257,3,FALSE)</f>
        <v>KHAYRUNNISA B. MUHAMMADIA</v>
      </c>
      <c r="E88" s="12" t="str">
        <f>VLOOKUP(C88,[4]report!$A$2:$R$257,2,FALSE)</f>
        <v>93162777ZY</v>
      </c>
      <c r="F88" s="12">
        <f>VLOOKUP(C88,[4]report!$A$2:$R$257,5,FALSE)</f>
        <v>4120176424</v>
      </c>
      <c r="G88" s="12" t="str">
        <f>VLOOKUP(C88,[4]report!$A$2:$R$257,8,FALSE)</f>
        <v>Kota Makassar - Jakarta Timur</v>
      </c>
      <c r="H88" s="12" t="str">
        <f>VLOOKUP(C88,[4]report!$A$2:$R$257,9,FALSE)</f>
        <v>30/06/2025 - 02/07/2025</v>
      </c>
      <c r="I88" s="13">
        <f>VLOOKUP(C88,[4]report!$A$2:$R$257,18,FALSE)</f>
        <v>1277800</v>
      </c>
      <c r="J88" s="15"/>
    </row>
    <row r="89" spans="2:10" s="5" customFormat="1" ht="21" customHeight="1" x14ac:dyDescent="0.25">
      <c r="B89" s="7">
        <v>84</v>
      </c>
      <c r="C89" s="52">
        <v>1265586015</v>
      </c>
      <c r="D89" s="12" t="str">
        <f>VLOOKUP(C89,[4]report!$A$2:$R$257,3,FALSE)</f>
        <v>DHANI JULIANTO PUTRA</v>
      </c>
      <c r="E89" s="12" t="str">
        <f>VLOOKUP(C89,[4]report!$A$2:$R$257,2,FALSE)</f>
        <v>9115510ZY</v>
      </c>
      <c r="F89" s="12">
        <f>VLOOKUP(C89,[4]report!$A$2:$R$257,5,FALSE)</f>
        <v>4120176459</v>
      </c>
      <c r="G89" s="12" t="str">
        <f>VLOOKUP(C89,[4]report!$A$2:$R$257,8,FALSE)</f>
        <v>Kota Makassar - Kota Bandung</v>
      </c>
      <c r="H89" s="12" t="str">
        <f>VLOOKUP(C89,[4]report!$A$2:$R$257,9,FALSE)</f>
        <v>02/07/2025 - 05/07/2025</v>
      </c>
      <c r="I89" s="13">
        <f>VLOOKUP(C89,[4]report!$A$2:$R$257,18,FALSE)</f>
        <v>2224400</v>
      </c>
      <c r="J89" s="15"/>
    </row>
    <row r="90" spans="2:10" s="5" customFormat="1" ht="21" customHeight="1" x14ac:dyDescent="0.25">
      <c r="B90" s="7">
        <v>85</v>
      </c>
      <c r="C90" s="52">
        <v>1265614780</v>
      </c>
      <c r="D90" s="12" t="str">
        <f>VLOOKUP(C90,[4]report!$A$2:$R$257,3,FALSE)</f>
        <v>HARYADI MULIYADI</v>
      </c>
      <c r="E90" s="12" t="str">
        <f>VLOOKUP(C90,[4]report!$A$2:$R$257,2,FALSE)</f>
        <v>9414010FY</v>
      </c>
      <c r="F90" s="12">
        <f>VLOOKUP(C90,[4]report!$A$2:$R$257,5,FALSE)</f>
        <v>4120176255</v>
      </c>
      <c r="G90" s="12" t="str">
        <f>VLOOKUP(C90,[4]report!$A$2:$R$257,8,FALSE)</f>
        <v>KotaParepare-KotaSemarang</v>
      </c>
      <c r="H90" s="12" t="str">
        <f>VLOOKUP(C90,[4]report!$A$2:$R$257,9,FALSE)</f>
        <v>29/06/2025 - 04/07/2025</v>
      </c>
      <c r="I90" s="13">
        <f>VLOOKUP(C90,[4]report!$A$2:$R$257,18,FALSE)</f>
        <v>2833700</v>
      </c>
      <c r="J90" s="15"/>
    </row>
    <row r="91" spans="2:10" s="5" customFormat="1" ht="21" customHeight="1" x14ac:dyDescent="0.25">
      <c r="B91" s="7">
        <v>86</v>
      </c>
      <c r="C91" s="52">
        <v>1265717243</v>
      </c>
      <c r="D91" s="12" t="str">
        <f>VLOOKUP(C91,[4]report!$A$2:$R$257,3,FALSE)</f>
        <v>MUHAMMAD SUSGANDINATA</v>
      </c>
      <c r="E91" s="12" t="str">
        <f>VLOOKUP(C91,[4]report!$A$2:$R$257,2,FALSE)</f>
        <v>8609527Z</v>
      </c>
      <c r="F91" s="12">
        <f>VLOOKUP(C91,[4]report!$A$2:$R$257,5,FALSE)</f>
        <v>4120176480</v>
      </c>
      <c r="G91" s="12" t="str">
        <f>VLOOKUP(C91,[4]report!$A$2:$R$257,8,FALSE)</f>
        <v>Kota Makassar - Kota Kendari</v>
      </c>
      <c r="H91" s="12" t="str">
        <f>VLOOKUP(C91,[4]report!$A$2:$R$257,9,FALSE)</f>
        <v>03/07/2025 - 04/07/2025</v>
      </c>
      <c r="I91" s="13">
        <f>VLOOKUP(C91,[4]report!$A$2:$R$257,18,FALSE)</f>
        <v>811782</v>
      </c>
      <c r="J91" s="17"/>
    </row>
    <row r="92" spans="2:10" s="5" customFormat="1" ht="21" customHeight="1" x14ac:dyDescent="0.25">
      <c r="B92" s="7">
        <v>87</v>
      </c>
      <c r="C92" s="52">
        <v>1265717601</v>
      </c>
      <c r="D92" s="12" t="str">
        <f>VLOOKUP(C92,[4]report!$A$2:$R$257,3,FALSE)</f>
        <v xml:space="preserve">ASDARIA </v>
      </c>
      <c r="E92" s="12" t="str">
        <f>VLOOKUP(C92,[4]report!$A$2:$R$257,2,FALSE)</f>
        <v>93161029ZY</v>
      </c>
      <c r="F92" s="12">
        <f>VLOOKUP(C92,[4]report!$A$2:$R$257,5,FALSE)</f>
        <v>4120176460</v>
      </c>
      <c r="G92" s="12" t="str">
        <f>VLOOKUP(C92,[4]report!$A$2:$R$257,8,FALSE)</f>
        <v>Kota Makassar - Kota Kendari</v>
      </c>
      <c r="H92" s="12" t="str">
        <f>VLOOKUP(C92,[4]report!$A$2:$R$257,9,FALSE)</f>
        <v>03/07/2025 - 04/07/2025</v>
      </c>
      <c r="I92" s="13">
        <f>VLOOKUP(C92,[4]report!$A$2:$R$257,18,FALSE)</f>
        <v>811782</v>
      </c>
      <c r="J92" s="15"/>
    </row>
    <row r="93" spans="2:10" s="5" customFormat="1" ht="21" customHeight="1" x14ac:dyDescent="0.25">
      <c r="B93" s="7">
        <v>88</v>
      </c>
      <c r="C93" s="52">
        <v>1265714867</v>
      </c>
      <c r="D93" s="12" t="str">
        <f>VLOOKUP(C93,[4]report!$A$2:$R$257,3,FALSE)</f>
        <v>MUHAMMAD SUSGANDINATA</v>
      </c>
      <c r="E93" s="12" t="str">
        <f>VLOOKUP(C93,[4]report!$A$2:$R$257,2,FALSE)</f>
        <v>8609527Z</v>
      </c>
      <c r="F93" s="12">
        <f>VLOOKUP(C93,[4]report!$A$2:$R$257,5,FALSE)</f>
        <v>4120176480</v>
      </c>
      <c r="G93" s="12" t="str">
        <f>VLOOKUP(C93,[4]report!$A$2:$R$257,8,FALSE)</f>
        <v>Kota Makassar - Kota Kendari</v>
      </c>
      <c r="H93" s="12" t="str">
        <f>VLOOKUP(C93,[4]report!$A$2:$R$257,9,FALSE)</f>
        <v>03/07/2025 - 04/07/2025</v>
      </c>
      <c r="I93" s="13">
        <f>VLOOKUP(C93,[4]report!$A$2:$R$257,18,FALSE)</f>
        <v>972300</v>
      </c>
      <c r="J93" s="15"/>
    </row>
    <row r="94" spans="2:10" s="5" customFormat="1" ht="21" customHeight="1" x14ac:dyDescent="0.25">
      <c r="B94" s="7">
        <v>89</v>
      </c>
      <c r="C94" s="53">
        <v>1265690449</v>
      </c>
      <c r="D94" s="12" t="str">
        <f>VLOOKUP(C94,[4]report!$A$2:$R$257,3,FALSE)</f>
        <v>M. LUKMAN HAKIM</v>
      </c>
      <c r="E94" s="12" t="str">
        <f>VLOOKUP(C94,[4]report!$A$2:$R$257,2,FALSE)</f>
        <v>8712617ZY</v>
      </c>
      <c r="F94" s="12">
        <f>VLOOKUP(C94,[4]report!$A$2:$R$257,5,FALSE)</f>
        <v>4120176458</v>
      </c>
      <c r="G94" s="12" t="str">
        <f>VLOOKUP(C94,[4]report!$A$2:$R$257,8,FALSE)</f>
        <v>Kota Makassar - Kota Kendari</v>
      </c>
      <c r="H94" s="12" t="str">
        <f>VLOOKUP(C94,[4]report!$A$2:$R$257,9,FALSE)</f>
        <v>03/07/2025 - 04/07/2025</v>
      </c>
      <c r="I94" s="13">
        <f>VLOOKUP(C94,[4]report!$A$2:$R$257,18,FALSE)</f>
        <v>972300</v>
      </c>
      <c r="J94" s="15"/>
    </row>
    <row r="95" spans="2:10" s="5" customFormat="1" ht="21" customHeight="1" x14ac:dyDescent="0.25">
      <c r="B95" s="7">
        <v>90</v>
      </c>
      <c r="C95" s="52">
        <v>1265714937</v>
      </c>
      <c r="D95" s="12" t="str">
        <f>VLOOKUP(C95,[4]report!$A$2:$R$257,3,FALSE)</f>
        <v xml:space="preserve">ASDARIA </v>
      </c>
      <c r="E95" s="12" t="str">
        <f>VLOOKUP(C95,[4]report!$A$2:$R$257,2,FALSE)</f>
        <v>93161029ZY</v>
      </c>
      <c r="F95" s="12">
        <f>VLOOKUP(C95,[4]report!$A$2:$R$257,5,FALSE)</f>
        <v>4120176460</v>
      </c>
      <c r="G95" s="12" t="str">
        <f>VLOOKUP(C95,[4]report!$A$2:$R$257,8,FALSE)</f>
        <v>Kota Makassar - Kota Kendari</v>
      </c>
      <c r="H95" s="12" t="str">
        <f>VLOOKUP(C95,[4]report!$A$2:$R$257,9,FALSE)</f>
        <v>03/07/2025 - 04/07/2025</v>
      </c>
      <c r="I95" s="13">
        <f>VLOOKUP(C95,[4]report!$A$2:$R$257,18,FALSE)</f>
        <v>972300</v>
      </c>
      <c r="J95" s="15"/>
    </row>
    <row r="96" spans="2:10" s="5" customFormat="1" ht="21" customHeight="1" x14ac:dyDescent="0.25">
      <c r="B96" s="7">
        <v>91</v>
      </c>
      <c r="C96" s="53">
        <v>1265810913</v>
      </c>
      <c r="D96" s="12" t="str">
        <f>VLOOKUP(C96,[4]report!$A$2:$R$257,3,FALSE)</f>
        <v>FAROUQ MUHAMMAD NOOR</v>
      </c>
      <c r="E96" s="12" t="str">
        <f>VLOOKUP(C96,[4]report!$A$2:$R$257,2,FALSE)</f>
        <v>9620546ZY</v>
      </c>
      <c r="F96" s="12">
        <f>VLOOKUP(C96,[4]report!$A$2:$R$257,5,FALSE)</f>
        <v>4120176465</v>
      </c>
      <c r="G96" s="12" t="str">
        <f>VLOOKUP(C96,[4]report!$A$2:$R$257,8,FALSE)</f>
        <v>Kab. Bone - Kota Surabaya</v>
      </c>
      <c r="H96" s="12" t="str">
        <f>VLOOKUP(C96,[4]report!$A$2:$R$257,9,FALSE)</f>
        <v>04/07/2025 - 08/07/2025</v>
      </c>
      <c r="I96" s="13">
        <f>VLOOKUP(C96,[4]report!$A$2:$R$257,18,FALSE)</f>
        <v>1333500</v>
      </c>
      <c r="J96" s="15"/>
    </row>
    <row r="97" spans="2:10" s="5" customFormat="1" ht="21" customHeight="1" x14ac:dyDescent="0.25">
      <c r="B97" s="7">
        <v>92</v>
      </c>
      <c r="C97" s="52">
        <v>1265807661</v>
      </c>
      <c r="D97" s="12" t="str">
        <f>VLOOKUP(C97,[4]report!$A$2:$R$257,3,FALSE)</f>
        <v>DAVID MASALLE BUA</v>
      </c>
      <c r="E97" s="12" t="str">
        <f>VLOOKUP(C97,[4]report!$A$2:$R$257,2,FALSE)</f>
        <v>8408512Z</v>
      </c>
      <c r="F97" s="12">
        <f>VLOOKUP(C97,[4]report!$A$2:$R$257,5,FALSE)</f>
        <v>4120176482</v>
      </c>
      <c r="G97" s="12" t="str">
        <f>VLOOKUP(C97,[4]report!$A$2:$R$257,8,FALSE)</f>
        <v>Kota Makassar - Kab. Serang</v>
      </c>
      <c r="H97" s="12" t="str">
        <f>VLOOKUP(C97,[4]report!$A$2:$R$257,9,FALSE)</f>
        <v>02/07/2025 - 04/07/2025</v>
      </c>
      <c r="I97" s="13">
        <f>VLOOKUP(C97,[4]report!$A$2:$R$257,18,FALSE)</f>
        <v>1431700</v>
      </c>
      <c r="J97" s="15"/>
    </row>
    <row r="98" spans="2:10" s="5" customFormat="1" ht="21" customHeight="1" x14ac:dyDescent="0.25">
      <c r="B98" s="7">
        <v>93</v>
      </c>
      <c r="C98" s="52">
        <v>1265812261</v>
      </c>
      <c r="D98" s="12" t="str">
        <f>VLOOKUP(C98,[4]report!$A$2:$R$257,3,FALSE)</f>
        <v>ALEXANDER J. MANUHUWA</v>
      </c>
      <c r="E98" s="12" t="str">
        <f>VLOOKUP(C98,[4]report!$A$2:$R$257,2,FALSE)</f>
        <v>7194010G</v>
      </c>
      <c r="F98" s="12">
        <f>VLOOKUP(C98,[4]report!$A$2:$R$257,5,FALSE)</f>
        <v>4120176485</v>
      </c>
      <c r="G98" s="12" t="str">
        <f>VLOOKUP(C98,[4]report!$A$2:$R$257,8,FALSE)</f>
        <v>Kota Makassar - Kab. Serang</v>
      </c>
      <c r="H98" s="12" t="str">
        <f>VLOOKUP(C98,[4]report!$A$2:$R$257,9,FALSE)</f>
        <v>02/07/2025 - 04/07/2025</v>
      </c>
      <c r="I98" s="13">
        <f>VLOOKUP(C98,[4]report!$A$2:$R$257,18,FALSE)</f>
        <v>1431700</v>
      </c>
      <c r="J98" s="15"/>
    </row>
    <row r="99" spans="2:10" s="5" customFormat="1" ht="21" customHeight="1" x14ac:dyDescent="0.25">
      <c r="B99" s="7">
        <v>94</v>
      </c>
      <c r="C99" s="52">
        <v>1265706865</v>
      </c>
      <c r="D99" s="12" t="str">
        <f>VLOOKUP(C99,[4]report!$A$2:$R$257,3,FALSE)</f>
        <v>RATHY SHINTA UTAMI</v>
      </c>
      <c r="E99" s="12" t="str">
        <f>VLOOKUP(C99,[4]report!$A$2:$R$257,2,FALSE)</f>
        <v>8609336Z</v>
      </c>
      <c r="F99" s="12">
        <f>VLOOKUP(C99,[4]report!$A$2:$R$257,5,FALSE)</f>
        <v>4120176479</v>
      </c>
      <c r="G99" s="12" t="str">
        <f>VLOOKUP(C99,[4]report!$A$2:$R$257,8,FALSE)</f>
        <v>Kota Makassar - Jakarta Timur</v>
      </c>
      <c r="H99" s="12" t="str">
        <f>VLOOKUP(C99,[4]report!$A$2:$R$257,9,FALSE)</f>
        <v>03/07/2025 - 04/07/2025</v>
      </c>
      <c r="I99" s="13">
        <f>VLOOKUP(C99,[4]report!$A$2:$R$257,18,FALSE)</f>
        <v>1664100</v>
      </c>
      <c r="J99" s="15"/>
    </row>
    <row r="100" spans="2:10" s="5" customFormat="1" ht="21" customHeight="1" x14ac:dyDescent="0.25">
      <c r="B100" s="7">
        <v>95</v>
      </c>
      <c r="C100" s="52">
        <v>1265703951</v>
      </c>
      <c r="D100" s="12" t="str">
        <f>VLOOKUP(C100,[4]report!$A$2:$R$257,3,FALSE)</f>
        <v>AHMAD AMIRUL SYARIF</v>
      </c>
      <c r="E100" s="12" t="str">
        <f>VLOOKUP(C100,[4]report!$A$2:$R$257,2,FALSE)</f>
        <v>8710691Z</v>
      </c>
      <c r="F100" s="12">
        <f>VLOOKUP(C100,[4]report!$A$2:$R$257,5,FALSE)</f>
        <v>4120176475</v>
      </c>
      <c r="G100" s="12" t="str">
        <f>VLOOKUP(C100,[4]report!$A$2:$R$257,8,FALSE)</f>
        <v>Kota Makassar - Jakarta Timur</v>
      </c>
      <c r="H100" s="12" t="str">
        <f>VLOOKUP(C100,[4]report!$A$2:$R$257,9,FALSE)</f>
        <v>03/07/2025 - 04/07/2025</v>
      </c>
      <c r="I100" s="13">
        <f>VLOOKUP(C100,[4]report!$A$2:$R$257,18,FALSE)</f>
        <v>1664100</v>
      </c>
      <c r="J100" s="19"/>
    </row>
    <row r="101" spans="2:10" s="5" customFormat="1" ht="21" customHeight="1" x14ac:dyDescent="0.25">
      <c r="B101" s="7">
        <v>96</v>
      </c>
      <c r="C101" s="52">
        <v>1265691323</v>
      </c>
      <c r="D101" s="12" t="str">
        <f>VLOOKUP(C101,[4]report!$A$2:$R$257,3,FALSE)</f>
        <v>ALAMSYAH ANWAR</v>
      </c>
      <c r="E101" s="12" t="str">
        <f>VLOOKUP(C101,[4]report!$A$2:$R$257,2,FALSE)</f>
        <v>7805001M</v>
      </c>
      <c r="F101" s="12">
        <f>VLOOKUP(C101,[4]report!$A$2:$R$257,5,FALSE)</f>
        <v>4120176470</v>
      </c>
      <c r="G101" s="12" t="str">
        <f>VLOOKUP(C101,[4]report!$A$2:$R$257,8,FALSE)</f>
        <v>Kota Makassar - Kab. Serang</v>
      </c>
      <c r="H101" s="12" t="str">
        <f>VLOOKUP(C101,[4]report!$A$2:$R$257,9,FALSE)</f>
        <v>02/07/2025 - 04/07/2025</v>
      </c>
      <c r="I101" s="13">
        <f>VLOOKUP(C101,[4]report!$A$2:$R$257,18,FALSE)</f>
        <v>2016453</v>
      </c>
      <c r="J101" s="19"/>
    </row>
    <row r="102" spans="2:10" s="5" customFormat="1" ht="21" customHeight="1" x14ac:dyDescent="0.25">
      <c r="B102" s="7">
        <v>97</v>
      </c>
      <c r="C102" s="52">
        <v>1265760721</v>
      </c>
      <c r="D102" s="12" t="str">
        <f>VLOOKUP(C102,[4]report!$A$2:$R$257,3,FALSE)</f>
        <v>EKA MAYASARI RACHMAN</v>
      </c>
      <c r="E102" s="12" t="str">
        <f>VLOOKUP(C102,[4]report!$A$2:$R$257,2,FALSE)</f>
        <v>88111108Z</v>
      </c>
      <c r="F102" s="12">
        <f>VLOOKUP(C102,[4]report!$A$2:$R$257,5,FALSE)</f>
        <v>4120176477</v>
      </c>
      <c r="G102" s="12" t="str">
        <f>VLOOKUP(C102,[4]report!$A$2:$R$257,8,FALSE)</f>
        <v>Kota Makassar - Jakarta Timur</v>
      </c>
      <c r="H102" s="12" t="str">
        <f>VLOOKUP(C102,[4]report!$A$2:$R$257,9,FALSE)</f>
        <v>03/07/2025 - 04/07/2025</v>
      </c>
      <c r="I102" s="13">
        <f>VLOOKUP(C102,[4]report!$A$2:$R$257,18,FALSE)</f>
        <v>2042100</v>
      </c>
      <c r="J102" s="19"/>
    </row>
    <row r="103" spans="2:10" s="5" customFormat="1" ht="21" customHeight="1" x14ac:dyDescent="0.25">
      <c r="B103" s="7">
        <v>98</v>
      </c>
      <c r="C103" s="52">
        <v>1265906000</v>
      </c>
      <c r="D103" s="12" t="str">
        <f>VLOOKUP(C103,[4]report!$A$2:$R$257,3,FALSE)</f>
        <v>ALAMSYAH ANWAR</v>
      </c>
      <c r="E103" s="12" t="str">
        <f>VLOOKUP(C103,[4]report!$A$2:$R$257,2,FALSE)</f>
        <v>7805001M</v>
      </c>
      <c r="F103" s="12">
        <f>VLOOKUP(C103,[4]report!$A$2:$R$257,5,FALSE)</f>
        <v>4120176470</v>
      </c>
      <c r="G103" s="12" t="str">
        <f>VLOOKUP(C103,[4]report!$A$2:$R$257,8,FALSE)</f>
        <v>KotaMakassar-Kab.Serang</v>
      </c>
      <c r="H103" s="12" t="str">
        <f>VLOOKUP(C103,[4]report!$A$2:$R$257,9,FALSE)</f>
        <v>02/07/2025 - 04/07/2025</v>
      </c>
      <c r="I103" s="13">
        <f>VLOOKUP(C103,[4]report!$A$2:$R$257,18,FALSE)</f>
        <v>1296675</v>
      </c>
      <c r="J103" s="19"/>
    </row>
    <row r="104" spans="2:10" s="5" customFormat="1" ht="21" customHeight="1" x14ac:dyDescent="0.25">
      <c r="B104" s="7">
        <v>99</v>
      </c>
      <c r="C104" s="52">
        <v>1265877750</v>
      </c>
      <c r="D104" s="12" t="str">
        <f>VLOOKUP(C104,[4]report!$A$2:$R$257,3,FALSE)</f>
        <v>DHANI JULIANTO PUTRA</v>
      </c>
      <c r="E104" s="12" t="str">
        <f>VLOOKUP(C104,[4]report!$A$2:$R$257,2,FALSE)</f>
        <v>9115510ZY</v>
      </c>
      <c r="F104" s="12">
        <f>VLOOKUP(C104,[4]report!$A$2:$R$257,5,FALSE)</f>
        <v>4120176459</v>
      </c>
      <c r="G104" s="12" t="str">
        <f>VLOOKUP(C104,[4]report!$A$2:$R$257,8,FALSE)</f>
        <v>KotaMakassar-KotaBandung</v>
      </c>
      <c r="H104" s="12" t="str">
        <f>VLOOKUP(C104,[4]report!$A$2:$R$257,9,FALSE)</f>
        <v>02/07/2025 - 05/07/2025</v>
      </c>
      <c r="I104" s="13">
        <f>VLOOKUP(C104,[4]report!$A$2:$R$257,18,FALSE)</f>
        <v>1341361</v>
      </c>
      <c r="J104" s="19"/>
    </row>
    <row r="105" spans="2:10" s="5" customFormat="1" ht="21" customHeight="1" x14ac:dyDescent="0.25">
      <c r="B105" s="7">
        <v>100</v>
      </c>
      <c r="C105" s="52">
        <v>1265913120</v>
      </c>
      <c r="D105" s="12" t="str">
        <f>VLOOKUP(C105,[4]report!$A$2:$R$257,3,FALSE)</f>
        <v>MUH. RIYAN MIFTA</v>
      </c>
      <c r="E105" s="12" t="str">
        <f>VLOOKUP(C105,[4]report!$A$2:$R$257,2,FALSE)</f>
        <v>9618005FBY</v>
      </c>
      <c r="F105" s="12">
        <f>VLOOKUP(C105,[4]report!$A$2:$R$257,5,FALSE)</f>
        <v>4120176266</v>
      </c>
      <c r="G105" s="12" t="str">
        <f>VLOOKUP(C105,[4]report!$A$2:$R$257,8,FALSE)</f>
        <v>Kab.Mamuju-KotaSemarang</v>
      </c>
      <c r="H105" s="12" t="str">
        <f>VLOOKUP(C105,[4]report!$A$2:$R$257,9,FALSE)</f>
        <v>29/06/2025 - 04/07/2025</v>
      </c>
      <c r="I105" s="13">
        <f>VLOOKUP(C105,[4]report!$A$2:$R$257,18,FALSE)</f>
        <v>1438500</v>
      </c>
      <c r="J105" s="19"/>
    </row>
    <row r="106" spans="2:10" s="5" customFormat="1" ht="21" customHeight="1" x14ac:dyDescent="0.25">
      <c r="B106" s="7">
        <v>101</v>
      </c>
      <c r="C106" s="52">
        <v>1265939844</v>
      </c>
      <c r="D106" s="12" t="str">
        <f>VLOOKUP(C106,[4]report!$A$2:$R$257,3,FALSE)</f>
        <v>SYAMSURYA CATUR APRIAN</v>
      </c>
      <c r="E106" s="12" t="str">
        <f>VLOOKUP(C106,[4]report!$A$2:$R$257,2,FALSE)</f>
        <v>9212050FY</v>
      </c>
      <c r="F106" s="12">
        <f>VLOOKUP(C106,[4]report!$A$2:$R$257,5,FALSE)</f>
        <v>4120176453</v>
      </c>
      <c r="G106" s="12" t="str">
        <f>VLOOKUP(C106,[4]report!$A$2:$R$257,8,FALSE)</f>
        <v>Kab. Takalar - Kota Bandung</v>
      </c>
      <c r="H106" s="12" t="str">
        <f>VLOOKUP(C106,[4]report!$A$2:$R$257,9,FALSE)</f>
        <v>04/07/2025 - 06/07/2025</v>
      </c>
      <c r="I106" s="13">
        <f>VLOOKUP(C106,[4]report!$A$2:$R$257,18,FALSE)</f>
        <v>2231100</v>
      </c>
      <c r="J106" s="15"/>
    </row>
    <row r="107" spans="2:10" s="5" customFormat="1" ht="21" customHeight="1" x14ac:dyDescent="0.25">
      <c r="B107" s="7">
        <v>102</v>
      </c>
      <c r="C107" s="52">
        <v>1266101770</v>
      </c>
      <c r="D107" s="12" t="str">
        <f>VLOOKUP(C107,[4]report!$A$2:$R$257,3,FALSE)</f>
        <v>M. LUKMAN HAKIM</v>
      </c>
      <c r="E107" s="12" t="str">
        <f>VLOOKUP(C107,[4]report!$A$2:$R$257,2,FALSE)</f>
        <v>8712617ZY</v>
      </c>
      <c r="F107" s="12">
        <f>VLOOKUP(C107,[4]report!$A$2:$R$257,5,FALSE)</f>
        <v>4120176458</v>
      </c>
      <c r="G107" s="12" t="str">
        <f>VLOOKUP(C107,[4]report!$A$2:$R$257,8,FALSE)</f>
        <v>KotaMakassar-KotaKendari</v>
      </c>
      <c r="H107" s="12" t="str">
        <f>VLOOKUP(C107,[4]report!$A$2:$R$257,9,FALSE)</f>
        <v>03/07/2025 - 04/07/2025</v>
      </c>
      <c r="I107" s="13">
        <f>VLOOKUP(C107,[4]report!$A$2:$R$257,18,FALSE)</f>
        <v>735892</v>
      </c>
      <c r="J107" s="19"/>
    </row>
    <row r="108" spans="2:10" s="5" customFormat="1" ht="21" customHeight="1" x14ac:dyDescent="0.25">
      <c r="B108" s="7">
        <v>103</v>
      </c>
      <c r="C108" s="52">
        <v>1265994876</v>
      </c>
      <c r="D108" s="12" t="str">
        <f>VLOOKUP(C108,[4]report!$A$2:$R$257,3,FALSE)</f>
        <v>BAGUS ALBARANU YULIATMOKO</v>
      </c>
      <c r="E108" s="12" t="str">
        <f>VLOOKUP(C108,[4]report!$A$2:$R$257,2,FALSE)</f>
        <v>9620548ZY</v>
      </c>
      <c r="F108" s="12">
        <f>VLOOKUP(C108,[4]report!$A$2:$R$257,5,FALSE)</f>
        <v>4120176484</v>
      </c>
      <c r="G108" s="12" t="str">
        <f>VLOOKUP(C108,[4]report!$A$2:$R$257,8,FALSE)</f>
        <v>Kota Makassar - Kota Kendari</v>
      </c>
      <c r="H108" s="12" t="str">
        <f>VLOOKUP(C108,[4]report!$A$2:$R$257,9,FALSE)</f>
        <v>03/07/2025 - 04/07/2025</v>
      </c>
      <c r="I108" s="13">
        <f>VLOOKUP(C108,[4]report!$A$2:$R$257,18,FALSE)</f>
        <v>735892</v>
      </c>
      <c r="J108" s="19"/>
    </row>
    <row r="109" spans="2:10" s="5" customFormat="1" ht="21" customHeight="1" x14ac:dyDescent="0.25">
      <c r="B109" s="7">
        <v>104</v>
      </c>
      <c r="C109" s="52">
        <v>1266101834</v>
      </c>
      <c r="D109" s="12" t="str">
        <f>VLOOKUP(C109,[4]report!$A$2:$R$257,3,FALSE)</f>
        <v>MUHAMMAD SUSGANDINATA</v>
      </c>
      <c r="E109" s="12" t="str">
        <f>VLOOKUP(C109,[4]report!$A$2:$R$257,2,FALSE)</f>
        <v>8609527Z</v>
      </c>
      <c r="F109" s="12">
        <f>VLOOKUP(C109,[4]report!$A$2:$R$257,5,FALSE)</f>
        <v>4120176480</v>
      </c>
      <c r="G109" s="12" t="str">
        <f>VLOOKUP(C109,[4]report!$A$2:$R$257,8,FALSE)</f>
        <v>Kota Makassar - Kota Kendari</v>
      </c>
      <c r="H109" s="12" t="str">
        <f>VLOOKUP(C109,[4]report!$A$2:$R$257,9,FALSE)</f>
        <v>03/07/2025 - 04/07/2025</v>
      </c>
      <c r="I109" s="13">
        <f>VLOOKUP(C109,[4]report!$A$2:$R$257,18,FALSE)</f>
        <v>812000</v>
      </c>
      <c r="J109" s="19"/>
    </row>
    <row r="110" spans="2:10" s="5" customFormat="1" ht="21" customHeight="1" x14ac:dyDescent="0.25">
      <c r="B110" s="7">
        <v>105</v>
      </c>
      <c r="C110" s="52">
        <v>1266102319</v>
      </c>
      <c r="D110" s="12" t="str">
        <f>VLOOKUP(C110,[4]report!$A$2:$R$257,3,FALSE)</f>
        <v>M. LUKMAN HAKIM</v>
      </c>
      <c r="E110" s="12" t="str">
        <f>VLOOKUP(C110,[4]report!$A$2:$R$257,2,FALSE)</f>
        <v>8712617ZY</v>
      </c>
      <c r="F110" s="12">
        <f>VLOOKUP(C110,[4]report!$A$2:$R$257,5,FALSE)</f>
        <v>4120176458</v>
      </c>
      <c r="G110" s="12" t="str">
        <f>VLOOKUP(C110,[4]report!$A$2:$R$257,8,FALSE)</f>
        <v>KotaMakassar-KotaKendari</v>
      </c>
      <c r="H110" s="12" t="str">
        <f>VLOOKUP(C110,[4]report!$A$2:$R$257,9,FALSE)</f>
        <v>03/07/2025 - 04/07/2025</v>
      </c>
      <c r="I110" s="13">
        <f>VLOOKUP(C110,[4]report!$A$2:$R$257,18,FALSE)</f>
        <v>812000</v>
      </c>
      <c r="J110" s="15"/>
    </row>
    <row r="111" spans="2:10" s="5" customFormat="1" ht="21" customHeight="1" x14ac:dyDescent="0.25">
      <c r="B111" s="7">
        <v>106</v>
      </c>
      <c r="C111" s="52">
        <v>1266100466</v>
      </c>
      <c r="D111" s="12" t="str">
        <f>VLOOKUP(C111,[4]report!$A$2:$R$257,3,FALSE)</f>
        <v>BAGUS ALBARANU YULIATMOKO</v>
      </c>
      <c r="E111" s="12" t="str">
        <f>VLOOKUP(C111,[4]report!$A$2:$R$257,2,FALSE)</f>
        <v>9620548ZY</v>
      </c>
      <c r="F111" s="12">
        <f>VLOOKUP(C111,[4]report!$A$2:$R$257,5,FALSE)</f>
        <v>4120176484</v>
      </c>
      <c r="G111" s="12" t="str">
        <f>VLOOKUP(C111,[4]report!$A$2:$R$257,8,FALSE)</f>
        <v>Kota Makassar - Kota Kendari</v>
      </c>
      <c r="H111" s="12" t="str">
        <f>VLOOKUP(C111,[4]report!$A$2:$R$257,9,FALSE)</f>
        <v>03/07/2025 - 04/07/2025</v>
      </c>
      <c r="I111" s="13">
        <f>VLOOKUP(C111,[4]report!$A$2:$R$257,18,FALSE)</f>
        <v>812000</v>
      </c>
      <c r="J111" s="19"/>
    </row>
    <row r="112" spans="2:10" s="5" customFormat="1" ht="21" customHeight="1" x14ac:dyDescent="0.25">
      <c r="B112" s="7">
        <v>107</v>
      </c>
      <c r="C112" s="52">
        <v>1266100525</v>
      </c>
      <c r="D112" s="12" t="str">
        <f>VLOOKUP(C112,[4]report!$A$2:$R$257,3,FALSE)</f>
        <v>ASDARIA</v>
      </c>
      <c r="E112" s="12" t="str">
        <f>VLOOKUP(C112,[4]report!$A$2:$R$257,2,FALSE)</f>
        <v>93161029ZY</v>
      </c>
      <c r="F112" s="12">
        <f>VLOOKUP(C112,[4]report!$A$2:$R$257,5,FALSE)</f>
        <v>4120176460</v>
      </c>
      <c r="G112" s="12" t="str">
        <f>VLOOKUP(C112,[4]report!$A$2:$R$257,8,FALSE)</f>
        <v>KotaMakassar-KotaKendari</v>
      </c>
      <c r="H112" s="12" t="str">
        <f>VLOOKUP(C112,[4]report!$A$2:$R$257,9,FALSE)</f>
        <v>03/07/2025 - 04/07/2025</v>
      </c>
      <c r="I112" s="13">
        <f>VLOOKUP(C112,[4]report!$A$2:$R$257,18,FALSE)</f>
        <v>812000</v>
      </c>
      <c r="J112" s="19"/>
    </row>
    <row r="113" spans="2:10" s="5" customFormat="1" ht="21" customHeight="1" x14ac:dyDescent="0.25">
      <c r="B113" s="7">
        <v>108</v>
      </c>
      <c r="C113" s="52">
        <v>1266006608</v>
      </c>
      <c r="D113" s="12" t="str">
        <f>VLOOKUP(C113,[4]report!$A$2:$R$257,3,FALSE)</f>
        <v>HASBI NUR ASHSHIDDIQ</v>
      </c>
      <c r="E113" s="12" t="str">
        <f>VLOOKUP(C113,[4]report!$A$2:$R$257,2,FALSE)</f>
        <v>9920816ZY</v>
      </c>
      <c r="F113" s="12">
        <f>VLOOKUP(C113,[4]report!$A$2:$R$257,5,FALSE)</f>
        <v>4120176466</v>
      </c>
      <c r="G113" s="12" t="str">
        <f>VLOOKUP(C113,[4]report!$A$2:$R$257,8,FALSE)</f>
        <v>Kab. Wajo - Kota Surabaya</v>
      </c>
      <c r="H113" s="12" t="str">
        <f>VLOOKUP(C113,[4]report!$A$2:$R$257,9,FALSE)</f>
        <v>04/07/2025 - 08/07/2025</v>
      </c>
      <c r="I113" s="13">
        <f>VLOOKUP(C113,[4]report!$A$2:$R$257,18,FALSE)</f>
        <v>1096200</v>
      </c>
      <c r="J113" s="19"/>
    </row>
    <row r="114" spans="2:10" s="5" customFormat="1" ht="21" customHeight="1" x14ac:dyDescent="0.25">
      <c r="B114" s="7">
        <v>109</v>
      </c>
      <c r="C114" s="52">
        <v>1266178972</v>
      </c>
      <c r="D114" s="12" t="str">
        <f>VLOOKUP(C114,[4]report!$A$2:$R$257,3,FALSE)</f>
        <v>SOBRI FADILLAH</v>
      </c>
      <c r="E114" s="12" t="str">
        <f>VLOOKUP(C114,[4]report!$A$2:$R$257,2,FALSE)</f>
        <v>89112122Z</v>
      </c>
      <c r="F114" s="12">
        <f>VLOOKUP(C114,[4]report!$A$2:$R$257,5,FALSE)</f>
        <v>4120176493</v>
      </c>
      <c r="G114" s="12" t="str">
        <f>VLOOKUP(C114,[4]report!$A$2:$R$257,8,FALSE)</f>
        <v>Kota Parepare - Kota Kendari</v>
      </c>
      <c r="H114" s="12" t="str">
        <f>VLOOKUP(C114,[4]report!$A$2:$R$257,9,FALSE)</f>
        <v>07/07/2025 - 10/07/2025</v>
      </c>
      <c r="I114" s="13">
        <f>VLOOKUP(C114,[4]report!$A$2:$R$257,18,FALSE)</f>
        <v>1693600</v>
      </c>
      <c r="J114" s="19"/>
    </row>
    <row r="115" spans="2:10" s="5" customFormat="1" ht="21" customHeight="1" x14ac:dyDescent="0.25">
      <c r="B115" s="7">
        <v>110</v>
      </c>
      <c r="C115" s="52">
        <v>1266001934</v>
      </c>
      <c r="D115" s="12" t="str">
        <f>VLOOKUP(C115,[4]report!$A$2:$R$257,3,FALSE)</f>
        <v>AHMAD AMIRUL SYARIF</v>
      </c>
      <c r="E115" s="12" t="str">
        <f>VLOOKUP(C115,[4]report!$A$2:$R$257,2,FALSE)</f>
        <v>8710691Z</v>
      </c>
      <c r="F115" s="12">
        <f>VLOOKUP(C115,[4]report!$A$2:$R$257,5,FALSE)</f>
        <v>4120176475</v>
      </c>
      <c r="G115" s="12" t="str">
        <f>VLOOKUP(C115,[4]report!$A$2:$R$257,8,FALSE)</f>
        <v>Kota Makassar - Jakarta Timur</v>
      </c>
      <c r="H115" s="12" t="str">
        <f>VLOOKUP(C115,[4]report!$A$2:$R$257,9,FALSE)</f>
        <v>03/07/2025 - 04/07/2025</v>
      </c>
      <c r="I115" s="13">
        <f>VLOOKUP(C115,[4]report!$A$2:$R$257,18,FALSE)</f>
        <v>1713000</v>
      </c>
      <c r="J115" s="19"/>
    </row>
    <row r="116" spans="2:10" s="5" customFormat="1" ht="21" customHeight="1" x14ac:dyDescent="0.25">
      <c r="B116" s="7">
        <v>111</v>
      </c>
      <c r="C116" s="52">
        <v>1266001969</v>
      </c>
      <c r="D116" s="12" t="str">
        <f>VLOOKUP(C116,[4]report!$A$2:$R$257,3,FALSE)</f>
        <v>EKA MAYASARI RACHMAN</v>
      </c>
      <c r="E116" s="12" t="str">
        <f>VLOOKUP(C116,[4]report!$A$2:$R$257,2,FALSE)</f>
        <v>88111108Z</v>
      </c>
      <c r="F116" s="12">
        <f>VLOOKUP(C116,[4]report!$A$2:$R$257,5,FALSE)</f>
        <v>4120176477</v>
      </c>
      <c r="G116" s="12" t="str">
        <f>VLOOKUP(C116,[4]report!$A$2:$R$257,8,FALSE)</f>
        <v>KotaMakassar-JakartaTimur</v>
      </c>
      <c r="H116" s="12" t="str">
        <f>VLOOKUP(C116,[4]report!$A$2:$R$257,9,FALSE)</f>
        <v>03/07/2025 - 04/07/2025</v>
      </c>
      <c r="I116" s="13">
        <f>VLOOKUP(C116,[4]report!$A$2:$R$257,18,FALSE)</f>
        <v>1797000</v>
      </c>
      <c r="J116" s="19"/>
    </row>
    <row r="117" spans="2:10" s="5" customFormat="1" ht="21" customHeight="1" x14ac:dyDescent="0.25">
      <c r="B117" s="7">
        <v>112</v>
      </c>
      <c r="C117" s="52">
        <v>1266002199</v>
      </c>
      <c r="D117" s="12" t="str">
        <f>VLOOKUP(C117,[4]report!$A$2:$R$257,3,FALSE)</f>
        <v>RATHY SHINTA UTAMI</v>
      </c>
      <c r="E117" s="12" t="str">
        <f>VLOOKUP(C117,[4]report!$A$2:$R$257,2,FALSE)</f>
        <v>8609336Z</v>
      </c>
      <c r="F117" s="12">
        <f>VLOOKUP(C117,[4]report!$A$2:$R$257,5,FALSE)</f>
        <v>4120176479</v>
      </c>
      <c r="G117" s="12" t="str">
        <f>VLOOKUP(C117,[4]report!$A$2:$R$257,8,FALSE)</f>
        <v>Kota Makassar - Jakarta Timur</v>
      </c>
      <c r="H117" s="12" t="str">
        <f>VLOOKUP(C117,[4]report!$A$2:$R$257,9,FALSE)</f>
        <v>03/07/2025 - 04/07/2025</v>
      </c>
      <c r="I117" s="13">
        <f>VLOOKUP(C117,[4]report!$A$2:$R$257,18,FALSE)</f>
        <v>1797000</v>
      </c>
      <c r="J117" s="19"/>
    </row>
    <row r="118" spans="2:10" s="5" customFormat="1" ht="21" customHeight="1" x14ac:dyDescent="0.25">
      <c r="B118" s="7">
        <v>113</v>
      </c>
      <c r="C118" s="52">
        <v>1266181411</v>
      </c>
      <c r="D118" s="12" t="str">
        <f>VLOOKUP(C118,[4]report!$A$2:$R$257,3,FALSE)</f>
        <v>ALAMSYAH ANWAR</v>
      </c>
      <c r="E118" s="12" t="str">
        <f>VLOOKUP(C118,[4]report!$A$2:$R$257,2,FALSE)</f>
        <v>7805001M</v>
      </c>
      <c r="F118" s="12">
        <f>VLOOKUP(C118,[4]report!$A$2:$R$257,5,FALSE)</f>
        <v>4120176470</v>
      </c>
      <c r="G118" s="12" t="str">
        <f>VLOOKUP(C118,[4]report!$A$2:$R$257,8,FALSE)</f>
        <v>KotaMakassar-Kab.Serang</v>
      </c>
      <c r="H118" s="12" t="str">
        <f>VLOOKUP(C118,[4]report!$A$2:$R$257,9,FALSE)</f>
        <v>02/07/2025 - 04/07/2025</v>
      </c>
      <c r="I118" s="13">
        <f>VLOOKUP(C118,[4]report!$A$2:$R$257,18,FALSE)</f>
        <v>1797000</v>
      </c>
      <c r="J118" s="19"/>
    </row>
    <row r="119" spans="2:10" s="5" customFormat="1" ht="21" customHeight="1" x14ac:dyDescent="0.25">
      <c r="B119" s="7">
        <v>114</v>
      </c>
      <c r="C119" s="52">
        <v>1266185962</v>
      </c>
      <c r="D119" s="12" t="str">
        <f>VLOOKUP(C119,[4]report!$A$2:$R$257,3,FALSE)</f>
        <v>DAVID MASALLE BUA</v>
      </c>
      <c r="E119" s="12" t="str">
        <f>VLOOKUP(C119,[4]report!$A$2:$R$257,2,FALSE)</f>
        <v>8408512Z</v>
      </c>
      <c r="F119" s="12">
        <f>VLOOKUP(C119,[4]report!$A$2:$R$257,5,FALSE)</f>
        <v>4120176482</v>
      </c>
      <c r="G119" s="12" t="str">
        <f>VLOOKUP(C119,[4]report!$A$2:$R$257,8,FALSE)</f>
        <v>KotaMakassar-Kab.Serang</v>
      </c>
      <c r="H119" s="12" t="str">
        <f>VLOOKUP(C119,[4]report!$A$2:$R$257,9,FALSE)</f>
        <v>02/07/2025 - 04/07/2025</v>
      </c>
      <c r="I119" s="13">
        <f>VLOOKUP(C119,[4]report!$A$2:$R$257,18,FALSE)</f>
        <v>1797000</v>
      </c>
      <c r="J119" s="19"/>
    </row>
    <row r="120" spans="2:10" s="5" customFormat="1" ht="21" customHeight="1" x14ac:dyDescent="0.25">
      <c r="B120" s="7">
        <v>115</v>
      </c>
      <c r="C120" s="52">
        <v>1266186648</v>
      </c>
      <c r="D120" s="12" t="str">
        <f>VLOOKUP(C120,[4]report!$A$2:$R$257,3,FALSE)</f>
        <v>ALEXANDER J. MANUHUWA</v>
      </c>
      <c r="E120" s="12" t="str">
        <f>VLOOKUP(C120,[4]report!$A$2:$R$257,2,FALSE)</f>
        <v>7194010G</v>
      </c>
      <c r="F120" s="12">
        <f>VLOOKUP(C120,[4]report!$A$2:$R$257,5,FALSE)</f>
        <v>4120176485</v>
      </c>
      <c r="G120" s="12" t="str">
        <f>VLOOKUP(C120,[4]report!$A$2:$R$257,8,FALSE)</f>
        <v>KotaMakassar-Kab.Serang</v>
      </c>
      <c r="H120" s="12" t="str">
        <f>VLOOKUP(C120,[4]report!$A$2:$R$257,9,FALSE)</f>
        <v>02/07/2025 - 04/07/2025</v>
      </c>
      <c r="I120" s="13">
        <f>VLOOKUP(C120,[4]report!$A$2:$R$257,18,FALSE)</f>
        <v>1797000</v>
      </c>
      <c r="J120" s="19"/>
    </row>
    <row r="121" spans="2:10" s="5" customFormat="1" ht="21" customHeight="1" x14ac:dyDescent="0.25">
      <c r="B121" s="7">
        <v>116</v>
      </c>
      <c r="C121" s="52">
        <v>1266523563</v>
      </c>
      <c r="D121" s="12" t="str">
        <f>VLOOKUP(C121,[4]report!$A$2:$R$257,3,FALSE)</f>
        <v>SITTI FAUZIAH AHMAD</v>
      </c>
      <c r="E121" s="12" t="str">
        <f>VLOOKUP(C121,[4]report!$A$2:$R$257,2,FALSE)</f>
        <v>93151392ZY</v>
      </c>
      <c r="F121" s="12">
        <f>VLOOKUP(C121,[4]report!$A$2:$R$257,5,FALSE)</f>
        <v>4120176510</v>
      </c>
      <c r="G121" s="12" t="str">
        <f>VLOOKUP(C121,[4]report!$A$2:$R$257,8,FALSE)</f>
        <v>Kota Makassar - Kota Kendari</v>
      </c>
      <c r="H121" s="12" t="str">
        <f>VLOOKUP(C121,[4]report!$A$2:$R$257,9,FALSE)</f>
        <v>07/07/2025 - 10/07/2025</v>
      </c>
      <c r="I121" s="13">
        <f>VLOOKUP(C121,[4]report!$A$2:$R$257,18,FALSE)</f>
        <v>800000</v>
      </c>
      <c r="J121" s="20"/>
    </row>
    <row r="122" spans="2:10" s="5" customFormat="1" ht="21" customHeight="1" x14ac:dyDescent="0.25">
      <c r="B122" s="7">
        <v>117</v>
      </c>
      <c r="C122" s="52">
        <v>1266489692</v>
      </c>
      <c r="D122" s="12" t="str">
        <f>VLOOKUP(C122,[4]report!$A$2:$R$257,3,FALSE)</f>
        <v>MUHAMMAD LUTHFIL HADI SURYADI</v>
      </c>
      <c r="E122" s="12" t="str">
        <f>VLOOKUP(C122,[4]report!$A$2:$R$257,2,FALSE)</f>
        <v>94171287ZY</v>
      </c>
      <c r="F122" s="12">
        <f>VLOOKUP(C122,[4]report!$A$2:$R$257,5,FALSE)</f>
        <v>4120176500</v>
      </c>
      <c r="G122" s="12" t="str">
        <f>VLOOKUP(C122,[4]report!$A$2:$R$257,8,FALSE)</f>
        <v>Kota Makassar - Kota Kendari</v>
      </c>
      <c r="H122" s="12" t="str">
        <f>VLOOKUP(C122,[4]report!$A$2:$R$257,9,FALSE)</f>
        <v>07/07/2025 - 10/07/2025</v>
      </c>
      <c r="I122" s="13">
        <f>VLOOKUP(C122,[4]report!$A$2:$R$257,18,FALSE)</f>
        <v>851400</v>
      </c>
      <c r="J122" s="19"/>
    </row>
    <row r="123" spans="2:10" s="5" customFormat="1" ht="21" customHeight="1" x14ac:dyDescent="0.25">
      <c r="B123" s="7">
        <v>118</v>
      </c>
      <c r="C123" s="52">
        <v>1266362558</v>
      </c>
      <c r="D123" s="12" t="str">
        <f>VLOOKUP(C123,[4]report!$A$2:$R$257,3,FALSE)</f>
        <v>NUR AHADIAT</v>
      </c>
      <c r="E123" s="12" t="str">
        <f>VLOOKUP(C123,[4]report!$A$2:$R$257,2,FALSE)</f>
        <v>7294054F</v>
      </c>
      <c r="F123" s="12">
        <f>VLOOKUP(C123,[4]report!$A$2:$R$257,5,FALSE)</f>
        <v>4120176501</v>
      </c>
      <c r="G123" s="12" t="str">
        <f>VLOOKUP(C123,[4]report!$A$2:$R$257,8,FALSE)</f>
        <v>Kab. Pinrang - Kota Kendari</v>
      </c>
      <c r="H123" s="12" t="str">
        <f>VLOOKUP(C123,[4]report!$A$2:$R$257,9,FALSE)</f>
        <v>07/07/2025 - 10/07/2025</v>
      </c>
      <c r="I123" s="13">
        <f>VLOOKUP(C123,[4]report!$A$2:$R$257,18,FALSE)</f>
        <v>851400</v>
      </c>
      <c r="J123" s="19"/>
    </row>
    <row r="124" spans="2:10" s="5" customFormat="1" ht="21" customHeight="1" x14ac:dyDescent="0.25">
      <c r="B124" s="7">
        <v>119</v>
      </c>
      <c r="C124" s="53">
        <v>1266374112</v>
      </c>
      <c r="D124" s="12" t="str">
        <f>VLOOKUP(C124,[4]report!$A$2:$R$257,3,FALSE)</f>
        <v>SARTO SENOBUA'</v>
      </c>
      <c r="E124" s="12" t="str">
        <f>VLOOKUP(C124,[4]report!$A$2:$R$257,2,FALSE)</f>
        <v>9009026F</v>
      </c>
      <c r="F124" s="12">
        <f>VLOOKUP(C124,[4]report!$A$2:$R$257,5,FALSE)</f>
        <v>4120176497</v>
      </c>
      <c r="G124" s="12" t="str">
        <f>VLOOKUP(C124,[4]report!$A$2:$R$257,8,FALSE)</f>
        <v>Kab. Pinrang - Kota Kendari</v>
      </c>
      <c r="H124" s="12" t="str">
        <f>VLOOKUP(C124,[4]report!$A$2:$R$257,9,FALSE)</f>
        <v>07/07/2025 - 10/07/2025</v>
      </c>
      <c r="I124" s="13">
        <f>VLOOKUP(C124,[4]report!$A$2:$R$257,18,FALSE)</f>
        <v>851400</v>
      </c>
      <c r="J124" s="19"/>
    </row>
    <row r="125" spans="2:10" s="5" customFormat="1" ht="21" customHeight="1" x14ac:dyDescent="0.25">
      <c r="B125" s="7">
        <v>120</v>
      </c>
      <c r="C125" s="52">
        <v>1266516124</v>
      </c>
      <c r="D125" s="12" t="str">
        <f>VLOOKUP(C125,[4]report!$A$2:$R$257,3,FALSE)</f>
        <v>IRHAS MUFTI FIRDAUS</v>
      </c>
      <c r="E125" s="12" t="str">
        <f>VLOOKUP(C125,[4]report!$A$2:$R$257,2,FALSE)</f>
        <v>92151247ZY</v>
      </c>
      <c r="F125" s="12">
        <f>VLOOKUP(C125,[4]report!$A$2:$R$257,5,FALSE)</f>
        <v>4120176506</v>
      </c>
      <c r="G125" s="12" t="str">
        <f>VLOOKUP(C125,[4]report!$A$2:$R$257,8,FALSE)</f>
        <v>Kota Makassar - Kota Kendari</v>
      </c>
      <c r="H125" s="12" t="str">
        <f>VLOOKUP(C125,[4]report!$A$2:$R$257,9,FALSE)</f>
        <v>07/07/2025 - 10/07/2025</v>
      </c>
      <c r="I125" s="13">
        <f>VLOOKUP(C125,[4]report!$A$2:$R$257,18,FALSE)</f>
        <v>851400</v>
      </c>
      <c r="J125" s="19"/>
    </row>
    <row r="126" spans="2:10" s="5" customFormat="1" ht="21" customHeight="1" x14ac:dyDescent="0.25">
      <c r="B126" s="7">
        <v>121</v>
      </c>
      <c r="C126" s="53">
        <v>1266364117</v>
      </c>
      <c r="D126" s="12" t="str">
        <f>VLOOKUP(C126,[4]report!$A$2:$R$257,3,FALSE)</f>
        <v>NUR AHADIAT</v>
      </c>
      <c r="E126" s="12" t="str">
        <f>VLOOKUP(C126,[4]report!$A$2:$R$257,2,FALSE)</f>
        <v>7294054F</v>
      </c>
      <c r="F126" s="12">
        <f>VLOOKUP(C126,[4]report!$A$2:$R$257,5,FALSE)</f>
        <v>4120176501</v>
      </c>
      <c r="G126" s="12" t="str">
        <f>VLOOKUP(C126,[4]report!$A$2:$R$257,8,FALSE)</f>
        <v>Kab. Pinrang - Kota Kendari</v>
      </c>
      <c r="H126" s="12" t="str">
        <f>VLOOKUP(C126,[4]report!$A$2:$R$257,9,FALSE)</f>
        <v>07/07/2025 - 10/07/2025</v>
      </c>
      <c r="I126" s="13">
        <f>VLOOKUP(C126,[4]report!$A$2:$R$257,18,FALSE)</f>
        <v>852700</v>
      </c>
      <c r="J126" s="19"/>
    </row>
    <row r="127" spans="2:10" s="5" customFormat="1" ht="21" customHeight="1" x14ac:dyDescent="0.25">
      <c r="B127" s="7">
        <v>122</v>
      </c>
      <c r="C127" s="52">
        <v>1266374657</v>
      </c>
      <c r="D127" s="12" t="str">
        <f>VLOOKUP(C127,[4]report!$A$2:$R$257,3,FALSE)</f>
        <v>SARTO SENOBUA'</v>
      </c>
      <c r="E127" s="12" t="str">
        <f>VLOOKUP(C127,[4]report!$A$2:$R$257,2,FALSE)</f>
        <v>9009026F</v>
      </c>
      <c r="F127" s="12">
        <f>VLOOKUP(C127,[4]report!$A$2:$R$257,5,FALSE)</f>
        <v>4120176497</v>
      </c>
      <c r="G127" s="12" t="str">
        <f>VLOOKUP(C127,[4]report!$A$2:$R$257,8,FALSE)</f>
        <v>Kab. Pinrang - Kota Kendari</v>
      </c>
      <c r="H127" s="12" t="str">
        <f>VLOOKUP(C127,[4]report!$A$2:$R$257,9,FALSE)</f>
        <v>07/07/2025 - 10/07/2025</v>
      </c>
      <c r="I127" s="13">
        <f>VLOOKUP(C127,[4]report!$A$2:$R$257,18,FALSE)</f>
        <v>852700</v>
      </c>
      <c r="J127" s="19"/>
    </row>
    <row r="128" spans="2:10" s="5" customFormat="1" ht="21" customHeight="1" x14ac:dyDescent="0.25">
      <c r="B128" s="7">
        <v>123</v>
      </c>
      <c r="C128" s="52">
        <v>1266499037</v>
      </c>
      <c r="D128" s="12" t="str">
        <f>VLOOKUP(C128,[4]report!$A$2:$R$257,3,FALSE)</f>
        <v>PRADIKTA CENDIKA</v>
      </c>
      <c r="E128" s="12" t="str">
        <f>VLOOKUP(C128,[4]report!$A$2:$R$257,2,FALSE)</f>
        <v>8710466Z</v>
      </c>
      <c r="F128" s="12">
        <f>VLOOKUP(C128,[4]report!$A$2:$R$257,5,FALSE)</f>
        <v>4120176516</v>
      </c>
      <c r="G128" s="12" t="str">
        <f>VLOOKUP(C128,[4]report!$A$2:$R$257,8,FALSE)</f>
        <v>Kota Makassar - Kota Kendari</v>
      </c>
      <c r="H128" s="12" t="str">
        <f>VLOOKUP(C128,[4]report!$A$2:$R$257,9,FALSE)</f>
        <v>07/07/2025 - 11/07/2025</v>
      </c>
      <c r="I128" s="13">
        <f>VLOOKUP(C128,[4]report!$A$2:$R$257,18,FALSE)</f>
        <v>940800</v>
      </c>
      <c r="J128" s="15"/>
    </row>
    <row r="129" spans="2:10" s="5" customFormat="1" ht="21" customHeight="1" x14ac:dyDescent="0.25">
      <c r="B129" s="7">
        <v>124</v>
      </c>
      <c r="C129" s="52">
        <v>1266499100</v>
      </c>
      <c r="D129" s="12" t="str">
        <f>VLOOKUP(C129,[4]report!$A$2:$R$257,3,FALSE)</f>
        <v>ISKANDAR AZHAR</v>
      </c>
      <c r="E129" s="12" t="str">
        <f>VLOOKUP(C129,[4]report!$A$2:$R$257,2,FALSE)</f>
        <v>8809009F</v>
      </c>
      <c r="F129" s="12">
        <f>VLOOKUP(C129,[4]report!$A$2:$R$257,5,FALSE)</f>
        <v>4120176517</v>
      </c>
      <c r="G129" s="12" t="str">
        <f>VLOOKUP(C129,[4]report!$A$2:$R$257,8,FALSE)</f>
        <v>Kota Makassar - Kota Kendari</v>
      </c>
      <c r="H129" s="12" t="str">
        <f>VLOOKUP(C129,[4]report!$A$2:$R$257,9,FALSE)</f>
        <v>07/07/2025 - 11/07/2025</v>
      </c>
      <c r="I129" s="13">
        <f>VLOOKUP(C129,[4]report!$A$2:$R$257,18,FALSE)</f>
        <v>940800</v>
      </c>
      <c r="J129" s="19"/>
    </row>
    <row r="130" spans="2:10" s="5" customFormat="1" ht="21" customHeight="1" x14ac:dyDescent="0.25">
      <c r="B130" s="7">
        <v>125</v>
      </c>
      <c r="C130" s="52">
        <v>1266379723</v>
      </c>
      <c r="D130" s="12" t="str">
        <f>VLOOKUP(C130,[4]report!$A$2:$R$257,3,FALSE)</f>
        <v>AMBO TUWO</v>
      </c>
      <c r="E130" s="12" t="str">
        <f>VLOOKUP(C130,[4]report!$A$2:$R$257,2,FALSE)</f>
        <v>7602002F</v>
      </c>
      <c r="F130" s="12">
        <f>VLOOKUP(C130,[4]report!$A$2:$R$257,5,FALSE)</f>
        <v>4120176491</v>
      </c>
      <c r="G130" s="12" t="str">
        <f>VLOOKUP(C130,[4]report!$A$2:$R$257,8,FALSE)</f>
        <v>Kota Makassar - Kota Yogyakarta</v>
      </c>
      <c r="H130" s="12" t="str">
        <f>VLOOKUP(C130,[4]report!$A$2:$R$257,9,FALSE)</f>
        <v>06/07/2025 - 09/07/2025</v>
      </c>
      <c r="I130" s="13">
        <f>VLOOKUP(C130,[4]report!$A$2:$R$257,18,FALSE)</f>
        <v>1327800</v>
      </c>
      <c r="J130" s="19"/>
    </row>
    <row r="131" spans="2:10" s="5" customFormat="1" ht="21" customHeight="1" x14ac:dyDescent="0.25">
      <c r="B131" s="7">
        <v>126</v>
      </c>
      <c r="C131" s="52">
        <v>1266560391</v>
      </c>
      <c r="D131" s="12" t="str">
        <f>VLOOKUP(C131,[4]report!$A$2:$R$257,3,FALSE)</f>
        <v>AMI PRAWOTO RANDALAYUK</v>
      </c>
      <c r="E131" s="12" t="str">
        <f>VLOOKUP(C131,[4]report!$A$2:$R$257,2,FALSE)</f>
        <v>9110016F</v>
      </c>
      <c r="F131" s="12">
        <f>VLOOKUP(C131,[4]report!$A$2:$R$257,5,FALSE)</f>
        <v>4120176504</v>
      </c>
      <c r="G131" s="12" t="str">
        <f>VLOOKUP(C131,[4]report!$A$2:$R$257,8,FALSE)</f>
        <v>Kota Palopo - Kota Kendari</v>
      </c>
      <c r="H131" s="12" t="str">
        <f>VLOOKUP(C131,[4]report!$A$2:$R$257,9,FALSE)</f>
        <v>07/07/2025 - 10/07/2025</v>
      </c>
      <c r="I131" s="13">
        <f>VLOOKUP(C131,[4]report!$A$2:$R$257,18,FALSE)</f>
        <v>1714600</v>
      </c>
      <c r="J131" s="19"/>
    </row>
    <row r="132" spans="2:10" s="5" customFormat="1" ht="21" customHeight="1" x14ac:dyDescent="0.25">
      <c r="B132" s="7">
        <v>127</v>
      </c>
      <c r="C132" s="52">
        <v>1266503476</v>
      </c>
      <c r="D132" s="12" t="str">
        <f>VLOOKUP(C132,[4]report!$A$2:$R$257,3,FALSE)</f>
        <v>DHANI JULIANTO PUTRA</v>
      </c>
      <c r="E132" s="12" t="str">
        <f>VLOOKUP(C132,[4]report!$A$2:$R$257,2,FALSE)</f>
        <v>9115510ZY</v>
      </c>
      <c r="F132" s="12">
        <f>VLOOKUP(C132,[4]report!$A$2:$R$257,5,FALSE)</f>
        <v>4120176459</v>
      </c>
      <c r="G132" s="12" t="str">
        <f>VLOOKUP(C132,[4]report!$A$2:$R$257,8,FALSE)</f>
        <v>KotaMakassar-KotaBandung</v>
      </c>
      <c r="H132" s="12" t="str">
        <f>VLOOKUP(C132,[4]report!$A$2:$R$257,9,FALSE)</f>
        <v>02/07/2025 - 05/07/2025</v>
      </c>
      <c r="I132" s="13">
        <f>VLOOKUP(C132,[4]report!$A$2:$R$257,18,FALSE)</f>
        <v>1950900</v>
      </c>
      <c r="J132" s="19"/>
    </row>
    <row r="133" spans="2:10" ht="21" customHeight="1" x14ac:dyDescent="0.25">
      <c r="B133" s="7">
        <v>128</v>
      </c>
      <c r="C133" s="52">
        <v>1266540539</v>
      </c>
      <c r="D133" s="12" t="str">
        <f>VLOOKUP(C133,[4]report!$A$2:$R$257,3,FALSE)</f>
        <v>IRHAS MUFTI FIRDAUS</v>
      </c>
      <c r="E133" s="12" t="str">
        <f>VLOOKUP(C133,[4]report!$A$2:$R$257,2,FALSE)</f>
        <v>92151247ZY</v>
      </c>
      <c r="F133" s="12">
        <f>VLOOKUP(C133,[4]report!$A$2:$R$257,5,FALSE)</f>
        <v>4120176506</v>
      </c>
      <c r="G133" s="12" t="str">
        <f>VLOOKUP(C133,[4]report!$A$2:$R$257,8,FALSE)</f>
        <v>Kota Makassar - Kota Kendari</v>
      </c>
      <c r="H133" s="12" t="str">
        <f>VLOOKUP(C133,[4]report!$A$2:$R$257,9,FALSE)</f>
        <v>07/07/2025 - 10/07/2025</v>
      </c>
      <c r="I133" s="13">
        <f>VLOOKUP(C133,[4]report!$A$2:$R$257,18,FALSE)</f>
        <v>2238473</v>
      </c>
      <c r="J133" s="19"/>
    </row>
    <row r="134" spans="2:10" s="5" customFormat="1" ht="21" customHeight="1" x14ac:dyDescent="0.25">
      <c r="B134" s="7">
        <v>129</v>
      </c>
      <c r="C134" s="52">
        <v>1266535670</v>
      </c>
      <c r="D134" s="12" t="str">
        <f>VLOOKUP(C134,[4]report!$A$2:$R$257,3,FALSE)</f>
        <v>MUHAMMAD LUTHFIL HADI SURYADI</v>
      </c>
      <c r="E134" s="12" t="str">
        <f>VLOOKUP(C134,[4]report!$A$2:$R$257,2,FALSE)</f>
        <v>94171287ZY</v>
      </c>
      <c r="F134" s="12">
        <f>VLOOKUP(C134,[4]report!$A$2:$R$257,5,FALSE)</f>
        <v>4120176500</v>
      </c>
      <c r="G134" s="12" t="str">
        <f>VLOOKUP(C134,[4]report!$A$2:$R$257,8,FALSE)</f>
        <v>Kota Makassar - Kota Kendari</v>
      </c>
      <c r="H134" s="12" t="str">
        <f>VLOOKUP(C134,[4]report!$A$2:$R$257,9,FALSE)</f>
        <v>07/07/2025 - 10/07/2025</v>
      </c>
      <c r="I134" s="13">
        <f>VLOOKUP(C134,[4]report!$A$2:$R$257,18,FALSE)</f>
        <v>2238473</v>
      </c>
      <c r="J134" s="19"/>
    </row>
    <row r="135" spans="2:10" s="5" customFormat="1" ht="21" customHeight="1" x14ac:dyDescent="0.25">
      <c r="B135" s="7">
        <v>130</v>
      </c>
      <c r="C135" s="52">
        <v>1266573915</v>
      </c>
      <c r="D135" s="12" t="str">
        <f>VLOOKUP(C135,[4]report!$A$2:$R$257,3,FALSE)</f>
        <v>AMI PRAWOTO RANDALAYUK</v>
      </c>
      <c r="E135" s="12" t="str">
        <f>VLOOKUP(C135,[4]report!$A$2:$R$257,2,FALSE)</f>
        <v>9110016F</v>
      </c>
      <c r="F135" s="12">
        <f>VLOOKUP(C135,[4]report!$A$2:$R$257,5,FALSE)</f>
        <v>4120176504</v>
      </c>
      <c r="G135" s="12" t="str">
        <f>VLOOKUP(C135,[4]report!$A$2:$R$257,8,FALSE)</f>
        <v>Kota Palopo - Kota Kendari</v>
      </c>
      <c r="H135" s="12" t="str">
        <f>VLOOKUP(C135,[4]report!$A$2:$R$257,9,FALSE)</f>
        <v>07/07/2025 - 10/07/2025</v>
      </c>
      <c r="I135" s="13">
        <f>VLOOKUP(C135,[4]report!$A$2:$R$257,18,FALSE)</f>
        <v>2238959</v>
      </c>
      <c r="J135" s="19"/>
    </row>
    <row r="136" spans="2:10" s="5" customFormat="1" ht="21" customHeight="1" x14ac:dyDescent="0.25">
      <c r="B136" s="7">
        <v>131</v>
      </c>
      <c r="C136" s="52">
        <v>1266577172</v>
      </c>
      <c r="D136" s="12" t="str">
        <f>VLOOKUP(C136,[4]report!$A$2:$R$257,3,FALSE)</f>
        <v>MUHAMMAD PUJI PRASETYO</v>
      </c>
      <c r="E136" s="12" t="str">
        <f>VLOOKUP(C136,[4]report!$A$2:$R$257,2,FALSE)</f>
        <v>92161379ZY</v>
      </c>
      <c r="F136" s="12">
        <f>VLOOKUP(C136,[4]report!$A$2:$R$257,5,FALSE)</f>
        <v>4120176499</v>
      </c>
      <c r="G136" s="12" t="str">
        <f>VLOOKUP(C136,[4]report!$A$2:$R$257,8,FALSE)</f>
        <v>Kota Makassar - Kota Kendari</v>
      </c>
      <c r="H136" s="12" t="str">
        <f>VLOOKUP(C136,[4]report!$A$2:$R$257,9,FALSE)</f>
        <v>07/07/2025 - 10/07/2025</v>
      </c>
      <c r="I136" s="13">
        <f>VLOOKUP(C136,[4]report!$A$2:$R$257,18,FALSE)</f>
        <v>2238959</v>
      </c>
      <c r="J136" s="19"/>
    </row>
    <row r="137" spans="2:10" s="5" customFormat="1" ht="21" customHeight="1" x14ac:dyDescent="0.25">
      <c r="B137" s="7">
        <v>132</v>
      </c>
      <c r="C137" s="52">
        <v>1266348577</v>
      </c>
      <c r="D137" s="12" t="str">
        <f>VLOOKUP(C137,[4]report!$A$2:$R$257,3,FALSE)</f>
        <v>SOBRI FADILLAH</v>
      </c>
      <c r="E137" s="12" t="str">
        <f>VLOOKUP(C137,[4]report!$A$2:$R$257,2,FALSE)</f>
        <v>89112122Z</v>
      </c>
      <c r="F137" s="12">
        <f>VLOOKUP(C137,[4]report!$A$2:$R$257,5,FALSE)</f>
        <v>4120176493</v>
      </c>
      <c r="G137" s="12" t="str">
        <f>VLOOKUP(C137,[4]report!$A$2:$R$257,8,FALSE)</f>
        <v>Kota Parepare - Kota Kendari</v>
      </c>
      <c r="H137" s="12" t="str">
        <f>VLOOKUP(C137,[4]report!$A$2:$R$257,9,FALSE)</f>
        <v>07/07/2025 - 10/07/2025</v>
      </c>
      <c r="I137" s="13">
        <f>VLOOKUP(C137,[4]report!$A$2:$R$257,18,FALSE)</f>
        <v>2264253</v>
      </c>
      <c r="J137" s="19"/>
    </row>
    <row r="138" spans="2:10" s="5" customFormat="1" ht="21" customHeight="1" x14ac:dyDescent="0.25">
      <c r="B138" s="7">
        <v>133</v>
      </c>
      <c r="C138" s="52">
        <v>1266371411</v>
      </c>
      <c r="D138" s="12" t="str">
        <f>VLOOKUP(C138,[4]report!$A$2:$R$257,3,FALSE)</f>
        <v>NUR AHADIAT</v>
      </c>
      <c r="E138" s="12" t="str">
        <f>VLOOKUP(C138,[4]report!$A$2:$R$257,2,FALSE)</f>
        <v>7294054F</v>
      </c>
      <c r="F138" s="12">
        <f>VLOOKUP(C138,[4]report!$A$2:$R$257,5,FALSE)</f>
        <v>4120176501</v>
      </c>
      <c r="G138" s="12" t="str">
        <f>VLOOKUP(C138,[4]report!$A$2:$R$257,8,FALSE)</f>
        <v>Kab. Pinrang - Kota Kendari</v>
      </c>
      <c r="H138" s="12" t="str">
        <f>VLOOKUP(C138,[4]report!$A$2:$R$257,9,FALSE)</f>
        <v>07/07/2025 - 10/07/2025</v>
      </c>
      <c r="I138" s="13">
        <f>VLOOKUP(C138,[4]report!$A$2:$R$257,18,FALSE)</f>
        <v>2264253</v>
      </c>
      <c r="J138" s="19"/>
    </row>
    <row r="139" spans="2:10" s="5" customFormat="1" ht="21" customHeight="1" x14ac:dyDescent="0.25">
      <c r="B139" s="7">
        <v>134</v>
      </c>
      <c r="C139" s="52">
        <v>1266375648</v>
      </c>
      <c r="D139" s="12" t="str">
        <f>VLOOKUP(C139,[4]report!$A$2:$R$257,3,FALSE)</f>
        <v>SARTO SENOBUA'</v>
      </c>
      <c r="E139" s="12" t="str">
        <f>VLOOKUP(C139,[4]report!$A$2:$R$257,2,FALSE)</f>
        <v>9009026F</v>
      </c>
      <c r="F139" s="12">
        <f>VLOOKUP(C139,[4]report!$A$2:$R$257,5,FALSE)</f>
        <v>4120176497</v>
      </c>
      <c r="G139" s="12" t="str">
        <f>VLOOKUP(C139,[4]report!$A$2:$R$257,8,FALSE)</f>
        <v>Kab. Pinrang - Kota Kendari</v>
      </c>
      <c r="H139" s="12" t="str">
        <f>VLOOKUP(C139,[4]report!$A$2:$R$257,9,FALSE)</f>
        <v>07/07/2025 - 10/07/2025</v>
      </c>
      <c r="I139" s="13">
        <f>VLOOKUP(C139,[4]report!$A$2:$R$257,18,FALSE)</f>
        <v>2264253</v>
      </c>
      <c r="J139" s="15"/>
    </row>
    <row r="140" spans="2:10" s="5" customFormat="1" ht="21" customHeight="1" x14ac:dyDescent="0.25">
      <c r="B140" s="7">
        <v>135</v>
      </c>
      <c r="C140" s="52">
        <v>1266519423</v>
      </c>
      <c r="D140" s="12" t="str">
        <f>VLOOKUP(C140,[4]report!$A$2:$R$257,3,FALSE)</f>
        <v>ISKANDAR AZHAR</v>
      </c>
      <c r="E140" s="12" t="str">
        <f>VLOOKUP(C140,[4]report!$A$2:$R$257,2,FALSE)</f>
        <v>8809009F</v>
      </c>
      <c r="F140" s="12">
        <f>VLOOKUP(C140,[4]report!$A$2:$R$257,5,FALSE)</f>
        <v>4120176517</v>
      </c>
      <c r="G140" s="12" t="str">
        <f>VLOOKUP(C140,[4]report!$A$2:$R$257,8,FALSE)</f>
        <v>Kota Makassar - Kota Kendari</v>
      </c>
      <c r="H140" s="12" t="str">
        <f>VLOOKUP(C140,[4]report!$A$2:$R$257,9,FALSE)</f>
        <v>07/07/2025 - 11/07/2025</v>
      </c>
      <c r="I140" s="13">
        <f>VLOOKUP(C140,[4]report!$A$2:$R$257,18,FALSE)</f>
        <v>3285000</v>
      </c>
      <c r="J140" s="19"/>
    </row>
    <row r="141" spans="2:10" s="5" customFormat="1" ht="21" customHeight="1" x14ac:dyDescent="0.25">
      <c r="B141" s="7">
        <v>136</v>
      </c>
      <c r="C141" s="52">
        <v>1266521048</v>
      </c>
      <c r="D141" s="12" t="str">
        <f>VLOOKUP(C141,[4]report!$A$2:$R$257,3,FALSE)</f>
        <v>PRADIKTA CENDIKA</v>
      </c>
      <c r="E141" s="12" t="str">
        <f>VLOOKUP(C141,[4]report!$A$2:$R$257,2,FALSE)</f>
        <v>8710466Z</v>
      </c>
      <c r="F141" s="12">
        <f>VLOOKUP(C141,[4]report!$A$2:$R$257,5,FALSE)</f>
        <v>4120176516</v>
      </c>
      <c r="G141" s="12" t="str">
        <f>VLOOKUP(C141,[4]report!$A$2:$R$257,8,FALSE)</f>
        <v>Kota Makassar - Kota Kendari</v>
      </c>
      <c r="H141" s="12" t="str">
        <f>VLOOKUP(C141,[4]report!$A$2:$R$257,9,FALSE)</f>
        <v>07/07/2025 - 11/07/2025</v>
      </c>
      <c r="I141" s="13">
        <f>VLOOKUP(C141,[4]report!$A$2:$R$257,18,FALSE)</f>
        <v>3799995</v>
      </c>
      <c r="J141" s="19"/>
    </row>
    <row r="142" spans="2:10" s="5" customFormat="1" ht="21" customHeight="1" x14ac:dyDescent="0.25">
      <c r="B142" s="7">
        <v>137</v>
      </c>
      <c r="C142" s="52">
        <v>1266687442</v>
      </c>
      <c r="D142" s="12" t="str">
        <f>VLOOKUP(C142,[4]report!$A$2:$R$257,3,FALSE)</f>
        <v>MUHAMMAD PUJI PRASETYO</v>
      </c>
      <c r="E142" s="12" t="str">
        <f>VLOOKUP(C142,[4]report!$A$2:$R$257,2,FALSE)</f>
        <v>92161379ZY</v>
      </c>
      <c r="F142" s="12">
        <f>VLOOKUP(C142,[4]report!$A$2:$R$257,5,FALSE)</f>
        <v>4120176499</v>
      </c>
      <c r="G142" s="12" t="str">
        <f>VLOOKUP(C142,[4]report!$A$2:$R$257,8,FALSE)</f>
        <v>Kota Makassar - Kota Kendari</v>
      </c>
      <c r="H142" s="12" t="str">
        <f>VLOOKUP(C142,[4]report!$A$2:$R$257,9,FALSE)</f>
        <v>07/07/2025 - 10/07/2025</v>
      </c>
      <c r="I142" s="13">
        <f>VLOOKUP(C142,[4]report!$A$2:$R$257,18,FALSE)</f>
        <v>851400</v>
      </c>
      <c r="J142" s="19"/>
    </row>
    <row r="143" spans="2:10" s="5" customFormat="1" ht="21" customHeight="1" x14ac:dyDescent="0.25">
      <c r="B143" s="7">
        <v>138</v>
      </c>
      <c r="C143" s="52">
        <v>1266724518</v>
      </c>
      <c r="D143" s="12" t="str">
        <f>VLOOKUP(C143,[4]report!$A$2:$R$257,3,FALSE)</f>
        <v>ANDI MUH. ADE ISMAIL BAHAR</v>
      </c>
      <c r="E143" s="12" t="str">
        <f>VLOOKUP(C143,[4]report!$A$2:$R$257,2,FALSE)</f>
        <v>9718090FBY</v>
      </c>
      <c r="F143" s="12">
        <f>VLOOKUP(C143,[4]report!$A$2:$R$257,5,FALSE)</f>
        <v>4120176383</v>
      </c>
      <c r="G143" s="12" t="str">
        <f>VLOOKUP(C143,[4]report!$A$2:$R$257,8,FALSE)</f>
        <v>Kab. Bone - Kota Bandung</v>
      </c>
      <c r="H143" s="12" t="str">
        <f>VLOOKUP(C143,[4]report!$A$2:$R$257,9,FALSE)</f>
        <v>29/06/2025 - 06/07/2025</v>
      </c>
      <c r="I143" s="13">
        <f>VLOOKUP(C143,[4]report!$A$2:$R$257,18,FALSE)</f>
        <v>1395444</v>
      </c>
      <c r="J143" s="19"/>
    </row>
    <row r="144" spans="2:10" s="5" customFormat="1" ht="21" customHeight="1" x14ac:dyDescent="0.25">
      <c r="B144" s="7">
        <v>139</v>
      </c>
      <c r="C144" s="52">
        <v>1266835938</v>
      </c>
      <c r="D144" s="12" t="str">
        <f>VLOOKUP(C144,[4]report!$A$2:$R$257,3,FALSE)</f>
        <v>RIAN PRATAMA</v>
      </c>
      <c r="E144" s="12" t="str">
        <f>VLOOKUP(C144,[4]report!$A$2:$R$257,2,FALSE)</f>
        <v>9218615ZY</v>
      </c>
      <c r="F144" s="12">
        <f>VLOOKUP(C144,[4]report!$A$2:$R$257,5,FALSE)</f>
        <v>4120176471</v>
      </c>
      <c r="G144" s="12" t="str">
        <f>VLOOKUP(C144,[4]report!$A$2:$R$257,8,FALSE)</f>
        <v>Kota Makassar - Jakarta Selatan</v>
      </c>
      <c r="H144" s="12" t="str">
        <f>VLOOKUP(C144,[4]report!$A$2:$R$257,9,FALSE)</f>
        <v>07/07/2025 - 10/07/2025</v>
      </c>
      <c r="I144" s="13">
        <f>VLOOKUP(C144,[4]report!$A$2:$R$257,18,FALSE)</f>
        <v>2184840</v>
      </c>
      <c r="J144" s="15"/>
    </row>
    <row r="145" spans="2:10" s="5" customFormat="1" ht="21" customHeight="1" x14ac:dyDescent="0.25">
      <c r="B145" s="7">
        <v>140</v>
      </c>
      <c r="C145" s="52">
        <v>1266679166</v>
      </c>
      <c r="D145" s="12" t="str">
        <f>VLOOKUP(C145,[4]report!$A$2:$R$257,3,FALSE)</f>
        <v>RIAN PRATAMA</v>
      </c>
      <c r="E145" s="12" t="str">
        <f>VLOOKUP(C145,[4]report!$A$2:$R$257,2,FALSE)</f>
        <v>9218615ZY</v>
      </c>
      <c r="F145" s="12">
        <f>VLOOKUP(C145,[4]report!$A$2:$R$257,5,FALSE)</f>
        <v>4120176471</v>
      </c>
      <c r="G145" s="12" t="str">
        <f>VLOOKUP(C145,[4]report!$A$2:$R$257,8,FALSE)</f>
        <v>Kota Makassar - Jakarta Selatan</v>
      </c>
      <c r="H145" s="12" t="str">
        <f>VLOOKUP(C145,[4]report!$A$2:$R$257,9,FALSE)</f>
        <v>07/07/2025 - 10/07/2025</v>
      </c>
      <c r="I145" s="13">
        <f>VLOOKUP(C145,[4]report!$A$2:$R$257,18,FALSE)</f>
        <v>2228600</v>
      </c>
      <c r="J145" s="19"/>
    </row>
    <row r="146" spans="2:10" s="5" customFormat="1" ht="21" customHeight="1" x14ac:dyDescent="0.25">
      <c r="B146" s="7">
        <v>141</v>
      </c>
      <c r="C146" s="52">
        <v>1266649634</v>
      </c>
      <c r="D146" s="12" t="str">
        <f>VLOOKUP(C146,[4]report!$A$2:$R$257,3,FALSE)</f>
        <v>SYAMSURYA CATUR APRIAN</v>
      </c>
      <c r="E146" s="12" t="str">
        <f>VLOOKUP(C146,[4]report!$A$2:$R$257,2,FALSE)</f>
        <v>9212050FY</v>
      </c>
      <c r="F146" s="12">
        <f>VLOOKUP(C146,[4]report!$A$2:$R$257,5,FALSE)</f>
        <v>4120176453</v>
      </c>
      <c r="G146" s="12" t="str">
        <f>VLOOKUP(C146,[4]report!$A$2:$R$257,8,FALSE)</f>
        <v>Kab. Takalar - Kota Bandung</v>
      </c>
      <c r="H146" s="12" t="str">
        <f>VLOOKUP(C146,[4]report!$A$2:$R$257,9,FALSE)</f>
        <v>04/07/2025 - 06/07/2025</v>
      </c>
      <c r="I146" s="13">
        <f>VLOOKUP(C146,[4]report!$A$2:$R$257,18,FALSE)</f>
        <v>2287500</v>
      </c>
      <c r="J146" s="19"/>
    </row>
    <row r="147" spans="2:10" s="5" customFormat="1" ht="21" customHeight="1" x14ac:dyDescent="0.25">
      <c r="B147" s="7">
        <v>142</v>
      </c>
      <c r="C147" s="52">
        <v>1267374820</v>
      </c>
      <c r="D147" s="12" t="str">
        <f>VLOOKUP(C147,[4]report!$A$2:$R$257,3,FALSE)</f>
        <v>SITTI FAUZIAH AHMAD</v>
      </c>
      <c r="E147" s="12" t="str">
        <f>VLOOKUP(C147,[4]report!$A$2:$R$257,2,FALSE)</f>
        <v>93151392ZY</v>
      </c>
      <c r="F147" s="12">
        <f>VLOOKUP(C147,[4]report!$A$2:$R$257,5,FALSE)</f>
        <v>4120176510</v>
      </c>
      <c r="G147" s="12" t="str">
        <f>VLOOKUP(C147,[4]report!$A$2:$R$257,8,FALSE)</f>
        <v>Kota Makassar - Kota Kendari</v>
      </c>
      <c r="H147" s="12" t="str">
        <f>VLOOKUP(C147,[4]report!$A$2:$R$257,9,FALSE)</f>
        <v>07/07/2025 - 10/07/2025</v>
      </c>
      <c r="I147" s="13">
        <f>VLOOKUP(C147,[4]report!$A$2:$R$257,18,FALSE)</f>
        <v>812000</v>
      </c>
      <c r="J147" s="19"/>
    </row>
    <row r="148" spans="2:10" s="5" customFormat="1" ht="21" customHeight="1" x14ac:dyDescent="0.25">
      <c r="B148" s="7">
        <v>143</v>
      </c>
      <c r="C148" s="52">
        <v>1267272407</v>
      </c>
      <c r="D148" s="12" t="str">
        <f>VLOOKUP(C148,[4]report!$A$2:$R$257,3,FALSE)</f>
        <v>MUHAMMAD PUJI PRASETYO</v>
      </c>
      <c r="E148" s="12" t="str">
        <f>VLOOKUP(C148,[4]report!$A$2:$R$257,2,FALSE)</f>
        <v>92161379ZY</v>
      </c>
      <c r="F148" s="12">
        <f>VLOOKUP(C148,[4]report!$A$2:$R$257,5,FALSE)</f>
        <v>4120176499</v>
      </c>
      <c r="G148" s="12" t="str">
        <f>VLOOKUP(C148,[4]report!$A$2:$R$257,8,FALSE)</f>
        <v>Kota Makassar - Kota Kendari</v>
      </c>
      <c r="H148" s="12" t="str">
        <f>VLOOKUP(C148,[4]report!$A$2:$R$257,9,FALSE)</f>
        <v>07/07/2025 - 10/07/2025</v>
      </c>
      <c r="I148" s="13">
        <f>VLOOKUP(C148,[4]report!$A$2:$R$257,18,FALSE)</f>
        <v>886600</v>
      </c>
      <c r="J148" s="19"/>
    </row>
    <row r="149" spans="2:10" s="5" customFormat="1" ht="21" customHeight="1" x14ac:dyDescent="0.25">
      <c r="B149" s="7">
        <v>144</v>
      </c>
      <c r="C149" s="52">
        <v>1267285531</v>
      </c>
      <c r="D149" s="12" t="str">
        <f>VLOOKUP(C149,[4]report!$A$2:$R$257,3,FALSE)</f>
        <v>ANDI ZULFAKAR</v>
      </c>
      <c r="E149" s="12" t="str">
        <f>VLOOKUP(C149,[4]report!$A$2:$R$257,2,FALSE)</f>
        <v>91162439ZY</v>
      </c>
      <c r="F149" s="12">
        <f>VLOOKUP(C149,[4]report!$A$2:$R$257,5,FALSE)</f>
        <v>4120176515</v>
      </c>
      <c r="G149" s="12" t="str">
        <f>VLOOKUP(C149,[4]report!$A$2:$R$257,8,FALSE)</f>
        <v>Kota Makassar - Kota Kendari</v>
      </c>
      <c r="H149" s="12" t="str">
        <f>VLOOKUP(C149,[4]report!$A$2:$R$257,9,FALSE)</f>
        <v>09/07/2025 - 11/07/2025</v>
      </c>
      <c r="I149" s="13">
        <f>VLOOKUP(C149,[4]report!$A$2:$R$257,18,FALSE)</f>
        <v>1509502</v>
      </c>
      <c r="J149" s="19"/>
    </row>
    <row r="150" spans="2:10" s="5" customFormat="1" ht="21" customHeight="1" x14ac:dyDescent="0.25">
      <c r="B150" s="7">
        <v>145</v>
      </c>
      <c r="C150" s="52">
        <v>1267282355</v>
      </c>
      <c r="D150" s="12" t="str">
        <f>VLOOKUP(C150,[4]report!$A$2:$R$257,3,FALSE)</f>
        <v>ANDI ZULFAKAR</v>
      </c>
      <c r="E150" s="12" t="str">
        <f>VLOOKUP(C150,[4]report!$A$2:$R$257,2,FALSE)</f>
        <v>91162439ZY</v>
      </c>
      <c r="F150" s="12">
        <f>VLOOKUP(C150,[4]report!$A$2:$R$257,5,FALSE)</f>
        <v>4120176515</v>
      </c>
      <c r="G150" s="12" t="str">
        <f>VLOOKUP(C150,[4]report!$A$2:$R$257,8,FALSE)</f>
        <v>Kota Makassar - Kota Kendari</v>
      </c>
      <c r="H150" s="12" t="str">
        <f>VLOOKUP(C150,[4]report!$A$2:$R$257,9,FALSE)</f>
        <v>09/07/2025 - 11/07/2025</v>
      </c>
      <c r="I150" s="13">
        <f>VLOOKUP(C150,[4]report!$A$2:$R$257,18,FALSE)</f>
        <v>1866200</v>
      </c>
      <c r="J150" s="19"/>
    </row>
    <row r="151" spans="2:10" s="5" customFormat="1" ht="21" customHeight="1" x14ac:dyDescent="0.25">
      <c r="B151" s="7">
        <v>146</v>
      </c>
      <c r="C151" s="52">
        <v>1267295104</v>
      </c>
      <c r="D151" s="12" t="str">
        <f>VLOOKUP(C151,[4]report!$A$2:$R$257,3,FALSE)</f>
        <v>MUHAMMAD IRFAN</v>
      </c>
      <c r="E151" s="12" t="str">
        <f>VLOOKUP(C151,[4]report!$A$2:$R$257,2,FALSE)</f>
        <v>95191884ZY</v>
      </c>
      <c r="F151" s="12">
        <f>VLOOKUP(C151,[4]report!$A$2:$R$257,5,FALSE)</f>
        <v>4120176461</v>
      </c>
      <c r="G151" s="12" t="str">
        <f>VLOOKUP(C151,[4]report!$A$2:$R$257,8,FALSE)</f>
        <v>Kota Makassar - Kota Surabaya</v>
      </c>
      <c r="H151" s="12" t="str">
        <f>VLOOKUP(C151,[4]report!$A$2:$R$257,9,FALSE)</f>
        <v>11/07/2025 - 15/07/2025</v>
      </c>
      <c r="I151" s="13">
        <f>VLOOKUP(C151,[4]report!$A$2:$R$257,18,FALSE)</f>
        <v>2447200</v>
      </c>
      <c r="J151" s="20"/>
    </row>
    <row r="152" spans="2:10" s="5" customFormat="1" ht="21" customHeight="1" x14ac:dyDescent="0.25">
      <c r="B152" s="7">
        <v>147</v>
      </c>
      <c r="C152" s="52">
        <v>1267495113</v>
      </c>
      <c r="D152" s="12" t="str">
        <f>VLOOKUP(C152,[4]report!$A$2:$R$257,3,FALSE)</f>
        <v>IRHAS MUFTI FIRDAUS</v>
      </c>
      <c r="E152" s="12" t="str">
        <f>VLOOKUP(C152,[4]report!$A$2:$R$257,2,FALSE)</f>
        <v>92151247ZY</v>
      </c>
      <c r="F152" s="12">
        <f>VLOOKUP(C152,[4]report!$A$2:$R$257,5,FALSE)</f>
        <v>4120176506</v>
      </c>
      <c r="G152" s="12" t="str">
        <f>VLOOKUP(C152,[4]report!$A$2:$R$257,8,FALSE)</f>
        <v>Kota Makassar - Kota Kendari</v>
      </c>
      <c r="H152" s="12" t="str">
        <f>VLOOKUP(C152,[4]report!$A$2:$R$257,9,FALSE)</f>
        <v>07/07/2025 - 10/07/2025</v>
      </c>
      <c r="I152" s="13">
        <f>VLOOKUP(C152,[4]report!$A$2:$R$257,18,FALSE)</f>
        <v>886600</v>
      </c>
      <c r="J152" s="19"/>
    </row>
    <row r="153" spans="2:10" s="5" customFormat="1" ht="21" customHeight="1" x14ac:dyDescent="0.25">
      <c r="B153" s="7">
        <v>148</v>
      </c>
      <c r="C153" s="52">
        <v>1267496147</v>
      </c>
      <c r="D153" s="12" t="str">
        <f>VLOOKUP(C153,[4]report!$A$2:$R$257,3,FALSE)</f>
        <v>MUHAMMAD LUTHFIL HADI SURYADI</v>
      </c>
      <c r="E153" s="12" t="str">
        <f>VLOOKUP(C153,[4]report!$A$2:$R$257,2,FALSE)</f>
        <v>94171287ZY</v>
      </c>
      <c r="F153" s="12">
        <f>VLOOKUP(C153,[4]report!$A$2:$R$257,5,FALSE)</f>
        <v>4120176500</v>
      </c>
      <c r="G153" s="12" t="str">
        <f>VLOOKUP(C153,[4]report!$A$2:$R$257,8,FALSE)</f>
        <v>Kota Makassar - Kota Kendari</v>
      </c>
      <c r="H153" s="12" t="str">
        <f>VLOOKUP(C153,[4]report!$A$2:$R$257,9,FALSE)</f>
        <v>07/07/2025 - 10/07/2025</v>
      </c>
      <c r="I153" s="13">
        <f>VLOOKUP(C153,[4]report!$A$2:$R$257,18,FALSE)</f>
        <v>886600</v>
      </c>
      <c r="J153" s="19"/>
    </row>
    <row r="154" spans="2:10" s="5" customFormat="1" ht="21" customHeight="1" x14ac:dyDescent="0.25">
      <c r="B154" s="7">
        <v>149</v>
      </c>
      <c r="C154" s="53">
        <v>1267459291</v>
      </c>
      <c r="D154" s="12" t="str">
        <f>VLOOKUP(C154,[4]report!$A$2:$R$257,3,FALSE)</f>
        <v>MUHAMMAD DJAJADI</v>
      </c>
      <c r="E154" s="12" t="str">
        <f>VLOOKUP(C154,[4]report!$A$2:$R$257,2,FALSE)</f>
        <v>7090006F</v>
      </c>
      <c r="F154" s="12">
        <f>VLOOKUP(C154,[4]report!$A$2:$R$257,5,FALSE)</f>
        <v>4120176528</v>
      </c>
      <c r="G154" s="12" t="str">
        <f>VLOOKUP(C154,[4]report!$A$2:$R$257,8,FALSE)</f>
        <v>Kab. Mamuju - Kota Makassar</v>
      </c>
      <c r="H154" s="12" t="str">
        <f>VLOOKUP(C154,[4]report!$A$2:$R$257,9,FALSE)</f>
        <v>08/07/2025 - 10/07/2025</v>
      </c>
      <c r="I154" s="13">
        <f>VLOOKUP(C154,[4]report!$A$2:$R$257,18,FALSE)</f>
        <v>1083000</v>
      </c>
      <c r="J154" s="19"/>
    </row>
    <row r="155" spans="2:10" s="5" customFormat="1" ht="21" customHeight="1" x14ac:dyDescent="0.25">
      <c r="B155" s="7">
        <v>150</v>
      </c>
      <c r="C155" s="52">
        <v>1267491682</v>
      </c>
      <c r="D155" s="12" t="str">
        <f>VLOOKUP(C155,[4]report!$A$2:$R$257,3,FALSE)</f>
        <v>FAROUQ MUHAMMAD NOOR</v>
      </c>
      <c r="E155" s="12" t="str">
        <f>VLOOKUP(C155,[4]report!$A$2:$R$257,2,FALSE)</f>
        <v>9620546ZY</v>
      </c>
      <c r="F155" s="12">
        <f>VLOOKUP(C155,[4]report!$A$2:$R$257,5,FALSE)</f>
        <v>4120176465</v>
      </c>
      <c r="G155" s="12" t="str">
        <f>VLOOKUP(C155,[4]report!$A$2:$R$257,8,FALSE)</f>
        <v>Kab. Bone - Kota Surabaya</v>
      </c>
      <c r="H155" s="12" t="str">
        <f>VLOOKUP(C155,[4]report!$A$2:$R$257,9,FALSE)</f>
        <v>04/07/2025 - 08/07/2025</v>
      </c>
      <c r="I155" s="13">
        <f>VLOOKUP(C155,[4]report!$A$2:$R$257,18,FALSE)</f>
        <v>1290400</v>
      </c>
      <c r="J155" s="19"/>
    </row>
    <row r="156" spans="2:10" s="5" customFormat="1" ht="21" customHeight="1" x14ac:dyDescent="0.25">
      <c r="B156" s="7">
        <v>151</v>
      </c>
      <c r="C156" s="53">
        <v>1267550615</v>
      </c>
      <c r="D156" s="12" t="str">
        <f>VLOOKUP(C156,[4]report!$A$2:$R$257,3,FALSE)</f>
        <v>AMBO TUWO</v>
      </c>
      <c r="E156" s="12" t="str">
        <f>VLOOKUP(C156,[4]report!$A$2:$R$257,2,FALSE)</f>
        <v>7602002F</v>
      </c>
      <c r="F156" s="12">
        <f>VLOOKUP(C156,[4]report!$A$2:$R$257,5,FALSE)</f>
        <v>4120176491</v>
      </c>
      <c r="G156" s="12" t="str">
        <f>VLOOKUP(C156,[4]report!$A$2:$R$257,8,FALSE)</f>
        <v>Kota Makassar - Kota Yogyakarta</v>
      </c>
      <c r="H156" s="12" t="str">
        <f>VLOOKUP(C156,[4]report!$A$2:$R$257,9,FALSE)</f>
        <v>06/07/2025 - 09/07/2025</v>
      </c>
      <c r="I156" s="13">
        <f>VLOOKUP(C156,[4]report!$A$2:$R$257,18,FALSE)</f>
        <v>1332900</v>
      </c>
      <c r="J156" s="15"/>
    </row>
    <row r="157" spans="2:10" s="5" customFormat="1" ht="21" customHeight="1" x14ac:dyDescent="0.25">
      <c r="B157" s="7">
        <v>152</v>
      </c>
      <c r="C157" s="52">
        <v>1267653894</v>
      </c>
      <c r="D157" s="12" t="str">
        <f>VLOOKUP(C157,[4]report!$A$2:$R$257,3,FALSE)</f>
        <v>RATHY SHINTA UTAMI</v>
      </c>
      <c r="E157" s="12" t="str">
        <f>VLOOKUP(C157,[4]report!$A$2:$R$257,2,FALSE)</f>
        <v>8609336Z</v>
      </c>
      <c r="F157" s="12">
        <f>VLOOKUP(C157,[4]report!$A$2:$R$257,5,FALSE)</f>
        <v>4120176543</v>
      </c>
      <c r="G157" s="12" t="str">
        <f>VLOOKUP(C157,[4]report!$A$2:$R$257,8,FALSE)</f>
        <v>Kota Makassar - Kab. Bandung</v>
      </c>
      <c r="H157" s="12" t="str">
        <f>VLOOKUP(C157,[4]report!$A$2:$R$257,9,FALSE)</f>
        <v>09/07/2025 - 11/07/2025</v>
      </c>
      <c r="I157" s="13">
        <f>VLOOKUP(C157,[4]report!$A$2:$R$257,18,FALSE)</f>
        <v>2225100</v>
      </c>
      <c r="J157" s="19"/>
    </row>
    <row r="158" spans="2:10" s="5" customFormat="1" ht="21" customHeight="1" x14ac:dyDescent="0.25">
      <c r="B158" s="7">
        <v>153</v>
      </c>
      <c r="C158" s="52">
        <v>1267669741</v>
      </c>
      <c r="D158" s="12" t="str">
        <f>VLOOKUP(C158,[4]report!$A$2:$R$257,3,FALSE)</f>
        <v>EKA MAYASARI RACHMAN</v>
      </c>
      <c r="E158" s="12" t="str">
        <f>VLOOKUP(C158,[4]report!$A$2:$R$257,2,FALSE)</f>
        <v>88111108Z</v>
      </c>
      <c r="F158" s="12">
        <f>VLOOKUP(C158,[4]report!$A$2:$R$257,5,FALSE)</f>
        <v>4120176532</v>
      </c>
      <c r="G158" s="12" t="str">
        <f>VLOOKUP(C158,[4]report!$A$2:$R$257,8,FALSE)</f>
        <v>Kota Makassar - Kab. Bandung</v>
      </c>
      <c r="H158" s="12" t="str">
        <f>VLOOKUP(C158,[4]report!$A$2:$R$257,9,FALSE)</f>
        <v>09/07/2025 - 11/07/2025</v>
      </c>
      <c r="I158" s="13">
        <f>VLOOKUP(C158,[4]report!$A$2:$R$257,18,FALSE)</f>
        <v>2225100</v>
      </c>
      <c r="J158" s="15"/>
    </row>
    <row r="159" spans="2:10" s="5" customFormat="1" ht="21" customHeight="1" x14ac:dyDescent="0.25">
      <c r="B159" s="7">
        <v>154</v>
      </c>
      <c r="C159" s="52">
        <v>1267648509</v>
      </c>
      <c r="D159" s="12" t="str">
        <f>VLOOKUP(C159,[4]report!$A$2:$R$257,3,FALSE)</f>
        <v>AHMAD AMIRUL SYARIF</v>
      </c>
      <c r="E159" s="12" t="str">
        <f>VLOOKUP(C159,[4]report!$A$2:$R$257,2,FALSE)</f>
        <v>8710691Z</v>
      </c>
      <c r="F159" s="12">
        <f>VLOOKUP(C159,[4]report!$A$2:$R$257,5,FALSE)</f>
        <v>4120176536</v>
      </c>
      <c r="G159" s="12" t="str">
        <f>VLOOKUP(C159,[4]report!$A$2:$R$257,8,FALSE)</f>
        <v>Kota Makassar - Kota Bandung</v>
      </c>
      <c r="H159" s="12" t="str">
        <f>VLOOKUP(C159,[4]report!$A$2:$R$257,9,FALSE)</f>
        <v>09/07/2025 - 11/07/2025</v>
      </c>
      <c r="I159" s="13">
        <f>VLOOKUP(C159,[4]report!$A$2:$R$257,18,FALSE)</f>
        <v>2238600</v>
      </c>
      <c r="J159" s="19"/>
    </row>
    <row r="160" spans="2:10" s="5" customFormat="1" ht="21" customHeight="1" x14ac:dyDescent="0.25">
      <c r="B160" s="7">
        <v>155</v>
      </c>
      <c r="C160" s="52">
        <v>1267740783</v>
      </c>
      <c r="D160" s="12" t="str">
        <f>VLOOKUP(C160,[4]report!$A$2:$R$257,3,FALSE)</f>
        <v>MUHAMMAD ISMAIL</v>
      </c>
      <c r="E160" s="12" t="str">
        <f>VLOOKUP(C160,[4]report!$A$2:$R$257,2,FALSE)</f>
        <v>7802014F</v>
      </c>
      <c r="F160" s="12">
        <f>VLOOKUP(C160,[4]report!$A$2:$R$257,5,FALSE)</f>
        <v>4120176547</v>
      </c>
      <c r="G160" s="12" t="str">
        <f>VLOOKUP(C160,[4]report!$A$2:$R$257,8,FALSE)</f>
        <v>Kota Makassar - Kota Bogor</v>
      </c>
      <c r="H160" s="12" t="str">
        <f>VLOOKUP(C160,[4]report!$A$2:$R$257,9,FALSE)</f>
        <v>09/07/2025 - 12/07/2025</v>
      </c>
      <c r="I160" s="13">
        <f>VLOOKUP(C160,[4]report!$A$2:$R$257,18,FALSE)</f>
        <v>1105100</v>
      </c>
      <c r="J160" s="15"/>
    </row>
    <row r="161" spans="2:10" s="5" customFormat="1" ht="21" customHeight="1" x14ac:dyDescent="0.25">
      <c r="B161" s="7">
        <v>156</v>
      </c>
      <c r="C161" s="52">
        <v>1267735848</v>
      </c>
      <c r="D161" s="12" t="str">
        <f>VLOOKUP(C161,[4]report!$A$2:$R$257,3,FALSE)</f>
        <v>SEPTYANTO NUGROHO</v>
      </c>
      <c r="E161" s="12" t="str">
        <f>VLOOKUP(C161,[4]report!$A$2:$R$257,2,FALSE)</f>
        <v>95191270ZY</v>
      </c>
      <c r="F161" s="12">
        <f>VLOOKUP(C161,[4]report!$A$2:$R$257,5,FALSE)</f>
        <v>4120176545</v>
      </c>
      <c r="G161" s="12" t="str">
        <f>VLOOKUP(C161,[4]report!$A$2:$R$257,8,FALSE)</f>
        <v>Kota Makassar - Kota Bogor</v>
      </c>
      <c r="H161" s="12" t="str">
        <f>VLOOKUP(C161,[4]report!$A$2:$R$257,9,FALSE)</f>
        <v>09/07/2025 - 12/07/2025</v>
      </c>
      <c r="I161" s="13">
        <f>VLOOKUP(C161,[4]report!$A$2:$R$257,18,FALSE)</f>
        <v>1105100</v>
      </c>
      <c r="J161" s="19"/>
    </row>
    <row r="162" spans="2:10" s="5" customFormat="1" ht="21" customHeight="1" x14ac:dyDescent="0.25">
      <c r="B162" s="7">
        <v>157</v>
      </c>
      <c r="C162" s="52">
        <v>1267744772</v>
      </c>
      <c r="D162" s="12" t="str">
        <f>VLOOKUP(C162,[4]report!$A$2:$R$257,3,FALSE)</f>
        <v>SADLI ALI IMRAN</v>
      </c>
      <c r="E162" s="12" t="str">
        <f>VLOOKUP(C162,[4]report!$A$2:$R$257,2,FALSE)</f>
        <v>9113252ZY</v>
      </c>
      <c r="F162" s="12">
        <f>VLOOKUP(C162,[4]report!$A$2:$R$257,5,FALSE)</f>
        <v>4120176535</v>
      </c>
      <c r="G162" s="12" t="str">
        <f>VLOOKUP(C162,[4]report!$A$2:$R$257,8,FALSE)</f>
        <v>Kota Makassar - Kota Parepare</v>
      </c>
      <c r="H162" s="12" t="str">
        <f>VLOOKUP(C162,[4]report!$A$2:$R$257,9,FALSE)</f>
        <v>10/07/2025 - 12/07/2025</v>
      </c>
      <c r="I162" s="13">
        <f>VLOOKUP(C162,[4]report!$A$2:$R$257,18,FALSE)</f>
        <v>1300000</v>
      </c>
      <c r="J162" s="19"/>
    </row>
    <row r="163" spans="2:10" s="5" customFormat="1" ht="21" customHeight="1" x14ac:dyDescent="0.25">
      <c r="B163" s="7">
        <v>158</v>
      </c>
      <c r="C163" s="52">
        <v>1267748020</v>
      </c>
      <c r="D163" s="12" t="str">
        <f>VLOOKUP(C163,[4]report!$A$2:$R$257,3,FALSE)</f>
        <v xml:space="preserve">MIRSAN </v>
      </c>
      <c r="E163" s="12" t="str">
        <f>VLOOKUP(C163,[4]report!$A$2:$R$257,2,FALSE)</f>
        <v>8408499Z</v>
      </c>
      <c r="F163" s="12">
        <f>VLOOKUP(C163,[4]report!$A$2:$R$257,5,FALSE)</f>
        <v>4120176524</v>
      </c>
      <c r="G163" s="12" t="str">
        <f>VLOOKUP(C163,[4]report!$A$2:$R$257,8,FALSE)</f>
        <v>Kota Makassar - Jakarta Selatan</v>
      </c>
      <c r="H163" s="12" t="str">
        <f>VLOOKUP(C163,[4]report!$A$2:$R$257,9,FALSE)</f>
        <v>07/07/2025 - 09/07/2025</v>
      </c>
      <c r="I163" s="13">
        <f>VLOOKUP(C163,[4]report!$A$2:$R$257,18,FALSE)</f>
        <v>1566600</v>
      </c>
      <c r="J163" s="19"/>
    </row>
    <row r="164" spans="2:10" s="5" customFormat="1" ht="21" customHeight="1" x14ac:dyDescent="0.25">
      <c r="B164" s="7">
        <v>159</v>
      </c>
      <c r="C164" s="52">
        <v>1267775583</v>
      </c>
      <c r="D164" s="12" t="str">
        <f>VLOOKUP(C164,[4]report!$A$2:$R$257,3,FALSE)</f>
        <v>MUHAMMAD ISMAIL</v>
      </c>
      <c r="E164" s="12" t="str">
        <f>VLOOKUP(C164,[4]report!$A$2:$R$257,2,FALSE)</f>
        <v>7802014F</v>
      </c>
      <c r="F164" s="12">
        <f>VLOOKUP(C164,[4]report!$A$2:$R$257,5,FALSE)</f>
        <v>4120176547</v>
      </c>
      <c r="G164" s="12" t="str">
        <f>VLOOKUP(C164,[4]report!$A$2:$R$257,8,FALSE)</f>
        <v>Kota Makassar - Kota Bogor</v>
      </c>
      <c r="H164" s="12" t="str">
        <f>VLOOKUP(C164,[4]report!$A$2:$R$257,9,FALSE)</f>
        <v>09/07/2025 - 12/07/2025</v>
      </c>
      <c r="I164" s="13">
        <f>VLOOKUP(C164,[4]report!$A$2:$R$257,18,FALSE)</f>
        <v>2040000</v>
      </c>
      <c r="J164" s="19"/>
    </row>
    <row r="165" spans="2:10" s="5" customFormat="1" ht="21" customHeight="1" x14ac:dyDescent="0.25">
      <c r="B165" s="7">
        <v>160</v>
      </c>
      <c r="C165" s="52">
        <v>1267787007</v>
      </c>
      <c r="D165" s="12" t="str">
        <f>VLOOKUP(C165,[4]report!$A$2:$R$257,3,FALSE)</f>
        <v>SEPTYANTO NUGROHO</v>
      </c>
      <c r="E165" s="12" t="str">
        <f>VLOOKUP(C165,[4]report!$A$2:$R$257,2,FALSE)</f>
        <v>95191270ZY</v>
      </c>
      <c r="F165" s="12">
        <f>VLOOKUP(C165,[4]report!$A$2:$R$257,5,FALSE)</f>
        <v>4120176545</v>
      </c>
      <c r="G165" s="12" t="str">
        <f>VLOOKUP(C165,[4]report!$A$2:$R$257,8,FALSE)</f>
        <v>Kota Makassar - Kota Bogor</v>
      </c>
      <c r="H165" s="12" t="str">
        <f>VLOOKUP(C165,[4]report!$A$2:$R$257,9,FALSE)</f>
        <v>09/07/2025 - 12/07/2025</v>
      </c>
      <c r="I165" s="13">
        <f>VLOOKUP(C165,[4]report!$A$2:$R$257,18,FALSE)</f>
        <v>2250000</v>
      </c>
      <c r="J165" s="19"/>
    </row>
    <row r="166" spans="2:10" s="5" customFormat="1" ht="21" customHeight="1" x14ac:dyDescent="0.25">
      <c r="B166" s="7">
        <v>161</v>
      </c>
      <c r="C166" s="52">
        <v>1267779070</v>
      </c>
      <c r="D166" s="12" t="str">
        <f>VLOOKUP(C166,[4]report!$A$2:$R$257,3,FALSE)</f>
        <v>RATHY SHINTA UTAMI</v>
      </c>
      <c r="E166" s="12" t="str">
        <f>VLOOKUP(C166,[4]report!$A$2:$R$257,2,FALSE)</f>
        <v>8609336Z</v>
      </c>
      <c r="F166" s="12">
        <f>VLOOKUP(C166,[4]report!$A$2:$R$257,5,FALSE)</f>
        <v>4120176543</v>
      </c>
      <c r="G166" s="12" t="str">
        <f>VLOOKUP(C166,[4]report!$A$2:$R$257,8,FALSE)</f>
        <v>Kota Makassar - Kab. Bandung</v>
      </c>
      <c r="H166" s="12" t="str">
        <f>VLOOKUP(C166,[4]report!$A$2:$R$257,9,FALSE)</f>
        <v>09/07/2025 - 11/07/2025</v>
      </c>
      <c r="I166" s="13">
        <f>VLOOKUP(C166,[4]report!$A$2:$R$257,18,FALSE)</f>
        <v>2499959</v>
      </c>
      <c r="J166" s="19"/>
    </row>
    <row r="167" spans="2:10" s="5" customFormat="1" ht="21" customHeight="1" x14ac:dyDescent="0.25">
      <c r="B167" s="7">
        <v>162</v>
      </c>
      <c r="C167" s="52">
        <v>1267785265</v>
      </c>
      <c r="D167" s="12" t="str">
        <f>VLOOKUP(C167,[4]report!$A$2:$R$257,3,FALSE)</f>
        <v>EKA MAYASARI RACHMAN</v>
      </c>
      <c r="E167" s="12" t="str">
        <f>VLOOKUP(C167,[4]report!$A$2:$R$257,2,FALSE)</f>
        <v>88111108Z</v>
      </c>
      <c r="F167" s="12">
        <f>VLOOKUP(C167,[4]report!$A$2:$R$257,5,FALSE)</f>
        <v>4120176532</v>
      </c>
      <c r="G167" s="12" t="str">
        <f>VLOOKUP(C167,[4]report!$A$2:$R$257,8,FALSE)</f>
        <v>Kota Makassar - Kab. Bandung</v>
      </c>
      <c r="H167" s="12" t="str">
        <f>VLOOKUP(C167,[4]report!$A$2:$R$257,9,FALSE)</f>
        <v>09/07/2025 - 11/07/2025</v>
      </c>
      <c r="I167" s="13">
        <f>VLOOKUP(C167,[4]report!$A$2:$R$257,18,FALSE)</f>
        <v>2699960</v>
      </c>
      <c r="J167" s="19"/>
    </row>
    <row r="168" spans="2:10" s="5" customFormat="1" ht="21" customHeight="1" x14ac:dyDescent="0.25">
      <c r="B168" s="7">
        <v>163</v>
      </c>
      <c r="C168" s="52">
        <v>1267775063</v>
      </c>
      <c r="D168" s="12" t="str">
        <f>VLOOKUP(C168,[4]report!$A$2:$R$257,3,FALSE)</f>
        <v>AHMAD AMIRUL SYARIF</v>
      </c>
      <c r="E168" s="12" t="str">
        <f>VLOOKUP(C168,[4]report!$A$2:$R$257,2,FALSE)</f>
        <v>8710691Z</v>
      </c>
      <c r="F168" s="12">
        <f>VLOOKUP(C168,[4]report!$A$2:$R$257,5,FALSE)</f>
        <v>4120176536</v>
      </c>
      <c r="G168" s="12" t="str">
        <f>VLOOKUP(C168,[4]report!$A$2:$R$257,8,FALSE)</f>
        <v>Kota Makassar - Kota Bandung</v>
      </c>
      <c r="H168" s="12" t="str">
        <f>VLOOKUP(C168,[4]report!$A$2:$R$257,9,FALSE)</f>
        <v>09/07/2025 - 11/07/2025</v>
      </c>
      <c r="I168" s="13">
        <f>VLOOKUP(C168,[4]report!$A$2:$R$257,18,FALSE)</f>
        <v>2699962</v>
      </c>
      <c r="J168" s="19"/>
    </row>
    <row r="169" spans="2:10" s="5" customFormat="1" ht="21" customHeight="1" x14ac:dyDescent="0.25">
      <c r="B169" s="7">
        <v>164</v>
      </c>
      <c r="C169" s="52">
        <v>1267989607</v>
      </c>
      <c r="D169" s="12" t="str">
        <f>VLOOKUP(C169,[4]report!$A$2:$R$257,3,FALSE)</f>
        <v>PRADIKTA CENDIKA</v>
      </c>
      <c r="E169" s="12" t="str">
        <f>VLOOKUP(C169,[4]report!$A$2:$R$257,2,FALSE)</f>
        <v>8710466Z</v>
      </c>
      <c r="F169" s="12">
        <f>VLOOKUP(C169,[4]report!$A$2:$R$257,5,FALSE)</f>
        <v>4120176516</v>
      </c>
      <c r="G169" s="12" t="str">
        <f>VLOOKUP(C169,[4]report!$A$2:$R$257,8,FALSE)</f>
        <v>Kota Makassar - Kota Kendari</v>
      </c>
      <c r="H169" s="12" t="str">
        <f>VLOOKUP(C169,[4]report!$A$2:$R$257,9,FALSE)</f>
        <v>07/07/2025 - 11/07/2025</v>
      </c>
      <c r="I169" s="13">
        <f>VLOOKUP(C169,[4]report!$A$2:$R$257,18,FALSE)</f>
        <v>695400</v>
      </c>
      <c r="J169" s="19"/>
    </row>
    <row r="170" spans="2:10" s="5" customFormat="1" ht="21" customHeight="1" x14ac:dyDescent="0.25">
      <c r="B170" s="7">
        <v>165</v>
      </c>
      <c r="C170" s="52">
        <v>1267873532</v>
      </c>
      <c r="D170" s="12" t="str">
        <f>VLOOKUP(C170,[4]report!$A$2:$R$257,3,FALSE)</f>
        <v>MUHAMMAD ISMAIL</v>
      </c>
      <c r="E170" s="12" t="str">
        <f>VLOOKUP(C170,[4]report!$A$2:$R$257,2,FALSE)</f>
        <v>7802014F</v>
      </c>
      <c r="F170" s="12">
        <f>VLOOKUP(C170,[4]report!$A$2:$R$257,5,FALSE)</f>
        <v>4120176547</v>
      </c>
      <c r="G170" s="12" t="str">
        <f>VLOOKUP(C170,[4]report!$A$2:$R$257,8,FALSE)</f>
        <v>Kota Makassar - Kota Bogor</v>
      </c>
      <c r="H170" s="12" t="str">
        <f>VLOOKUP(C170,[4]report!$A$2:$R$257,9,FALSE)</f>
        <v>09/07/2025 - 12/07/2025</v>
      </c>
      <c r="I170" s="13">
        <f>VLOOKUP(C170,[4]report!$A$2:$R$257,18,FALSE)</f>
        <v>750000</v>
      </c>
      <c r="J170" s="19"/>
    </row>
    <row r="171" spans="2:10" s="5" customFormat="1" ht="21" customHeight="1" x14ac:dyDescent="0.25">
      <c r="B171" s="7">
        <v>166</v>
      </c>
      <c r="C171" s="52">
        <v>1267930607</v>
      </c>
      <c r="D171" s="12" t="str">
        <f>VLOOKUP(C171,[4]report!$A$2:$R$257,3,FALSE)</f>
        <v>ISKANDAR AZHAR</v>
      </c>
      <c r="E171" s="12" t="str">
        <f>VLOOKUP(C171,[4]report!$A$2:$R$257,2,FALSE)</f>
        <v>8809009F</v>
      </c>
      <c r="F171" s="12">
        <f>VLOOKUP(C171,[4]report!$A$2:$R$257,5,FALSE)</f>
        <v>4120176517</v>
      </c>
      <c r="G171" s="12" t="str">
        <f>VLOOKUP(C171,[4]report!$A$2:$R$257,8,FALSE)</f>
        <v>Kota Makassar - Kota Kendari</v>
      </c>
      <c r="H171" s="12" t="str">
        <f>VLOOKUP(C171,[4]report!$A$2:$R$257,9,FALSE)</f>
        <v>07/07/2025 - 11/07/2025</v>
      </c>
      <c r="I171" s="13">
        <f>VLOOKUP(C171,[4]report!$A$2:$R$257,18,FALSE)</f>
        <v>865700</v>
      </c>
      <c r="J171" s="19"/>
    </row>
    <row r="172" spans="2:10" s="5" customFormat="1" ht="21" customHeight="1" x14ac:dyDescent="0.25">
      <c r="B172" s="7">
        <v>167</v>
      </c>
      <c r="C172" s="52">
        <v>1268029901</v>
      </c>
      <c r="D172" s="12" t="str">
        <f>VLOOKUP(C172,[4]report!$A$2:$R$257,3,FALSE)</f>
        <v>HARYADI KASIM</v>
      </c>
      <c r="E172" s="12" t="str">
        <f>VLOOKUP(C172,[4]report!$A$2:$R$257,2,FALSE)</f>
        <v>8408025F</v>
      </c>
      <c r="F172" s="12">
        <f>VLOOKUP(C172,[4]report!$A$2:$R$257,5,FALSE)</f>
        <v>4120176581</v>
      </c>
      <c r="G172" s="12" t="str">
        <f>VLOOKUP(C172,[4]report!$A$2:$R$257,8,FALSE)</f>
        <v>Kota Makassar - Jakarta Selatan</v>
      </c>
      <c r="H172" s="12" t="str">
        <f>VLOOKUP(C172,[4]report!$A$2:$R$257,9,FALSE)</f>
        <v>13/07/2025 - 15/07/2025</v>
      </c>
      <c r="I172" s="13">
        <f>VLOOKUP(C172,[4]report!$A$2:$R$257,18,FALSE)</f>
        <v>1655300</v>
      </c>
      <c r="J172" s="19"/>
    </row>
    <row r="173" spans="2:10" s="5" customFormat="1" ht="21" customHeight="1" x14ac:dyDescent="0.25">
      <c r="B173" s="7">
        <v>168</v>
      </c>
      <c r="C173" s="52">
        <v>1267898403</v>
      </c>
      <c r="D173" s="12" t="str">
        <f>VLOOKUP(C173,[4]report!$A$2:$R$257,3,FALSE)</f>
        <v>RIAN PRATAMA</v>
      </c>
      <c r="E173" s="12" t="str">
        <f>VLOOKUP(C173,[4]report!$A$2:$R$257,2,FALSE)</f>
        <v>9218615ZY</v>
      </c>
      <c r="F173" s="12">
        <f>VLOOKUP(C173,[4]report!$A$2:$R$257,5,FALSE)</f>
        <v>4120176471</v>
      </c>
      <c r="G173" s="12" t="str">
        <f>VLOOKUP(C173,[4]report!$A$2:$R$257,8,FALSE)</f>
        <v>Kota Makassar - Jakarta Selatan</v>
      </c>
      <c r="H173" s="12" t="str">
        <f>VLOOKUP(C173,[4]report!$A$2:$R$257,9,FALSE)</f>
        <v>07/07/2025 - 10/07/2025</v>
      </c>
      <c r="I173" s="13">
        <f>VLOOKUP(C173,[4]report!$A$2:$R$257,18,FALSE)</f>
        <v>2272500</v>
      </c>
      <c r="J173" s="19"/>
    </row>
    <row r="174" spans="2:10" s="5" customFormat="1" ht="21" customHeight="1" x14ac:dyDescent="0.25">
      <c r="B174" s="7">
        <v>169</v>
      </c>
      <c r="C174" s="52">
        <v>1268014748</v>
      </c>
      <c r="D174" s="12" t="str">
        <f>VLOOKUP(C174,[4]report!$A$2:$R$257,3,FALSE)</f>
        <v>A. HENDRA HERIANTO R.</v>
      </c>
      <c r="E174" s="12" t="str">
        <f>VLOOKUP(C174,[4]report!$A$2:$R$257,2,FALSE)</f>
        <v>8306059F</v>
      </c>
      <c r="F174" s="12">
        <f>VLOOKUP(C174,[4]report!$A$2:$R$257,5,FALSE)</f>
        <v>4120176573</v>
      </c>
      <c r="G174" s="12" t="str">
        <f>VLOOKUP(C174,[4]report!$A$2:$R$257,8,FALSE)</f>
        <v>Kab. Pinrang - Jakarta Selatan</v>
      </c>
      <c r="H174" s="12" t="str">
        <f>VLOOKUP(C174,[4]report!$A$2:$R$257,9,FALSE)</f>
        <v>13/07/2025 - 15/07/2025</v>
      </c>
      <c r="I174" s="13">
        <f>VLOOKUP(C174,[4]report!$A$2:$R$257,18,FALSE)</f>
        <v>3360800</v>
      </c>
      <c r="J174" s="19"/>
    </row>
    <row r="175" spans="2:10" s="5" customFormat="1" ht="21" customHeight="1" x14ac:dyDescent="0.25">
      <c r="B175" s="7">
        <v>170</v>
      </c>
      <c r="C175" s="52">
        <v>1268052539</v>
      </c>
      <c r="D175" s="12" t="str">
        <f>VLOOKUP(C175,[4]report!$A$2:$R$257,3,FALSE)</f>
        <v>AHMAD AMIRUL SYARIF</v>
      </c>
      <c r="E175" s="12" t="str">
        <f>VLOOKUP(C175,[4]report!$A$2:$R$257,2,FALSE)</f>
        <v>8710691Z</v>
      </c>
      <c r="F175" s="12">
        <f>VLOOKUP(C175,[4]report!$A$2:$R$257,5,FALSE)</f>
        <v>4120176536</v>
      </c>
      <c r="G175" s="12" t="str">
        <f>VLOOKUP(C175,[4]report!$A$2:$R$257,8,FALSE)</f>
        <v>Kota Makassar - Kota Bandung</v>
      </c>
      <c r="H175" s="12" t="str">
        <f>VLOOKUP(C175,[4]report!$A$2:$R$257,9,FALSE)</f>
        <v>09/07/2025 - 11/07/2025</v>
      </c>
      <c r="I175" s="13">
        <f>VLOOKUP(C175,[4]report!$A$2:$R$257,18,FALSE)</f>
        <v>1523377</v>
      </c>
      <c r="J175" s="19"/>
    </row>
    <row r="176" spans="2:10" s="5" customFormat="1" ht="21" customHeight="1" x14ac:dyDescent="0.25">
      <c r="B176" s="7">
        <v>171</v>
      </c>
      <c r="C176" s="52">
        <v>1268053519</v>
      </c>
      <c r="D176" s="12" t="str">
        <f>VLOOKUP(C176,[4]report!$A$2:$R$257,3,FALSE)</f>
        <v>RATHY SHINTA UTAMI</v>
      </c>
      <c r="E176" s="12" t="str">
        <f>VLOOKUP(C176,[4]report!$A$2:$R$257,2,FALSE)</f>
        <v>8609336Z</v>
      </c>
      <c r="F176" s="12">
        <f>VLOOKUP(C176,[4]report!$A$2:$R$257,5,FALSE)</f>
        <v>4120176543</v>
      </c>
      <c r="G176" s="12" t="str">
        <f>VLOOKUP(C176,[4]report!$A$2:$R$257,8,FALSE)</f>
        <v>Kota Makassar - Kab. Bandung</v>
      </c>
      <c r="H176" s="12" t="str">
        <f>VLOOKUP(C176,[4]report!$A$2:$R$257,9,FALSE)</f>
        <v>09/07/2025 - 11/07/2025</v>
      </c>
      <c r="I176" s="13">
        <f>VLOOKUP(C176,[4]report!$A$2:$R$257,18,FALSE)</f>
        <v>1523377</v>
      </c>
      <c r="J176" s="19"/>
    </row>
    <row r="177" spans="2:10" s="5" customFormat="1" ht="21" customHeight="1" x14ac:dyDescent="0.25">
      <c r="B177" s="7">
        <v>172</v>
      </c>
      <c r="C177" s="52">
        <v>1268054266</v>
      </c>
      <c r="D177" s="12" t="str">
        <f>VLOOKUP(C177,[4]report!$A$2:$R$257,3,FALSE)</f>
        <v>EKA MAYASARI RACHMAN</v>
      </c>
      <c r="E177" s="12" t="str">
        <f>VLOOKUP(C177,[4]report!$A$2:$R$257,2,FALSE)</f>
        <v>88111108Z</v>
      </c>
      <c r="F177" s="12">
        <f>VLOOKUP(C177,[4]report!$A$2:$R$257,5,FALSE)</f>
        <v>4120176532</v>
      </c>
      <c r="G177" s="12" t="str">
        <f>VLOOKUP(C177,[4]report!$A$2:$R$257,8,FALSE)</f>
        <v>Kota Makassar - Kab. Bandung</v>
      </c>
      <c r="H177" s="12" t="str">
        <f>VLOOKUP(C177,[4]report!$A$2:$R$257,9,FALSE)</f>
        <v>09/07/2025 - 11/07/2025</v>
      </c>
      <c r="I177" s="13">
        <f>VLOOKUP(C177,[4]report!$A$2:$R$257,18,FALSE)</f>
        <v>1655809</v>
      </c>
      <c r="J177" s="19"/>
    </row>
    <row r="178" spans="2:10" s="5" customFormat="1" ht="21" customHeight="1" x14ac:dyDescent="0.25">
      <c r="B178" s="7">
        <v>173</v>
      </c>
      <c r="C178" s="52">
        <v>1268179149</v>
      </c>
      <c r="D178" s="12" t="str">
        <f>VLOOKUP(C178,[4]report!$A$2:$R$257,3,FALSE)</f>
        <v>HUSLAN HUSAIN</v>
      </c>
      <c r="E178" s="12" t="str">
        <f>VLOOKUP(C178,[4]report!$A$2:$R$257,2,FALSE)</f>
        <v>7190010F</v>
      </c>
      <c r="F178" s="12">
        <f>VLOOKUP(C178,[4]report!$A$2:$R$257,5,FALSE)</f>
        <v>4120176582</v>
      </c>
      <c r="G178" s="12" t="str">
        <f>VLOOKUP(C178,[4]report!$A$2:$R$257,8,FALSE)</f>
        <v>Kota Makassar - Kota Parepare</v>
      </c>
      <c r="H178" s="12" t="str">
        <f>VLOOKUP(C178,[4]report!$A$2:$R$257,9,FALSE)</f>
        <v>10/07/2025 - 11/07/2025</v>
      </c>
      <c r="I178" s="13">
        <f>VLOOKUP(C178,[4]report!$A$2:$R$257,18,FALSE)</f>
        <v>650000</v>
      </c>
      <c r="J178" s="19"/>
    </row>
    <row r="179" spans="2:10" ht="21" customHeight="1" x14ac:dyDescent="0.25">
      <c r="B179" s="7">
        <v>174</v>
      </c>
      <c r="C179" s="52">
        <v>1268208888</v>
      </c>
      <c r="D179" s="12" t="str">
        <f>VLOOKUP(C179,[4]report!$A$2:$R$257,3,FALSE)</f>
        <v>A. HENDRA HERIANTO R.</v>
      </c>
      <c r="E179" s="12" t="str">
        <f>VLOOKUP(C179,[4]report!$A$2:$R$257,2,FALSE)</f>
        <v>8306059F</v>
      </c>
      <c r="F179" s="12">
        <f>VLOOKUP(C179,[4]report!$A$2:$R$257,5,FALSE)</f>
        <v>4120176573</v>
      </c>
      <c r="G179" s="12" t="str">
        <f>VLOOKUP(C179,[4]report!$A$2:$R$257,8,FALSE)</f>
        <v>Kab. Pinrang - Jakarta Selatan</v>
      </c>
      <c r="H179" s="12" t="str">
        <f>VLOOKUP(C179,[4]report!$A$2:$R$257,9,FALSE)</f>
        <v>13/07/2025 - 15/07/2025</v>
      </c>
      <c r="I179" s="13">
        <f>VLOOKUP(C179,[4]report!$A$2:$R$257,18,FALSE)</f>
        <v>1975930</v>
      </c>
      <c r="J179" s="19"/>
    </row>
    <row r="180" spans="2:10" ht="21" customHeight="1" x14ac:dyDescent="0.25">
      <c r="B180" s="7">
        <v>175</v>
      </c>
      <c r="C180" s="52">
        <v>1268489089</v>
      </c>
      <c r="D180" s="12" t="str">
        <f>VLOOKUP(C180,[4]report!$A$2:$R$257,3,FALSE)</f>
        <v>SEPTYANTO NUGROHO</v>
      </c>
      <c r="E180" s="12" t="str">
        <f>VLOOKUP(C180,[4]report!$A$2:$R$257,2,FALSE)</f>
        <v>95191270ZY</v>
      </c>
      <c r="F180" s="12">
        <f>VLOOKUP(C180,[4]report!$A$2:$R$257,5,FALSE)</f>
        <v>4120176545</v>
      </c>
      <c r="G180" s="12" t="str">
        <f>VLOOKUP(C180,[4]report!$A$2:$R$257,8,FALSE)</f>
        <v>Kota Makassar - Kota Bogor</v>
      </c>
      <c r="H180" s="12" t="str">
        <f>VLOOKUP(C180,[4]report!$A$2:$R$257,9,FALSE)</f>
        <v>09/07/2025 - 15/07/2025</v>
      </c>
      <c r="I180" s="13">
        <f>VLOOKUP(C180,[4]report!$A$2:$R$257,18,FALSE)</f>
        <v>1515100</v>
      </c>
      <c r="J180" s="19"/>
    </row>
    <row r="181" spans="2:10" ht="21" customHeight="1" x14ac:dyDescent="0.25">
      <c r="B181" s="7">
        <v>176</v>
      </c>
      <c r="C181" s="52">
        <v>1268754574</v>
      </c>
      <c r="D181" s="12" t="str">
        <f>VLOOKUP(C181,[4]report!$A$2:$R$257,3,FALSE)</f>
        <v>HARYADI KASIM</v>
      </c>
      <c r="E181" s="12" t="str">
        <f>VLOOKUP(C181,[4]report!$A$2:$R$257,2,FALSE)</f>
        <v>8408025F</v>
      </c>
      <c r="F181" s="12">
        <f>VLOOKUP(C181,[4]report!$A$2:$R$257,5,FALSE)</f>
        <v>4120176581</v>
      </c>
      <c r="G181" s="12" t="str">
        <f>VLOOKUP(C181,[4]report!$A$2:$R$257,8,FALSE)</f>
        <v>Kota Makassar - Jakarta Selatan - Yogyakarta</v>
      </c>
      <c r="H181" s="12" t="str">
        <f>VLOOKUP(C181,[4]report!$A$2:$R$257,9,FALSE)</f>
        <v>13/07/2025 - 19/07/2025</v>
      </c>
      <c r="I181" s="13">
        <f>VLOOKUP(C181,[4]report!$A$2:$R$257,18,FALSE)</f>
        <v>1149800</v>
      </c>
      <c r="J181" s="20"/>
    </row>
    <row r="182" spans="2:10" ht="21" customHeight="1" x14ac:dyDescent="0.25">
      <c r="B182" s="7">
        <v>177</v>
      </c>
      <c r="C182" s="53">
        <v>1268945881</v>
      </c>
      <c r="D182" s="12" t="str">
        <f>VLOOKUP(C182,[4]report!$A$2:$R$257,3,FALSE)</f>
        <v>ROLANDI TUMPAL FERNANDES MARTUA SIREGAR</v>
      </c>
      <c r="E182" s="12" t="str">
        <f>VLOOKUP(C182,[4]report!$A$2:$R$257,2,FALSE)</f>
        <v>9014706ZY</v>
      </c>
      <c r="F182" s="12">
        <f>VLOOKUP(C182,[4]report!$A$2:$R$257,5,FALSE)</f>
        <v>4120176420</v>
      </c>
      <c r="G182" s="12" t="str">
        <f>VLOOKUP(C182,[4]report!$A$2:$R$257,8,FALSE)</f>
        <v>Kab. Bone - Kota Surabaya</v>
      </c>
      <c r="H182" s="12" t="str">
        <f>VLOOKUP(C182,[4]report!$A$2:$R$257,9,FALSE)</f>
        <v>11/07/2025 - 15/07/2025</v>
      </c>
      <c r="I182" s="13">
        <f>VLOOKUP(C182,[4]report!$A$2:$R$257,18,FALSE)</f>
        <v>1393300</v>
      </c>
      <c r="J182" s="19"/>
    </row>
    <row r="183" spans="2:10" ht="21" customHeight="1" x14ac:dyDescent="0.25">
      <c r="B183" s="7">
        <v>178</v>
      </c>
      <c r="C183" s="52">
        <v>1268753750</v>
      </c>
      <c r="D183" s="12" t="str">
        <f>VLOOKUP(C183,[4]report!$A$2:$R$257,3,FALSE)</f>
        <v>HARYADI KASIM</v>
      </c>
      <c r="E183" s="12" t="str">
        <f>VLOOKUP(C183,[4]report!$A$2:$R$257,2,FALSE)</f>
        <v>8408025F</v>
      </c>
      <c r="F183" s="12">
        <f>VLOOKUP(C183,[4]report!$A$2:$R$257,5,FALSE)</f>
        <v>4120176581</v>
      </c>
      <c r="G183" s="12" t="str">
        <f>VLOOKUP(C183,[4]report!$A$2:$R$257,8,FALSE)</f>
        <v>Kota Makassar - Jakarta Selatan - Yogyakarta</v>
      </c>
      <c r="H183" s="12" t="str">
        <f>VLOOKUP(C183,[4]report!$A$2:$R$257,9,FALSE)</f>
        <v>13/07/2025 - 19/07/2025</v>
      </c>
      <c r="I183" s="13">
        <f>VLOOKUP(C183,[4]report!$A$2:$R$257,18,FALSE)</f>
        <v>2598170</v>
      </c>
      <c r="J183" s="19"/>
    </row>
    <row r="184" spans="2:10" ht="21" customHeight="1" x14ac:dyDescent="0.25">
      <c r="B184" s="7">
        <v>179</v>
      </c>
      <c r="C184" s="53">
        <v>1269073179</v>
      </c>
      <c r="D184" s="12" t="str">
        <f>VLOOKUP(C184,[4]report!$A$2:$R$257,3,FALSE)</f>
        <v>ERIK WICAKSONO</v>
      </c>
      <c r="E184" s="12" t="str">
        <f>VLOOKUP(C184,[4]report!$A$2:$R$257,2,FALSE)</f>
        <v>9008094F</v>
      </c>
      <c r="F184" s="12">
        <f>VLOOKUP(C184,[4]report!$A$2:$R$257,5,FALSE)</f>
        <v>4120176608</v>
      </c>
      <c r="G184" s="12" t="str">
        <f>VLOOKUP(C184,[4]report!$A$2:$R$257,8,FALSE)</f>
        <v>Kota Kendari - Kota Makassar</v>
      </c>
      <c r="H184" s="12" t="str">
        <f>VLOOKUP(C184,[4]report!$A$2:$R$257,9,FALSE)</f>
        <v>16/07/2025 - 18/07/2025</v>
      </c>
      <c r="I184" s="13">
        <f>VLOOKUP(C184,[4]report!$A$2:$R$257,18,FALSE)</f>
        <v>855200</v>
      </c>
      <c r="J184" s="19"/>
    </row>
    <row r="185" spans="2:10" ht="21" customHeight="1" x14ac:dyDescent="0.25">
      <c r="B185" s="7">
        <v>180</v>
      </c>
      <c r="C185" s="52">
        <v>1268986259</v>
      </c>
      <c r="D185" s="12" t="str">
        <f>VLOOKUP(C185,[4]report!$A$2:$R$257,3,FALSE)</f>
        <v>MUHAMMAD ISMAIL</v>
      </c>
      <c r="E185" s="12" t="str">
        <f>VLOOKUP(C185,[4]report!$A$2:$R$257,2,FALSE)</f>
        <v>7802014F</v>
      </c>
      <c r="F185" s="12">
        <f>VLOOKUP(C185,[4]report!$A$2:$R$257,5,FALSE)</f>
        <v>4120176547</v>
      </c>
      <c r="G185" s="12" t="str">
        <f>VLOOKUP(C185,[4]report!$A$2:$R$257,8,FALSE)</f>
        <v>Kota Makassar - Kota Bogor</v>
      </c>
      <c r="H185" s="12" t="str">
        <f>VLOOKUP(C185,[4]report!$A$2:$R$257,9,FALSE)</f>
        <v>09/07/2025 - 15/07/2025</v>
      </c>
      <c r="I185" s="13">
        <f>VLOOKUP(C185,[4]report!$A$2:$R$257,18,FALSE)</f>
        <v>1058000</v>
      </c>
      <c r="J185" s="19"/>
    </row>
    <row r="186" spans="2:10" ht="21" customHeight="1" x14ac:dyDescent="0.25">
      <c r="B186" s="7">
        <v>181</v>
      </c>
      <c r="C186" s="52">
        <v>1268993843</v>
      </c>
      <c r="D186" s="12" t="str">
        <f>VLOOKUP(C186,[4]report!$A$2:$R$257,3,FALSE)</f>
        <v>SEPTYANTO NUGROHO</v>
      </c>
      <c r="E186" s="12" t="str">
        <f>VLOOKUP(C186,[4]report!$A$2:$R$257,2,FALSE)</f>
        <v>95191270ZY</v>
      </c>
      <c r="F186" s="12">
        <f>VLOOKUP(C186,[4]report!$A$2:$R$257,5,FALSE)</f>
        <v>4120176545</v>
      </c>
      <c r="G186" s="12" t="str">
        <f>VLOOKUP(C186,[4]report!$A$2:$R$257,8,FALSE)</f>
        <v>Kota Makassar - Kota Bogor</v>
      </c>
      <c r="H186" s="12" t="str">
        <f>VLOOKUP(C186,[4]report!$A$2:$R$257,9,FALSE)</f>
        <v>09/07/2025 - 15/07/2025</v>
      </c>
      <c r="I186" s="13">
        <f>VLOOKUP(C186,[4]report!$A$2:$R$257,18,FALSE)</f>
        <v>1281130</v>
      </c>
      <c r="J186" s="19"/>
    </row>
    <row r="187" spans="2:10" ht="21" customHeight="1" x14ac:dyDescent="0.25">
      <c r="B187" s="7">
        <v>182</v>
      </c>
      <c r="C187" s="52">
        <v>1269181927</v>
      </c>
      <c r="D187" s="12" t="str">
        <f>VLOOKUP(C187,[4]report!$A$2:$R$257,3,FALSE)</f>
        <v>ERIK WICAKSONO</v>
      </c>
      <c r="E187" s="12" t="str">
        <f>VLOOKUP(C187,[4]report!$A$2:$R$257,2,FALSE)</f>
        <v>9008094F</v>
      </c>
      <c r="F187" s="12">
        <f>VLOOKUP(C187,[4]report!$A$2:$R$257,5,FALSE)</f>
        <v>4120176608</v>
      </c>
      <c r="G187" s="12" t="str">
        <f>VLOOKUP(C187,[4]report!$A$2:$R$257,8,FALSE)</f>
        <v>Kota Kendari - Kota Makassar</v>
      </c>
      <c r="H187" s="12" t="str">
        <f>VLOOKUP(C187,[4]report!$A$2:$R$257,9,FALSE)</f>
        <v>16/07/2025 - 18/07/2025</v>
      </c>
      <c r="I187" s="13">
        <f>VLOOKUP(C187,[4]report!$A$2:$R$257,18,FALSE)</f>
        <v>770000</v>
      </c>
      <c r="J187" s="19"/>
    </row>
    <row r="188" spans="2:10" ht="21" customHeight="1" x14ac:dyDescent="0.25">
      <c r="B188" s="7">
        <v>183</v>
      </c>
      <c r="C188" s="52">
        <v>1269209110</v>
      </c>
      <c r="D188" s="12" t="str">
        <f>VLOOKUP(C188,[4]report!$A$2:$R$257,3,FALSE)</f>
        <v>BAKHARUDDIN YUSUF</v>
      </c>
      <c r="E188" s="12" t="str">
        <f>VLOOKUP(C188,[4]report!$A$2:$R$257,2,FALSE)</f>
        <v>94162178ZY</v>
      </c>
      <c r="F188" s="12">
        <f>VLOOKUP(C188,[4]report!$A$2:$R$257,5,FALSE)</f>
        <v>4120176571</v>
      </c>
      <c r="G188" s="12" t="str">
        <f>VLOOKUP(C188,[4]report!$A$2:$R$257,8,FALSE)</f>
        <v>Kota Baubau - Kota Makassar</v>
      </c>
      <c r="H188" s="12" t="str">
        <f>VLOOKUP(C188,[4]report!$A$2:$R$257,9,FALSE)</f>
        <v>16/07/2025 - 18/07/2025</v>
      </c>
      <c r="I188" s="13">
        <f>VLOOKUP(C188,[4]report!$A$2:$R$257,18,FALSE)</f>
        <v>705300</v>
      </c>
      <c r="J188" s="19"/>
    </row>
    <row r="189" spans="2:10" ht="21" customHeight="1" x14ac:dyDescent="0.25">
      <c r="B189" s="7">
        <v>184</v>
      </c>
      <c r="C189" s="52">
        <v>1269238746</v>
      </c>
      <c r="D189" s="12" t="str">
        <f>VLOOKUP(C189,[4]report!$A$2:$R$257,3,FALSE)</f>
        <v>ZUL AFDY</v>
      </c>
      <c r="E189" s="12" t="str">
        <f>VLOOKUP(C189,[4]report!$A$2:$R$257,2,FALSE)</f>
        <v>95162243ZY</v>
      </c>
      <c r="F189" s="12">
        <f>VLOOKUP(C189,[4]report!$A$2:$R$257,5,FALSE)</f>
        <v>4120176560</v>
      </c>
      <c r="G189" s="12" t="str">
        <f>VLOOKUP(C189,[4]report!$A$2:$R$257,8,FALSE)</f>
        <v>Kota Makassar - Kota Kendari</v>
      </c>
      <c r="H189" s="12" t="str">
        <f>VLOOKUP(C189,[4]report!$A$2:$R$257,9,FALSE)</f>
        <v>14/07/2025 - 17/07/2025</v>
      </c>
      <c r="I189" s="13">
        <f>VLOOKUP(C189,[4]report!$A$2:$R$257,18,FALSE)</f>
        <v>729000</v>
      </c>
      <c r="J189" s="19"/>
    </row>
    <row r="190" spans="2:10" ht="21" customHeight="1" x14ac:dyDescent="0.25">
      <c r="B190" s="7">
        <v>185</v>
      </c>
      <c r="C190" s="52">
        <v>1269239263</v>
      </c>
      <c r="D190" s="12" t="str">
        <f>VLOOKUP(C190,[4]report!$A$2:$R$257,3,FALSE)</f>
        <v>CHANDRA HALIM AMIR</v>
      </c>
      <c r="E190" s="12" t="str">
        <f>VLOOKUP(C190,[4]report!$A$2:$R$257,2,FALSE)</f>
        <v>9212053FY</v>
      </c>
      <c r="F190" s="12">
        <f>VLOOKUP(C190,[4]report!$A$2:$R$257,5,FALSE)</f>
        <v>4120176559</v>
      </c>
      <c r="G190" s="12" t="str">
        <f>VLOOKUP(C190,[4]report!$A$2:$R$257,8,FALSE)</f>
        <v>Kota Makassar - Kota Kendari</v>
      </c>
      <c r="H190" s="12" t="str">
        <f>VLOOKUP(C190,[4]report!$A$2:$R$257,9,FALSE)</f>
        <v>14/07/2025 - 17/07/2025</v>
      </c>
      <c r="I190" s="13">
        <f>VLOOKUP(C190,[4]report!$A$2:$R$257,18,FALSE)</f>
        <v>729000</v>
      </c>
      <c r="J190" s="19"/>
    </row>
    <row r="191" spans="2:10" ht="21" customHeight="1" x14ac:dyDescent="0.25">
      <c r="B191" s="7">
        <v>186</v>
      </c>
      <c r="C191" s="52">
        <v>1269220374</v>
      </c>
      <c r="D191" s="12" t="str">
        <f>VLOOKUP(C191,[4]report!$A$2:$R$257,3,FALSE)</f>
        <v xml:space="preserve">BAHARUDDIN </v>
      </c>
      <c r="E191" s="12" t="str">
        <f>VLOOKUP(C191,[4]report!$A$2:$R$257,2,FALSE)</f>
        <v>8308022F</v>
      </c>
      <c r="F191" s="12">
        <f>VLOOKUP(C191,[4]report!$A$2:$R$257,5,FALSE)</f>
        <v>4120176622</v>
      </c>
      <c r="G191" s="12" t="str">
        <f>VLOOKUP(C191,[4]report!$A$2:$R$257,8,FALSE)</f>
        <v>Kota Parepare - Kota Makassar</v>
      </c>
      <c r="H191" s="12" t="str">
        <f>VLOOKUP(C191,[4]report!$A$2:$R$257,9,FALSE)</f>
        <v>17/07/2025 - 18/07/2025</v>
      </c>
      <c r="I191" s="13">
        <f>VLOOKUP(C191,[4]report!$A$2:$R$257,18,FALSE)</f>
        <v>760000</v>
      </c>
      <c r="J191" s="19"/>
    </row>
    <row r="192" spans="2:10" ht="21" customHeight="1" x14ac:dyDescent="0.25">
      <c r="B192" s="7">
        <v>187</v>
      </c>
      <c r="C192" s="52">
        <v>1269238690</v>
      </c>
      <c r="D192" s="12" t="str">
        <f>VLOOKUP(C192,[4]report!$A$2:$R$257,3,FALSE)</f>
        <v>FAISHAL ADLI SANTOSO</v>
      </c>
      <c r="E192" s="12" t="str">
        <f>VLOOKUP(C192,[4]report!$A$2:$R$257,2,FALSE)</f>
        <v>93191874ZY</v>
      </c>
      <c r="F192" s="12">
        <f>VLOOKUP(C192,[4]report!$A$2:$R$257,5,FALSE)</f>
        <v>4120176596</v>
      </c>
      <c r="G192" s="12" t="str">
        <f>VLOOKUP(C192,[4]report!$A$2:$R$257,8,FALSE)</f>
        <v>Kab. Pinrang - Kota Makassar</v>
      </c>
      <c r="H192" s="12" t="str">
        <f>VLOOKUP(C192,[4]report!$A$2:$R$257,9,FALSE)</f>
        <v>17/07/2025 - 18/07/2025</v>
      </c>
      <c r="I192" s="13">
        <f>VLOOKUP(C192,[4]report!$A$2:$R$257,18,FALSE)</f>
        <v>794216</v>
      </c>
      <c r="J192" s="19"/>
    </row>
    <row r="193" spans="2:10" ht="21" customHeight="1" x14ac:dyDescent="0.25">
      <c r="B193" s="7">
        <v>188</v>
      </c>
      <c r="C193" s="52">
        <v>1269330594</v>
      </c>
      <c r="D193" s="12" t="str">
        <f>VLOOKUP(C193,[4]report!$A$2:$R$257,3,FALSE)</f>
        <v>ANDI FAUZAN ALIM</v>
      </c>
      <c r="E193" s="12" t="str">
        <f>VLOOKUP(C193,[4]report!$A$2:$R$257,2,FALSE)</f>
        <v>9823328ZY</v>
      </c>
      <c r="F193" s="12">
        <f>VLOOKUP(C193,[4]report!$A$2:$R$257,5,FALSE)</f>
        <v>4120176618</v>
      </c>
      <c r="G193" s="12" t="str">
        <f>VLOOKUP(C193,[4]report!$A$2:$R$257,8,FALSE)</f>
        <v>Kab. Bulukumba - Kab. Kepulauan Selayar</v>
      </c>
      <c r="H193" s="12" t="str">
        <f>VLOOKUP(C193,[4]report!$A$2:$R$257,9,FALSE)</f>
        <v>15/07/2025 - 16/07/2025</v>
      </c>
      <c r="I193" s="13">
        <f>VLOOKUP(C193,[4]report!$A$2:$R$257,18,FALSE)</f>
        <v>800000</v>
      </c>
      <c r="J193" s="19"/>
    </row>
    <row r="194" spans="2:10" ht="21" customHeight="1" x14ac:dyDescent="0.25">
      <c r="B194" s="7">
        <v>189</v>
      </c>
      <c r="C194" s="52">
        <v>1269330514</v>
      </c>
      <c r="D194" s="12" t="str">
        <f>VLOOKUP(C194,[4]report!$A$2:$R$257,3,FALSE)</f>
        <v>ANDI MUH ASYIK</v>
      </c>
      <c r="E194" s="12" t="str">
        <f>VLOOKUP(C194,[4]report!$A$2:$R$257,2,FALSE)</f>
        <v>9115474ZY</v>
      </c>
      <c r="F194" s="12">
        <f>VLOOKUP(C194,[4]report!$A$2:$R$257,5,FALSE)</f>
        <v>4120176619</v>
      </c>
      <c r="G194" s="12" t="str">
        <f>VLOOKUP(C194,[4]report!$A$2:$R$257,8,FALSE)</f>
        <v>Kab. Bulukumba - Kab. Kepulauan Selayar</v>
      </c>
      <c r="H194" s="12" t="str">
        <f>VLOOKUP(C194,[4]report!$A$2:$R$257,9,FALSE)</f>
        <v>15/07/2025 - 16/07/2025</v>
      </c>
      <c r="I194" s="13">
        <f>VLOOKUP(C194,[4]report!$A$2:$R$257,18,FALSE)</f>
        <v>800000</v>
      </c>
      <c r="J194" s="19"/>
    </row>
    <row r="195" spans="2:10" ht="21" customHeight="1" x14ac:dyDescent="0.25">
      <c r="B195" s="7">
        <v>190</v>
      </c>
      <c r="C195" s="52">
        <v>1269302431</v>
      </c>
      <c r="D195" s="12" t="str">
        <f>VLOOKUP(C195,[4]report!$A$2:$R$257,3,FALSE)</f>
        <v>JONI ALEXANDER HEYT SITORUS</v>
      </c>
      <c r="E195" s="12" t="str">
        <f>VLOOKUP(C195,[4]report!$A$2:$R$257,2,FALSE)</f>
        <v>8307221Z</v>
      </c>
      <c r="F195" s="12">
        <f>VLOOKUP(C195,[4]report!$A$2:$R$257,5,FALSE)</f>
        <v>4120176610</v>
      </c>
      <c r="G195" s="12" t="str">
        <f>VLOOKUP(C195,[4]report!$A$2:$R$257,8,FALSE)</f>
        <v>KotaKendari-Kab.MunaBarat</v>
      </c>
      <c r="H195" s="12" t="str">
        <f>VLOOKUP(C195,[4]report!$A$2:$R$257,9,FALSE)</f>
        <v>14/07/2025 - 17/07/2025</v>
      </c>
      <c r="I195" s="13">
        <f>VLOOKUP(C195,[4]report!$A$2:$R$257,18,FALSE)</f>
        <v>810000</v>
      </c>
      <c r="J195" s="19"/>
    </row>
    <row r="196" spans="2:10" ht="21" customHeight="1" x14ac:dyDescent="0.25">
      <c r="B196" s="7">
        <v>191</v>
      </c>
      <c r="C196" s="52">
        <v>1269323164</v>
      </c>
      <c r="D196" s="12" t="str">
        <f>VLOOKUP(C196,[4]report!$A$2:$R$257,3,FALSE)</f>
        <v xml:space="preserve">MARJUANZA </v>
      </c>
      <c r="E196" s="12" t="str">
        <f>VLOOKUP(C196,[4]report!$A$2:$R$257,2,FALSE)</f>
        <v>9618016FBY</v>
      </c>
      <c r="F196" s="12">
        <f>VLOOKUP(C196,[4]report!$A$2:$R$257,5,FALSE)</f>
        <v>4120176601</v>
      </c>
      <c r="G196" s="12" t="str">
        <f>VLOOKUP(C196,[4]report!$A$2:$R$257,8,FALSE)</f>
        <v>Kota Parepare - Kota Makassar</v>
      </c>
      <c r="H196" s="12" t="str">
        <f>VLOOKUP(C196,[4]report!$A$2:$R$257,9,FALSE)</f>
        <v>14/07/2025 - 16/07/2025</v>
      </c>
      <c r="I196" s="13">
        <f>VLOOKUP(C196,[4]report!$A$2:$R$257,18,FALSE)</f>
        <v>1252991</v>
      </c>
      <c r="J196" s="19"/>
    </row>
    <row r="197" spans="2:10" ht="21" customHeight="1" x14ac:dyDescent="0.25">
      <c r="B197" s="7">
        <v>192</v>
      </c>
      <c r="C197" s="52">
        <v>1269330106</v>
      </c>
      <c r="D197" s="12" t="str">
        <f>VLOOKUP(C197,[4]report!$A$2:$R$257,3,FALSE)</f>
        <v>IQRAL LATIF</v>
      </c>
      <c r="E197" s="12" t="str">
        <f>VLOOKUP(C197,[4]report!$A$2:$R$257,2,FALSE)</f>
        <v>8308020F</v>
      </c>
      <c r="F197" s="12">
        <f>VLOOKUP(C197,[4]report!$A$2:$R$257,5,FALSE)</f>
        <v>4120176588</v>
      </c>
      <c r="G197" s="12" t="str">
        <f>VLOOKUP(C197,[4]report!$A$2:$R$257,8,FALSE)</f>
        <v>Kota Parepare - Kota Makassar</v>
      </c>
      <c r="H197" s="12" t="str">
        <f>VLOOKUP(C197,[4]report!$A$2:$R$257,9,FALSE)</f>
        <v>14/07/2025 - 16/07/2025</v>
      </c>
      <c r="I197" s="13">
        <f>VLOOKUP(C197,[4]report!$A$2:$R$257,18,FALSE)</f>
        <v>1252991</v>
      </c>
      <c r="J197" s="19"/>
    </row>
    <row r="198" spans="2:10" ht="21" customHeight="1" x14ac:dyDescent="0.25">
      <c r="B198" s="7">
        <v>193</v>
      </c>
      <c r="C198" s="52">
        <v>1269318140</v>
      </c>
      <c r="D198" s="12" t="str">
        <f>VLOOKUP(C198,[4]report!$A$2:$R$257,3,FALSE)</f>
        <v>BAKHARUDDIN YUSUF</v>
      </c>
      <c r="E198" s="12" t="str">
        <f>VLOOKUP(C198,[4]report!$A$2:$R$257,2,FALSE)</f>
        <v>94162178ZY</v>
      </c>
      <c r="F198" s="12">
        <f>VLOOKUP(C198,[4]report!$A$2:$R$257,5,FALSE)</f>
        <v>4120176571</v>
      </c>
      <c r="G198" s="12" t="str">
        <f>VLOOKUP(C198,[4]report!$A$2:$R$257,8,FALSE)</f>
        <v>KotaBaubau-KotaMakassar</v>
      </c>
      <c r="H198" s="12" t="str">
        <f>VLOOKUP(C198,[4]report!$A$2:$R$257,9,FALSE)</f>
        <v>16/07/2025 - 18/07/2025</v>
      </c>
      <c r="I198" s="13">
        <f>VLOOKUP(C198,[4]report!$A$2:$R$257,18,FALSE)</f>
        <v>1739686</v>
      </c>
      <c r="J198" s="19"/>
    </row>
    <row r="199" spans="2:10" ht="21" customHeight="1" x14ac:dyDescent="0.25">
      <c r="B199" s="7">
        <v>194</v>
      </c>
      <c r="C199" s="52">
        <v>1269332436</v>
      </c>
      <c r="D199" s="12" t="str">
        <f>VLOOKUP(C199,[4]report!$A$2:$R$257,3,FALSE)</f>
        <v>RISA WAHYU GUNTORO</v>
      </c>
      <c r="E199" s="12" t="str">
        <f>VLOOKUP(C199,[4]report!$A$2:$R$257,2,FALSE)</f>
        <v>93161901ZY</v>
      </c>
      <c r="F199" s="12">
        <f>VLOOKUP(C199,[4]report!$A$2:$R$257,5,FALSE)</f>
        <v>4120176645</v>
      </c>
      <c r="G199" s="12" t="str">
        <f>VLOOKUP(C199,[4]report!$A$2:$R$257,8,FALSE)</f>
        <v>Kab. Bulukumba - Kab. Kepulauan Selayar</v>
      </c>
      <c r="H199" s="12" t="str">
        <f>VLOOKUP(C199,[4]report!$A$2:$R$257,9,FALSE)</f>
        <v>15/07/2025 - 16/07/2025</v>
      </c>
      <c r="I199" s="13">
        <f>VLOOKUP(C199,[4]report!$A$2:$R$257,18,FALSE)</f>
        <v>800000</v>
      </c>
      <c r="J199" s="19"/>
    </row>
    <row r="200" spans="2:10" ht="21" customHeight="1" x14ac:dyDescent="0.25">
      <c r="B200" s="7">
        <v>195</v>
      </c>
      <c r="C200" s="52">
        <v>1269332809</v>
      </c>
      <c r="D200" s="12" t="str">
        <f>VLOOKUP(C200,[4]report!$A$2:$R$257,3,FALSE)</f>
        <v>ANDY PRADIPTA</v>
      </c>
      <c r="E200" s="12" t="str">
        <f>VLOOKUP(C200,[4]report!$A$2:$R$257,2,FALSE)</f>
        <v>92151532ZY</v>
      </c>
      <c r="F200" s="12">
        <f>VLOOKUP(C200,[4]report!$A$2:$R$257,5,FALSE)</f>
        <v>4120176641</v>
      </c>
      <c r="G200" s="12" t="str">
        <f>VLOOKUP(C200,[4]report!$A$2:$R$257,8,FALSE)</f>
        <v>Kota Makassar - Kota Semarang</v>
      </c>
      <c r="H200" s="12" t="str">
        <f>VLOOKUP(C200,[4]report!$A$2:$R$257,9,FALSE)</f>
        <v>15/07/2025 - 19/07/2025</v>
      </c>
      <c r="I200" s="13">
        <f>VLOOKUP(C200,[4]report!$A$2:$R$257,18,FALSE)</f>
        <v>1324300</v>
      </c>
      <c r="J200" s="15"/>
    </row>
    <row r="201" spans="2:10" ht="21" customHeight="1" x14ac:dyDescent="0.25">
      <c r="B201" s="7">
        <v>196</v>
      </c>
      <c r="C201" s="52">
        <v>1269350198</v>
      </c>
      <c r="D201" s="12" t="str">
        <f>VLOOKUP(C201,[4]report!$A$2:$R$257,3,FALSE)</f>
        <v>RAHMAT BUDIYANA</v>
      </c>
      <c r="E201" s="12" t="str">
        <f>VLOOKUP(C201,[4]report!$A$2:$R$257,2,FALSE)</f>
        <v>8510284Z</v>
      </c>
      <c r="F201" s="12">
        <f>VLOOKUP(C201,[4]report!$A$2:$R$257,5,FALSE)</f>
        <v>4120176648</v>
      </c>
      <c r="G201" s="12" t="str">
        <f>VLOOKUP(C201,[4]report!$A$2:$R$257,8,FALSE)</f>
        <v>Kota Makassar - Kota Semarang</v>
      </c>
      <c r="H201" s="12" t="str">
        <f>VLOOKUP(C201,[4]report!$A$2:$R$257,9,FALSE)</f>
        <v>15/07/2025 - 19/07/2025</v>
      </c>
      <c r="I201" s="13">
        <f>VLOOKUP(C201,[4]report!$A$2:$R$257,18,FALSE)</f>
        <v>1324300</v>
      </c>
      <c r="J201" s="19"/>
    </row>
    <row r="202" spans="2:10" ht="21" customHeight="1" x14ac:dyDescent="0.25">
      <c r="B202" s="7">
        <v>197</v>
      </c>
      <c r="C202" s="52">
        <v>1269363510</v>
      </c>
      <c r="D202" s="12" t="str">
        <f>VLOOKUP(C202,[4]report!$A$2:$R$257,3,FALSE)</f>
        <v>KIKI RESKI ANDRIANI</v>
      </c>
      <c r="E202" s="12" t="str">
        <f>VLOOKUP(C202,[4]report!$A$2:$R$257,2,FALSE)</f>
        <v>93151397ZY</v>
      </c>
      <c r="F202" s="12">
        <f>VLOOKUP(C202,[4]report!$A$2:$R$257,5,FALSE)</f>
        <v>4120176640</v>
      </c>
      <c r="G202" s="12" t="str">
        <f>VLOOKUP(C202,[4]report!$A$2:$R$257,8,FALSE)</f>
        <v>Kota Makassar - Kota Semarang</v>
      </c>
      <c r="H202" s="12" t="str">
        <f>VLOOKUP(C202,[4]report!$A$2:$R$257,9,FALSE)</f>
        <v>15/07/2025 - 19/07/2025</v>
      </c>
      <c r="I202" s="13">
        <f>VLOOKUP(C202,[4]report!$A$2:$R$257,18,FALSE)</f>
        <v>1384100</v>
      </c>
      <c r="J202" s="19"/>
    </row>
    <row r="203" spans="2:10" ht="21" customHeight="1" x14ac:dyDescent="0.25">
      <c r="B203" s="7">
        <v>198</v>
      </c>
      <c r="C203" s="52">
        <v>1269382195</v>
      </c>
      <c r="D203" s="12" t="str">
        <f>VLOOKUP(C203,[4]report!$A$2:$R$257,3,FALSE)</f>
        <v xml:space="preserve">IBRAHIM </v>
      </c>
      <c r="E203" s="12" t="str">
        <f>VLOOKUP(C203,[4]report!$A$2:$R$257,2,FALSE)</f>
        <v>9617046FBY</v>
      </c>
      <c r="F203" s="12">
        <f>VLOOKUP(C203,[4]report!$A$2:$R$257,5,FALSE)</f>
        <v>4120176357</v>
      </c>
      <c r="G203" s="12" t="str">
        <f>VLOOKUP(C203,[4]report!$A$2:$R$257,8,FALSE)</f>
        <v>Kota Palopo - Kota Semarang</v>
      </c>
      <c r="H203" s="12" t="str">
        <f>VLOOKUP(C203,[4]report!$A$2:$R$257,9,FALSE)</f>
        <v>06/07/2025 - 28/08/2025</v>
      </c>
      <c r="I203" s="13">
        <f>VLOOKUP(C203,[4]report!$A$2:$R$257,18,FALSE)</f>
        <v>1387300</v>
      </c>
      <c r="J203" s="19"/>
    </row>
    <row r="204" spans="2:10" ht="21" customHeight="1" x14ac:dyDescent="0.25">
      <c r="B204" s="7">
        <v>199</v>
      </c>
      <c r="C204" s="52">
        <v>1269394599</v>
      </c>
      <c r="D204" s="12" t="str">
        <f>VLOOKUP(C204,[4]report!$A$2:$R$257,3,FALSE)</f>
        <v>ARIE PRATAMA</v>
      </c>
      <c r="E204" s="12" t="str">
        <f>VLOOKUP(C204,[4]report!$A$2:$R$257,2,FALSE)</f>
        <v>8709018F</v>
      </c>
      <c r="F204" s="12">
        <f>VLOOKUP(C204,[4]report!$A$2:$R$257,5,FALSE)</f>
        <v>4120176642</v>
      </c>
      <c r="G204" s="12" t="str">
        <f>VLOOKUP(C204,[4]report!$A$2:$R$257,8,FALSE)</f>
        <v>Kota Makassar - Kota Semarang</v>
      </c>
      <c r="H204" s="12" t="str">
        <f>VLOOKUP(C204,[4]report!$A$2:$R$257,9,FALSE)</f>
        <v>15/07/2025 - 19/07/2025</v>
      </c>
      <c r="I204" s="13">
        <f>VLOOKUP(C204,[4]report!$A$2:$R$257,18,FALSE)</f>
        <v>1444000</v>
      </c>
      <c r="J204" s="19"/>
    </row>
    <row r="205" spans="2:10" ht="21" customHeight="1" x14ac:dyDescent="0.25">
      <c r="B205" s="7">
        <v>200</v>
      </c>
      <c r="C205" s="52">
        <v>1269370997</v>
      </c>
      <c r="D205" s="12" t="str">
        <f>VLOOKUP(C205,[4]report!$A$2:$R$257,3,FALSE)</f>
        <v>KIKI RESKI ANDRIANI</v>
      </c>
      <c r="E205" s="12" t="str">
        <f>VLOOKUP(C205,[4]report!$A$2:$R$257,2,FALSE)</f>
        <v>93151397ZY</v>
      </c>
      <c r="F205" s="12">
        <f>VLOOKUP(C205,[4]report!$A$2:$R$257,5,FALSE)</f>
        <v>4120176640</v>
      </c>
      <c r="G205" s="12" t="str">
        <f>VLOOKUP(C205,[4]report!$A$2:$R$257,8,FALSE)</f>
        <v>Kota Makassar - Kota Semarang</v>
      </c>
      <c r="H205" s="12" t="str">
        <f>VLOOKUP(C205,[4]report!$A$2:$R$257,9,FALSE)</f>
        <v>15/07/2025 - 19/07/2025</v>
      </c>
      <c r="I205" s="13">
        <f>VLOOKUP(C205,[4]report!$A$2:$R$257,18,FALSE)</f>
        <v>1607528</v>
      </c>
      <c r="J205" s="19"/>
    </row>
    <row r="206" spans="2:10" ht="21" customHeight="1" x14ac:dyDescent="0.25">
      <c r="B206" s="7">
        <v>201</v>
      </c>
      <c r="C206" s="52">
        <v>1269369838</v>
      </c>
      <c r="D206" s="12" t="str">
        <f>VLOOKUP(C206,[4]report!$A$2:$R$257,3,FALSE)</f>
        <v>ANDI BASO MAKKARAKA</v>
      </c>
      <c r="E206" s="12" t="str">
        <f>VLOOKUP(C206,[4]report!$A$2:$R$257,2,FALSE)</f>
        <v>8106329Z</v>
      </c>
      <c r="F206" s="12">
        <f>VLOOKUP(C206,[4]report!$A$2:$R$257,5,FALSE)</f>
        <v>4120176649</v>
      </c>
      <c r="G206" s="12" t="str">
        <f>VLOOKUP(C206,[4]report!$A$2:$R$257,8,FALSE)</f>
        <v>Kota Makassar - Kab. Bone</v>
      </c>
      <c r="H206" s="12" t="str">
        <f>VLOOKUP(C206,[4]report!$A$2:$R$257,9,FALSE)</f>
        <v>15/07/2025 - 18/07/2025</v>
      </c>
      <c r="I206" s="13">
        <f>VLOOKUP(C206,[4]report!$A$2:$R$257,18,FALSE)</f>
        <v>2349540</v>
      </c>
      <c r="J206" s="19"/>
    </row>
    <row r="207" spans="2:10" ht="21" customHeight="1" x14ac:dyDescent="0.25">
      <c r="B207" s="7">
        <v>202</v>
      </c>
      <c r="C207" s="52">
        <v>1269369314</v>
      </c>
      <c r="D207" s="12" t="str">
        <f>VLOOKUP(C207,[4]report!$A$2:$R$257,3,FALSE)</f>
        <v>ANDY PRADIPTA</v>
      </c>
      <c r="E207" s="12" t="str">
        <f>VLOOKUP(C207,[4]report!$A$2:$R$257,2,FALSE)</f>
        <v>92151532ZY</v>
      </c>
      <c r="F207" s="12">
        <f>VLOOKUP(C207,[4]report!$A$2:$R$257,5,FALSE)</f>
        <v>4120176641</v>
      </c>
      <c r="G207" s="12" t="str">
        <f>VLOOKUP(C207,[4]report!$A$2:$R$257,8,FALSE)</f>
        <v>Kota Makassar - Kota Semarang</v>
      </c>
      <c r="H207" s="12" t="str">
        <f>VLOOKUP(C207,[4]report!$A$2:$R$257,9,FALSE)</f>
        <v>15/07/2025 - 19/07/2025</v>
      </c>
      <c r="I207" s="13">
        <f>VLOOKUP(C207,[4]report!$A$2:$R$257,18,FALSE)</f>
        <v>2411292</v>
      </c>
      <c r="J207" s="19"/>
    </row>
    <row r="208" spans="2:10" ht="21" customHeight="1" x14ac:dyDescent="0.25">
      <c r="B208" s="7">
        <v>203</v>
      </c>
      <c r="C208" s="52">
        <v>1269378101</v>
      </c>
      <c r="D208" s="12" t="str">
        <f>VLOOKUP(C208,[4]report!$A$2:$R$257,3,FALSE)</f>
        <v>RAHMAT BUDIYANA</v>
      </c>
      <c r="E208" s="12" t="str">
        <f>VLOOKUP(C208,[4]report!$A$2:$R$257,2,FALSE)</f>
        <v>8510284Z</v>
      </c>
      <c r="F208" s="12">
        <f>VLOOKUP(C208,[4]report!$A$2:$R$257,5,FALSE)</f>
        <v>4120176648</v>
      </c>
      <c r="G208" s="12" t="str">
        <f>VLOOKUP(C208,[4]report!$A$2:$R$257,8,FALSE)</f>
        <v>Kota Makassar - Kota Semarang</v>
      </c>
      <c r="H208" s="12" t="str">
        <f>VLOOKUP(C208,[4]report!$A$2:$R$257,9,FALSE)</f>
        <v>15/07/2025 - 19/07/2025</v>
      </c>
      <c r="I208" s="13">
        <f>VLOOKUP(C208,[4]report!$A$2:$R$257,18,FALSE)</f>
        <v>2411292</v>
      </c>
      <c r="J208" s="19"/>
    </row>
    <row r="209" spans="2:10" ht="21" customHeight="1" x14ac:dyDescent="0.25">
      <c r="B209" s="7">
        <v>204</v>
      </c>
      <c r="C209" s="52">
        <v>1269369982</v>
      </c>
      <c r="D209" s="12" t="str">
        <f>VLOOKUP(C209,[4]report!$A$2:$R$257,3,FALSE)</f>
        <v>ARIE PRATAMA</v>
      </c>
      <c r="E209" s="12" t="str">
        <f>VLOOKUP(C209,[4]report!$A$2:$R$257,2,FALSE)</f>
        <v>8709018F</v>
      </c>
      <c r="F209" s="12">
        <f>VLOOKUP(C209,[4]report!$A$2:$R$257,5,FALSE)</f>
        <v>4120176642</v>
      </c>
      <c r="G209" s="12" t="str">
        <f>VLOOKUP(C209,[4]report!$A$2:$R$257,8,FALSE)</f>
        <v>Kota Makassar - Kota Semarang</v>
      </c>
      <c r="H209" s="12" t="str">
        <f>VLOOKUP(C209,[4]report!$A$2:$R$257,9,FALSE)</f>
        <v>15/07/2025 - 19/07/2025</v>
      </c>
      <c r="I209" s="13">
        <f>VLOOKUP(C209,[4]report!$A$2:$R$257,18,FALSE)</f>
        <v>3612496</v>
      </c>
      <c r="J209" s="20"/>
    </row>
    <row r="210" spans="2:10" ht="21" customHeight="1" x14ac:dyDescent="0.25">
      <c r="B210" s="7">
        <v>205</v>
      </c>
      <c r="C210" s="52">
        <v>1269490036</v>
      </c>
      <c r="D210" s="12" t="str">
        <f>VLOOKUP(C210,[4]report!$A$2:$R$257,3,FALSE)</f>
        <v>VINKY SRIWAHYUNI MARITO MARPAUNG</v>
      </c>
      <c r="E210" s="12" t="str">
        <f>VLOOKUP(C210,[4]report!$A$2:$R$257,2,FALSE)</f>
        <v>9923467ZY</v>
      </c>
      <c r="F210" s="12">
        <f>VLOOKUP(C210,[4]report!$A$2:$R$257,5,FALSE)</f>
        <v>4120176664</v>
      </c>
      <c r="G210" s="12" t="str">
        <f>VLOOKUP(C210,[4]report!$A$2:$R$257,8,FALSE)</f>
        <v>Kab. Muna - Kota Makassar</v>
      </c>
      <c r="H210" s="12" t="str">
        <f>VLOOKUP(C210,[4]report!$A$2:$R$257,9,FALSE)</f>
        <v>16/07/2025 - 19/07/2025</v>
      </c>
      <c r="I210" s="13">
        <f>VLOOKUP(C210,[4]report!$A$2:$R$257,18,FALSE)</f>
        <v>705300</v>
      </c>
      <c r="J210" s="19"/>
    </row>
    <row r="211" spans="2:10" ht="21" customHeight="1" x14ac:dyDescent="0.25">
      <c r="B211" s="7">
        <v>206</v>
      </c>
      <c r="C211" s="52">
        <v>1269440449</v>
      </c>
      <c r="D211" s="12" t="str">
        <f>VLOOKUP(C211,[4]report!$A$2:$R$257,3,FALSE)</f>
        <v>BAKHARUDDIN YUSUF</v>
      </c>
      <c r="E211" s="12" t="str">
        <f>VLOOKUP(C211,[4]report!$A$2:$R$257,2,FALSE)</f>
        <v>94162178ZY</v>
      </c>
      <c r="F211" s="12">
        <f>VLOOKUP(C211,[4]report!$A$2:$R$257,5,FALSE)</f>
        <v>4120176571</v>
      </c>
      <c r="G211" s="12" t="str">
        <f>VLOOKUP(C211,[4]report!$A$2:$R$257,8,FALSE)</f>
        <v>KotaBaubau-KotaMakassar</v>
      </c>
      <c r="H211" s="12" t="str">
        <f>VLOOKUP(C211,[4]report!$A$2:$R$257,9,FALSE)</f>
        <v>16/07/2025 - 18/07/2025</v>
      </c>
      <c r="I211" s="13">
        <f>VLOOKUP(C211,[4]report!$A$2:$R$257,18,FALSE)</f>
        <v>805200</v>
      </c>
      <c r="J211" s="19"/>
    </row>
    <row r="212" spans="2:10" ht="21" customHeight="1" x14ac:dyDescent="0.25">
      <c r="B212" s="7">
        <v>207</v>
      </c>
      <c r="C212" s="53">
        <v>1269522507</v>
      </c>
      <c r="D212" s="12" t="str">
        <f>VLOOKUP(C212,[4]report!$A$2:$R$257,3,FALSE)</f>
        <v xml:space="preserve">IBRAHIM </v>
      </c>
      <c r="E212" s="12" t="str">
        <f>VLOOKUP(C212,[4]report!$A$2:$R$257,2,FALSE)</f>
        <v>8810040F</v>
      </c>
      <c r="F212" s="12">
        <f>VLOOKUP(C212,[4]report!$A$2:$R$257,5,FALSE)</f>
        <v>4120176634</v>
      </c>
      <c r="G212" s="12" t="str">
        <f>VLOOKUP(C212,[4]report!$A$2:$R$257,8,FALSE)</f>
        <v>Kota Makassar - Kota Parepare</v>
      </c>
      <c r="H212" s="12" t="str">
        <f>VLOOKUP(C212,[4]report!$A$2:$R$257,9,FALSE)</f>
        <v>15/07/2025 - 18/07/2025</v>
      </c>
      <c r="I212" s="13">
        <f>VLOOKUP(C212,[4]report!$A$2:$R$257,18,FALSE)</f>
        <v>1000000</v>
      </c>
      <c r="J212" s="19"/>
    </row>
    <row r="213" spans="2:10" ht="21" customHeight="1" x14ac:dyDescent="0.25">
      <c r="B213" s="7">
        <v>208</v>
      </c>
      <c r="C213" s="52">
        <v>1269521711</v>
      </c>
      <c r="D213" s="12" t="str">
        <f>VLOOKUP(C213,[4]report!$A$2:$R$257,3,FALSE)</f>
        <v>KRESKY YULIANTO</v>
      </c>
      <c r="E213" s="12" t="str">
        <f>VLOOKUP(C213,[4]report!$A$2:$R$257,2,FALSE)</f>
        <v>9213081FY</v>
      </c>
      <c r="F213" s="12">
        <f>VLOOKUP(C213,[4]report!$A$2:$R$257,5,FALSE)</f>
        <v>4120176633</v>
      </c>
      <c r="G213" s="12" t="str">
        <f>VLOOKUP(C213,[4]report!$A$2:$R$257,8,FALSE)</f>
        <v>Kota Makassar - Kota Parepare</v>
      </c>
      <c r="H213" s="12" t="str">
        <f>VLOOKUP(C213,[4]report!$A$2:$R$257,9,FALSE)</f>
        <v>15/07/2025 - 18/07/2025</v>
      </c>
      <c r="I213" s="13">
        <f>VLOOKUP(C213,[4]report!$A$2:$R$257,18,FALSE)</f>
        <v>1000000</v>
      </c>
      <c r="J213" s="19"/>
    </row>
    <row r="214" spans="2:10" ht="21" customHeight="1" x14ac:dyDescent="0.25">
      <c r="B214" s="7">
        <v>209</v>
      </c>
      <c r="C214" s="53">
        <v>1269482749</v>
      </c>
      <c r="D214" s="12" t="str">
        <f>VLOOKUP(C214,[4]report!$A$2:$R$257,3,FALSE)</f>
        <v>DIAN ADHIRAMA ACHDAR</v>
      </c>
      <c r="E214" s="12" t="str">
        <f>VLOOKUP(C214,[4]report!$A$2:$R$257,2,FALSE)</f>
        <v>8106034F</v>
      </c>
      <c r="F214" s="12">
        <f>VLOOKUP(C214,[4]report!$A$2:$R$257,5,FALSE)</f>
        <v>4120176653</v>
      </c>
      <c r="G214" s="12" t="str">
        <f>VLOOKUP(C214,[4]report!$A$2:$R$257,8,FALSE)</f>
        <v>Kota Makassar - Kota Palopo</v>
      </c>
      <c r="H214" s="12" t="str">
        <f>VLOOKUP(C214,[4]report!$A$2:$R$257,9,FALSE)</f>
        <v>15/07/2025 - 18/07/2025</v>
      </c>
      <c r="I214" s="13">
        <f>VLOOKUP(C214,[4]report!$A$2:$R$257,18,FALSE)</f>
        <v>1050000</v>
      </c>
      <c r="J214" s="19"/>
    </row>
    <row r="215" spans="2:10" ht="21" customHeight="1" x14ac:dyDescent="0.25">
      <c r="B215" s="7">
        <v>210</v>
      </c>
      <c r="C215" s="52">
        <v>1269536996</v>
      </c>
      <c r="D215" s="12" t="str">
        <f>VLOOKUP(C215,[4]report!$A$2:$R$257,3,FALSE)</f>
        <v>MUHAMMAD SUSGANDINATA</v>
      </c>
      <c r="E215" s="12" t="str">
        <f>VLOOKUP(C215,[4]report!$A$2:$R$257,2,FALSE)</f>
        <v>8609527Z</v>
      </c>
      <c r="F215" s="12">
        <f>VLOOKUP(C215,[4]report!$A$2:$R$257,5,FALSE)</f>
        <v>4120176655</v>
      </c>
      <c r="G215" s="12" t="str">
        <f>VLOOKUP(C215,[4]report!$A$2:$R$257,8,FALSE)</f>
        <v>Kota Makassar - Kota Yogyakarta</v>
      </c>
      <c r="H215" s="12" t="str">
        <f>VLOOKUP(C215,[4]report!$A$2:$R$257,9,FALSE)</f>
        <v>16/07/2025 - 19/07/2025</v>
      </c>
      <c r="I215" s="13">
        <f>VLOOKUP(C215,[4]report!$A$2:$R$257,18,FALSE)</f>
        <v>1264800</v>
      </c>
      <c r="J215" s="19"/>
    </row>
    <row r="216" spans="2:10" ht="21" customHeight="1" x14ac:dyDescent="0.25">
      <c r="B216" s="7">
        <v>211</v>
      </c>
      <c r="C216" s="52">
        <v>1269498248</v>
      </c>
      <c r="D216" s="12" t="str">
        <f>VLOOKUP(C216,[4]report!$A$2:$R$257,3,FALSE)</f>
        <v>SEKARWATI CIPTOROSO</v>
      </c>
      <c r="E216" s="12" t="str">
        <f>VLOOKUP(C216,[4]report!$A$2:$R$257,2,FALSE)</f>
        <v>9619975ZY</v>
      </c>
      <c r="F216" s="12">
        <f>VLOOKUP(C216,[4]report!$A$2:$R$257,5,FALSE)</f>
        <v>4120176661</v>
      </c>
      <c r="G216" s="12" t="str">
        <f>VLOOKUP(C216,[4]report!$A$2:$R$257,8,FALSE)</f>
        <v>Kota Baubau - Kota Makassar</v>
      </c>
      <c r="H216" s="12" t="str">
        <f>VLOOKUP(C216,[4]report!$A$2:$R$257,9,FALSE)</f>
        <v>16/07/2025 - 19/07/2025</v>
      </c>
      <c r="I216" s="13">
        <f>VLOOKUP(C216,[4]report!$A$2:$R$257,18,FALSE)</f>
        <v>1510500</v>
      </c>
      <c r="J216" s="19"/>
    </row>
    <row r="217" spans="2:10" ht="21" customHeight="1" x14ac:dyDescent="0.25">
      <c r="B217" s="7">
        <v>212</v>
      </c>
      <c r="C217" s="52">
        <v>1269477640</v>
      </c>
      <c r="D217" s="12" t="str">
        <f>VLOOKUP(C217,[4]report!$A$2:$R$257,3,FALSE)</f>
        <v>DESHINTA AMALIA SHOLIHAH</v>
      </c>
      <c r="E217" s="12" t="str">
        <f>VLOOKUP(C217,[4]report!$A$2:$R$257,2,FALSE)</f>
        <v>92172062ZY</v>
      </c>
      <c r="F217" s="12">
        <f>VLOOKUP(C217,[4]report!$A$2:$R$257,5,FALSE)</f>
        <v>4120176635</v>
      </c>
      <c r="G217" s="12" t="str">
        <f>VLOOKUP(C217,[4]report!$A$2:$R$257,8,FALSE)</f>
        <v>Kota Makassar - Kab. Bone</v>
      </c>
      <c r="H217" s="12" t="str">
        <f>VLOOKUP(C217,[4]report!$A$2:$R$257,9,FALSE)</f>
        <v>15/07/2025 - 18/07/2025</v>
      </c>
      <c r="I217" s="13">
        <f>VLOOKUP(C217,[4]report!$A$2:$R$257,18,FALSE)</f>
        <v>1566360</v>
      </c>
      <c r="J217" s="19"/>
    </row>
    <row r="218" spans="2:10" ht="21" customHeight="1" x14ac:dyDescent="0.25">
      <c r="B218" s="7">
        <v>213</v>
      </c>
      <c r="C218" s="52">
        <v>1269441755</v>
      </c>
      <c r="D218" s="12" t="str">
        <f>VLOOKUP(C218,[4]report!$A$2:$R$257,3,FALSE)</f>
        <v>HADHI BAGUS SETYANTO</v>
      </c>
      <c r="E218" s="12" t="str">
        <f>VLOOKUP(C218,[4]report!$A$2:$R$257,2,FALSE)</f>
        <v>8711130Z</v>
      </c>
      <c r="F218" s="12">
        <f>VLOOKUP(C218,[4]report!$A$2:$R$257,5,FALSE)</f>
        <v>4120176652</v>
      </c>
      <c r="G218" s="12" t="str">
        <f>VLOOKUP(C218,[4]report!$A$2:$R$257,8,FALSE)</f>
        <v>Kota Makassar - Kota Semarang</v>
      </c>
      <c r="H218" s="12" t="str">
        <f>VLOOKUP(C218,[4]report!$A$2:$R$257,9,FALSE)</f>
        <v>15/07/2025 - 19/07/2025</v>
      </c>
      <c r="I218" s="13">
        <f>VLOOKUP(C218,[4]report!$A$2:$R$257,18,FALSE)</f>
        <v>1606800</v>
      </c>
      <c r="J218" s="19"/>
    </row>
    <row r="219" spans="2:10" ht="21" customHeight="1" x14ac:dyDescent="0.25">
      <c r="B219" s="7">
        <v>214</v>
      </c>
      <c r="C219" s="52">
        <v>1269440874</v>
      </c>
      <c r="D219" s="12" t="str">
        <f>VLOOKUP(C219,[4]report!$A$2:$R$257,3,FALSE)</f>
        <v>HADHI BAGUS SETYANTO</v>
      </c>
      <c r="E219" s="12" t="str">
        <f>VLOOKUP(C219,[4]report!$A$2:$R$257,2,FALSE)</f>
        <v>8711130Z</v>
      </c>
      <c r="F219" s="12">
        <f>VLOOKUP(C219,[4]report!$A$2:$R$257,5,FALSE)</f>
        <v>4120176652</v>
      </c>
      <c r="G219" s="12" t="str">
        <f>VLOOKUP(C219,[4]report!$A$2:$R$257,8,FALSE)</f>
        <v>Kota Makassar - Kota Semarang</v>
      </c>
      <c r="H219" s="12" t="str">
        <f>VLOOKUP(C219,[4]report!$A$2:$R$257,9,FALSE)</f>
        <v>15/07/2025 - 19/07/2025</v>
      </c>
      <c r="I219" s="13">
        <f>VLOOKUP(C219,[4]report!$A$2:$R$257,18,FALSE)</f>
        <v>1819700</v>
      </c>
      <c r="J219" s="19"/>
    </row>
    <row r="220" spans="2:10" ht="21" customHeight="1" x14ac:dyDescent="0.25">
      <c r="B220" s="7">
        <v>215</v>
      </c>
      <c r="C220" s="52">
        <v>1269566806</v>
      </c>
      <c r="D220" s="12" t="str">
        <f>VLOOKUP(C220,[4]report!$A$2:$R$257,3,FALSE)</f>
        <v>ZAKI ASHARI</v>
      </c>
      <c r="E220" s="12" t="str">
        <f>VLOOKUP(C220,[4]report!$A$2:$R$257,2,FALSE)</f>
        <v>9008084F</v>
      </c>
      <c r="F220" s="12">
        <f>VLOOKUP(C220,[4]report!$A$2:$R$257,5,FALSE)</f>
        <v>4120176654</v>
      </c>
      <c r="G220" s="12" t="str">
        <f>VLOOKUP(C220,[4]report!$A$2:$R$257,8,FALSE)</f>
        <v>Kota Makassar - Kota Yogyakarta</v>
      </c>
      <c r="H220" s="12" t="str">
        <f>VLOOKUP(C220,[4]report!$A$2:$R$257,9,FALSE)</f>
        <v>16/07/2025 - 19/07/2025</v>
      </c>
      <c r="I220" s="13">
        <f>VLOOKUP(C220,[4]report!$A$2:$R$257,18,FALSE)</f>
        <v>2622100</v>
      </c>
      <c r="J220" s="19"/>
    </row>
    <row r="221" spans="2:10" ht="21" customHeight="1" x14ac:dyDescent="0.25">
      <c r="B221" s="7">
        <v>216</v>
      </c>
      <c r="C221" s="52">
        <v>1269630057</v>
      </c>
      <c r="D221" s="12" t="str">
        <f>VLOOKUP(C221,[4]report!$A$2:$R$257,3,FALSE)</f>
        <v>ZAKI ASHARI</v>
      </c>
      <c r="E221" s="12" t="str">
        <f>VLOOKUP(C221,[4]report!$A$2:$R$257,2,FALSE)</f>
        <v>9008084F</v>
      </c>
      <c r="F221" s="12">
        <f>VLOOKUP(C221,[4]report!$A$2:$R$257,5,FALSE)</f>
        <v>4120176654</v>
      </c>
      <c r="G221" s="12" t="str">
        <f>VLOOKUP(C221,[4]report!$A$2:$R$257,8,FALSE)</f>
        <v>Kota Makassar - Kota Yogyakarta</v>
      </c>
      <c r="H221" s="12" t="str">
        <f>VLOOKUP(C221,[4]report!$A$2:$R$257,9,FALSE)</f>
        <v>16/07/2025 - 19/07/2025</v>
      </c>
      <c r="I221" s="13">
        <f>VLOOKUP(C221,[4]report!$A$2:$R$257,18,FALSE)</f>
        <v>660488</v>
      </c>
      <c r="J221" s="19"/>
    </row>
    <row r="222" spans="2:10" ht="21" customHeight="1" x14ac:dyDescent="0.25">
      <c r="B222" s="7">
        <v>217</v>
      </c>
      <c r="C222" s="52">
        <v>1269597956</v>
      </c>
      <c r="D222" s="12" t="str">
        <f>VLOOKUP(C222,[4]report!$A$2:$R$257,3,FALSE)</f>
        <v>SINTIA DEWI</v>
      </c>
      <c r="E222" s="12" t="str">
        <f>VLOOKUP(C222,[4]report!$A$2:$R$257,2,FALSE)</f>
        <v>9719687ZY</v>
      </c>
      <c r="F222" s="12">
        <f>VLOOKUP(C222,[4]report!$A$2:$R$257,5,FALSE)</f>
        <v>4120176670</v>
      </c>
      <c r="G222" s="12" t="str">
        <f>VLOOKUP(C222,[4]report!$A$2:$R$257,8,FALSE)</f>
        <v>Kab. Konawe - Kota Makassar</v>
      </c>
      <c r="H222" s="12" t="str">
        <f>VLOOKUP(C222,[4]report!$A$2:$R$257,9,FALSE)</f>
        <v>16/07/2025 - 19/07/2025</v>
      </c>
      <c r="I222" s="13">
        <f>VLOOKUP(C222,[4]report!$A$2:$R$257,18,FALSE)</f>
        <v>695400</v>
      </c>
      <c r="J222" s="19"/>
    </row>
    <row r="223" spans="2:10" ht="21" customHeight="1" x14ac:dyDescent="0.25">
      <c r="B223" s="7">
        <v>218</v>
      </c>
      <c r="C223" s="52">
        <v>1269648166</v>
      </c>
      <c r="D223" s="12" t="str">
        <f>VLOOKUP(C223,[4]report!$A$2:$R$257,3,FALSE)</f>
        <v>ZAKI ASHARI</v>
      </c>
      <c r="E223" s="12" t="str">
        <f>VLOOKUP(C223,[4]report!$A$2:$R$257,2,FALSE)</f>
        <v>9008084F</v>
      </c>
      <c r="F223" s="12">
        <f>VLOOKUP(C223,[4]report!$A$2:$R$257,5,FALSE)</f>
        <v>4120176654</v>
      </c>
      <c r="G223" s="12" t="str">
        <f>VLOOKUP(C223,[4]report!$A$2:$R$257,8,FALSE)</f>
        <v>Kota Makassar - Kota Yogyakarta</v>
      </c>
      <c r="H223" s="12" t="str">
        <f>VLOOKUP(C223,[4]report!$A$2:$R$257,9,FALSE)</f>
        <v>16/07/2025 - 19/07/2025</v>
      </c>
      <c r="I223" s="13">
        <f>VLOOKUP(C223,[4]report!$A$2:$R$257,18,FALSE)</f>
        <v>738075</v>
      </c>
      <c r="J223" s="19"/>
    </row>
    <row r="224" spans="2:10" ht="21" customHeight="1" x14ac:dyDescent="0.25">
      <c r="B224" s="7">
        <v>219</v>
      </c>
      <c r="C224" s="52">
        <v>1269618427</v>
      </c>
      <c r="D224" s="12" t="str">
        <f>VLOOKUP(C224,[4]report!$A$2:$R$257,3,FALSE)</f>
        <v>SARIPA ALWIA</v>
      </c>
      <c r="E224" s="12" t="str">
        <f>VLOOKUP(C224,[4]report!$A$2:$R$257,2,FALSE)</f>
        <v>9718057FBY</v>
      </c>
      <c r="F224" s="12">
        <f>VLOOKUP(C224,[4]report!$A$2:$R$257,5,FALSE)</f>
        <v>4120176676</v>
      </c>
      <c r="G224" s="12" t="str">
        <f>VLOOKUP(C224,[4]report!$A$2:$R$257,8,FALSE)</f>
        <v>Kota Kendari - Kota Makassar</v>
      </c>
      <c r="H224" s="12" t="str">
        <f>VLOOKUP(C224,[4]report!$A$2:$R$257,9,FALSE)</f>
        <v>16/07/2025 - 19/07/2025</v>
      </c>
      <c r="I224" s="13">
        <f>VLOOKUP(C224,[4]report!$A$2:$R$257,18,FALSE)</f>
        <v>773200</v>
      </c>
      <c r="J224" s="19"/>
    </row>
    <row r="225" spans="2:10" ht="21" customHeight="1" x14ac:dyDescent="0.25">
      <c r="B225" s="7">
        <v>220</v>
      </c>
      <c r="C225" s="52">
        <v>1269617739</v>
      </c>
      <c r="D225" s="12" t="str">
        <f>VLOOKUP(C225,[4]report!$A$2:$R$257,3,FALSE)</f>
        <v xml:space="preserve">WAHIDAH </v>
      </c>
      <c r="E225" s="12" t="str">
        <f>VLOOKUP(C225,[4]report!$A$2:$R$257,2,FALSE)</f>
        <v>8309182Z</v>
      </c>
      <c r="F225" s="12">
        <f>VLOOKUP(C225,[4]report!$A$2:$R$257,5,FALSE)</f>
        <v>4120176679</v>
      </c>
      <c r="G225" s="12" t="str">
        <f>VLOOKUP(C225,[4]report!$A$2:$R$257,8,FALSE)</f>
        <v>Kota Makassar - Jakarta Selatan</v>
      </c>
      <c r="H225" s="12" t="str">
        <f>VLOOKUP(C225,[4]report!$A$2:$R$257,9,FALSE)</f>
        <v>16/07/2025 - 19/07/2025</v>
      </c>
      <c r="I225" s="13">
        <f>VLOOKUP(C225,[4]report!$A$2:$R$257,18,FALSE)</f>
        <v>1465100</v>
      </c>
      <c r="J225" s="19"/>
    </row>
    <row r="226" spans="2:10" ht="21" customHeight="1" x14ac:dyDescent="0.25">
      <c r="B226" s="7">
        <v>221</v>
      </c>
      <c r="C226" s="52">
        <v>1269684040</v>
      </c>
      <c r="D226" s="12" t="str">
        <f>VLOOKUP(C226,[4]report!$A$2:$R$257,3,FALSE)</f>
        <v>ALDIS AL FADJRIN</v>
      </c>
      <c r="E226" s="12" t="str">
        <f>VLOOKUP(C226,[4]report!$A$2:$R$257,2,FALSE)</f>
        <v>94162107ZY</v>
      </c>
      <c r="F226" s="12">
        <f>VLOOKUP(C226,[4]report!$A$2:$R$257,5,FALSE)</f>
        <v>4120176663</v>
      </c>
      <c r="G226" s="12" t="str">
        <f>VLOOKUP(C226,[4]report!$A$2:$R$257,8,FALSE)</f>
        <v>Kota Kendari - Kab. Bombana - Kab. Kolaka Utara - Kab. Kolaka</v>
      </c>
      <c r="H226" s="12" t="str">
        <f>VLOOKUP(C226,[4]report!$A$2:$R$257,9,FALSE)</f>
        <v>15/07/2025 - 18/07/2025</v>
      </c>
      <c r="I226" s="13">
        <f>VLOOKUP(C226,[4]report!$A$2:$R$257,18,FALSE)</f>
        <v>395694</v>
      </c>
      <c r="J226" s="19"/>
    </row>
    <row r="227" spans="2:10" ht="21" customHeight="1" x14ac:dyDescent="0.25">
      <c r="B227" s="7">
        <v>222</v>
      </c>
      <c r="C227" s="52">
        <v>1269732711</v>
      </c>
      <c r="D227" s="12" t="str">
        <f>VLOOKUP(C227,[4]report!$A$2:$R$257,3,FALSE)</f>
        <v>ANDI MUH ASYIK</v>
      </c>
      <c r="E227" s="12" t="str">
        <f>VLOOKUP(C227,[4]report!$A$2:$R$257,2,FALSE)</f>
        <v>9115474ZY</v>
      </c>
      <c r="F227" s="12">
        <f>VLOOKUP(C227,[4]report!$A$2:$R$257,5,FALSE)</f>
        <v>4120176692</v>
      </c>
      <c r="G227" s="12" t="str">
        <f>VLOOKUP(C227,[4]report!$A$2:$R$257,8,FALSE)</f>
        <v>Kab. Bulukumba - Kota Makassar</v>
      </c>
      <c r="H227" s="12" t="str">
        <f>VLOOKUP(C227,[4]report!$A$2:$R$257,9,FALSE)</f>
        <v>17/07/2025 - 18/07/2025</v>
      </c>
      <c r="I227" s="13">
        <f>VLOOKUP(C227,[4]report!$A$2:$R$257,18,FALSE)</f>
        <v>625000</v>
      </c>
      <c r="J227" s="19"/>
    </row>
    <row r="228" spans="2:10" ht="21" customHeight="1" x14ac:dyDescent="0.25">
      <c r="B228" s="7">
        <v>223</v>
      </c>
      <c r="C228" s="52">
        <v>1269756879</v>
      </c>
      <c r="D228" s="12" t="str">
        <f>VLOOKUP(C228,[4]report!$A$2:$R$257,3,FALSE)</f>
        <v>KIKI RESKI ANDRIANI</v>
      </c>
      <c r="E228" s="12" t="str">
        <f>VLOOKUP(C228,[4]report!$A$2:$R$257,2,FALSE)</f>
        <v>93151397ZY</v>
      </c>
      <c r="F228" s="12">
        <f>VLOOKUP(C228,[4]report!$A$2:$R$257,5,FALSE)</f>
        <v>4120176640</v>
      </c>
      <c r="G228" s="12" t="str">
        <f>VLOOKUP(C228,[4]report!$A$2:$R$257,8,FALSE)</f>
        <v>Kota Makassar - Kota Semarang</v>
      </c>
      <c r="H228" s="12" t="str">
        <f>VLOOKUP(C228,[4]report!$A$2:$R$257,9,FALSE)</f>
        <v>15/07/2025 - 19/07/2025</v>
      </c>
      <c r="I228" s="13">
        <f>VLOOKUP(C228,[4]report!$A$2:$R$257,18,FALSE)</f>
        <v>760808</v>
      </c>
      <c r="J228" s="19"/>
    </row>
    <row r="229" spans="2:10" ht="21" customHeight="1" x14ac:dyDescent="0.25">
      <c r="B229" s="7">
        <v>224</v>
      </c>
      <c r="C229" s="52">
        <v>1269821193</v>
      </c>
      <c r="D229" s="12" t="str">
        <f>VLOOKUP(C229,[4]report!$A$2:$R$257,3,FALSE)</f>
        <v>AKHMAD MILZAM WILLY PRATAMA</v>
      </c>
      <c r="E229" s="12" t="str">
        <f>VLOOKUP(C229,[4]report!$A$2:$R$257,2,FALSE)</f>
        <v>9520544ZY</v>
      </c>
      <c r="F229" s="12">
        <f>VLOOKUP(C229,[4]report!$A$2:$R$257,5,FALSE)</f>
        <v>4120176694</v>
      </c>
      <c r="G229" s="12" t="str">
        <f>VLOOKUP(C229,[4]report!$A$2:$R$257,8,FALSE)</f>
        <v>Kota Palopo - Kota Makassar</v>
      </c>
      <c r="H229" s="12" t="str">
        <f>VLOOKUP(C229,[4]report!$A$2:$R$257,9,FALSE)</f>
        <v>16/07/2025 - 18/07/2025</v>
      </c>
      <c r="I229" s="13">
        <f>VLOOKUP(C229,[4]report!$A$2:$R$257,18,FALSE)</f>
        <v>768802</v>
      </c>
      <c r="J229" s="19"/>
    </row>
    <row r="230" spans="2:10" ht="21" customHeight="1" x14ac:dyDescent="0.25">
      <c r="B230" s="7">
        <v>225</v>
      </c>
      <c r="C230" s="52">
        <v>1269823201</v>
      </c>
      <c r="D230" s="12" t="str">
        <f>VLOOKUP(C230,[4]report!$A$2:$R$257,3,FALSE)</f>
        <v>DESHINTA AMALIA SHOLIHAH</v>
      </c>
      <c r="E230" s="12" t="str">
        <f>VLOOKUP(C230,[4]report!$A$2:$R$257,2,FALSE)</f>
        <v>92172062ZY</v>
      </c>
      <c r="F230" s="12">
        <f>VLOOKUP(C230,[4]report!$A$2:$R$257,5,FALSE)</f>
        <v>4120176635</v>
      </c>
      <c r="G230" s="12" t="str">
        <f>VLOOKUP(C230,[4]report!$A$2:$R$257,8,FALSE)</f>
        <v>Kota Makassar - Kab. Bone</v>
      </c>
      <c r="H230" s="12" t="str">
        <f>VLOOKUP(C230,[4]report!$A$2:$R$257,9,FALSE)</f>
        <v>15/07/2025 - 18/07/2025</v>
      </c>
      <c r="I230" s="13">
        <f>VLOOKUP(C230,[4]report!$A$2:$R$257,18,FALSE)</f>
        <v>783180</v>
      </c>
      <c r="J230" s="15"/>
    </row>
    <row r="231" spans="2:10" ht="21" customHeight="1" x14ac:dyDescent="0.25">
      <c r="B231" s="7">
        <v>226</v>
      </c>
      <c r="C231" s="52">
        <v>1269799566</v>
      </c>
      <c r="D231" s="12" t="str">
        <f>VLOOKUP(C231,[4]report!$A$2:$R$257,3,FALSE)</f>
        <v>ERIK WICAKSONO</v>
      </c>
      <c r="E231" s="12" t="str">
        <f>VLOOKUP(C231,[4]report!$A$2:$R$257,2,FALSE)</f>
        <v>9008094F</v>
      </c>
      <c r="F231" s="12">
        <f>VLOOKUP(C231,[4]report!$A$2:$R$257,5,FALSE)</f>
        <v>4120176608</v>
      </c>
      <c r="G231" s="12" t="str">
        <f>VLOOKUP(C231,[4]report!$A$2:$R$257,8,FALSE)</f>
        <v>Kota Kendari - Kota Makassar</v>
      </c>
      <c r="H231" s="12" t="str">
        <f>VLOOKUP(C231,[4]report!$A$2:$R$257,9,FALSE)</f>
        <v>16/07/2025 - 18/07/2025</v>
      </c>
      <c r="I231" s="13">
        <f>VLOOKUP(C231,[4]report!$A$2:$R$257,18,FALSE)</f>
        <v>790602</v>
      </c>
      <c r="J231" s="19"/>
    </row>
    <row r="232" spans="2:10" ht="21" customHeight="1" x14ac:dyDescent="0.25">
      <c r="B232" s="7">
        <v>227</v>
      </c>
      <c r="C232" s="52">
        <v>1269722286</v>
      </c>
      <c r="D232" s="12" t="str">
        <f>VLOOKUP(C232,[4]report!$A$2:$R$257,3,FALSE)</f>
        <v>AFRIANTO KURNIAWAN</v>
      </c>
      <c r="E232" s="12" t="str">
        <f>VLOOKUP(C232,[4]report!$A$2:$R$257,2,FALSE)</f>
        <v>94163868ZY</v>
      </c>
      <c r="F232" s="12">
        <f>VLOOKUP(C232,[4]report!$A$2:$R$257,5,FALSE)</f>
        <v>4120176684</v>
      </c>
      <c r="G232" s="12" t="str">
        <f>VLOOKUP(C232,[4]report!$A$2:$R$257,8,FALSE)</f>
        <v>Kota Makassar - Kota Yogyakarta</v>
      </c>
      <c r="H232" s="12" t="str">
        <f>VLOOKUP(C232,[4]report!$A$2:$R$257,9,FALSE)</f>
        <v>16/07/2025 - 18/07/2025</v>
      </c>
      <c r="I232" s="13">
        <f>VLOOKUP(C232,[4]report!$A$2:$R$257,18,FALSE)</f>
        <v>1264800</v>
      </c>
      <c r="J232" s="19"/>
    </row>
    <row r="233" spans="2:10" ht="21" customHeight="1" x14ac:dyDescent="0.25">
      <c r="B233" s="7">
        <v>228</v>
      </c>
      <c r="C233" s="52">
        <v>1269682015</v>
      </c>
      <c r="D233" s="12" t="str">
        <f>VLOOKUP(C233,[4]report!$A$2:$R$257,3,FALSE)</f>
        <v xml:space="preserve">WAHIDAH </v>
      </c>
      <c r="E233" s="12" t="str">
        <f>VLOOKUP(C233,[4]report!$A$2:$R$257,2,FALSE)</f>
        <v>8309182Z</v>
      </c>
      <c r="F233" s="12">
        <f>VLOOKUP(C233,[4]report!$A$2:$R$257,5,FALSE)</f>
        <v>4120176679</v>
      </c>
      <c r="G233" s="12" t="str">
        <f>VLOOKUP(C233,[4]report!$A$2:$R$257,8,FALSE)</f>
        <v>Kota Makassar - Jakarta Selatan</v>
      </c>
      <c r="H233" s="12" t="str">
        <f>VLOOKUP(C233,[4]report!$A$2:$R$257,9,FALSE)</f>
        <v>16/07/2025 - 19/07/2025</v>
      </c>
      <c r="I233" s="13">
        <f>VLOOKUP(C233,[4]report!$A$2:$R$257,18,FALSE)</f>
        <v>1466400</v>
      </c>
      <c r="J233" s="19"/>
    </row>
    <row r="234" spans="2:10" ht="21" customHeight="1" x14ac:dyDescent="0.25">
      <c r="B234" s="7">
        <v>229</v>
      </c>
      <c r="C234" s="52">
        <v>1269817401</v>
      </c>
      <c r="D234" s="12" t="str">
        <f>VLOOKUP(C234,[4]report!$A$2:$R$257,3,FALSE)</f>
        <v>AFRIANTO KURNIAWAN</v>
      </c>
      <c r="E234" s="12" t="str">
        <f>VLOOKUP(C234,[4]report!$A$2:$R$257,2,FALSE)</f>
        <v>94163868ZY</v>
      </c>
      <c r="F234" s="12">
        <f>VLOOKUP(C234,[4]report!$A$2:$R$257,5,FALSE)</f>
        <v>4120176684</v>
      </c>
      <c r="G234" s="12" t="str">
        <f>VLOOKUP(C234,[4]report!$A$2:$R$257,8,FALSE)</f>
        <v>Kota Makassar - Kota Yogyakarta</v>
      </c>
      <c r="H234" s="12" t="str">
        <f>VLOOKUP(C234,[4]report!$A$2:$R$257,9,FALSE)</f>
        <v>16/07/2025 - 18/07/2025</v>
      </c>
      <c r="I234" s="13">
        <f>VLOOKUP(C234,[4]report!$A$2:$R$257,18,FALSE)</f>
        <v>1660212</v>
      </c>
      <c r="J234" s="15"/>
    </row>
    <row r="235" spans="2:10" ht="21" customHeight="1" x14ac:dyDescent="0.25">
      <c r="B235" s="7">
        <v>230</v>
      </c>
      <c r="C235" s="52">
        <v>1269686930</v>
      </c>
      <c r="D235" s="12" t="str">
        <f>VLOOKUP(C235,[4]report!$A$2:$R$257,3,FALSE)</f>
        <v>ANDI MUH. ARMIN YUSFIN</v>
      </c>
      <c r="E235" s="12" t="str">
        <f>VLOOKUP(C235,[4]report!$A$2:$R$257,2,FALSE)</f>
        <v>8512114ZY</v>
      </c>
      <c r="F235" s="12">
        <f>VLOOKUP(C235,[4]report!$A$2:$R$257,5,FALSE)</f>
        <v>4120176681</v>
      </c>
      <c r="G235" s="12" t="str">
        <f>VLOOKUP(C235,[4]report!$A$2:$R$257,8,FALSE)</f>
        <v>Kota Makassar - Kota Palu</v>
      </c>
      <c r="H235" s="12" t="str">
        <f>VLOOKUP(C235,[4]report!$A$2:$R$257,9,FALSE)</f>
        <v>16/07/2025 - 18/07/2025</v>
      </c>
      <c r="I235" s="13">
        <f>VLOOKUP(C235,[4]report!$A$2:$R$257,18,FALSE)</f>
        <v>1810000</v>
      </c>
      <c r="J235" s="15"/>
    </row>
    <row r="236" spans="2:10" ht="21" customHeight="1" x14ac:dyDescent="0.25">
      <c r="B236" s="7">
        <v>231</v>
      </c>
      <c r="C236" s="52">
        <v>1269898268</v>
      </c>
      <c r="D236" s="12" t="str">
        <f>VLOOKUP(C236,[4]report!$A$2:$R$257,3,FALSE)</f>
        <v>ZAKI ASHARI</v>
      </c>
      <c r="E236" s="12" t="str">
        <f>VLOOKUP(C236,[4]report!$A$2:$R$257,2,FALSE)</f>
        <v>9008084F</v>
      </c>
      <c r="F236" s="12">
        <f>VLOOKUP(C236,[4]report!$A$2:$R$257,5,FALSE)</f>
        <v>4120176654</v>
      </c>
      <c r="G236" s="12" t="str">
        <f>VLOOKUP(C236,[4]report!$A$2:$R$257,8,FALSE)</f>
        <v>Kota Makassar - Kota Yogyakarta</v>
      </c>
      <c r="H236" s="12" t="str">
        <f>VLOOKUP(C236,[4]report!$A$2:$R$257,9,FALSE)</f>
        <v>16/07/2025 - 19/07/2025</v>
      </c>
      <c r="I236" s="13">
        <f>VLOOKUP(C236,[4]report!$A$2:$R$257,18,FALSE)</f>
        <v>813280</v>
      </c>
      <c r="J236" s="19"/>
    </row>
    <row r="237" spans="2:10" ht="21" customHeight="1" x14ac:dyDescent="0.25">
      <c r="B237" s="7">
        <v>232</v>
      </c>
      <c r="C237" s="52">
        <v>1269893465</v>
      </c>
      <c r="D237" s="12" t="str">
        <f>VLOOKUP(C237,[4]report!$A$2:$R$257,3,FALSE)</f>
        <v>MUHAMMAD SUSGANDINATA</v>
      </c>
      <c r="E237" s="12" t="str">
        <f>VLOOKUP(C237,[4]report!$A$2:$R$257,2,FALSE)</f>
        <v>8609527Z</v>
      </c>
      <c r="F237" s="12">
        <f>VLOOKUP(C237,[4]report!$A$2:$R$257,5,FALSE)</f>
        <v>4120176655</v>
      </c>
      <c r="G237" s="12" t="str">
        <f>VLOOKUP(C237,[4]report!$A$2:$R$257,8,FALSE)</f>
        <v>Kota Makassar - Kota Yogyakarta</v>
      </c>
      <c r="H237" s="12" t="str">
        <f>VLOOKUP(C237,[4]report!$A$2:$R$257,9,FALSE)</f>
        <v>16/07/2025 - 19/07/2025</v>
      </c>
      <c r="I237" s="13">
        <f>VLOOKUP(C237,[4]report!$A$2:$R$257,18,FALSE)</f>
        <v>920000</v>
      </c>
      <c r="J237" s="19"/>
    </row>
    <row r="238" spans="2:10" ht="21" customHeight="1" x14ac:dyDescent="0.25">
      <c r="B238" s="7">
        <v>233</v>
      </c>
      <c r="C238" s="52">
        <v>1269836833</v>
      </c>
      <c r="D238" s="12" t="str">
        <f>VLOOKUP(C238,[4]report!$A$2:$R$257,3,FALSE)</f>
        <v xml:space="preserve">NASRUN </v>
      </c>
      <c r="E238" s="12" t="str">
        <f>VLOOKUP(C238,[4]report!$A$2:$R$257,2,FALSE)</f>
        <v>7090007F</v>
      </c>
      <c r="F238" s="12">
        <f>VLOOKUP(C238,[4]report!$A$2:$R$257,5,FALSE)</f>
        <v>4120176660</v>
      </c>
      <c r="G238" s="12" t="str">
        <f>VLOOKUP(C238,[4]report!$A$2:$R$257,8,FALSE)</f>
        <v>Kota Makassar - Kota Palopo</v>
      </c>
      <c r="H238" s="12" t="str">
        <f>VLOOKUP(C238,[4]report!$A$2:$R$257,9,FALSE)</f>
        <v>15/07/2025 - 18/07/2025</v>
      </c>
      <c r="I238" s="13">
        <f>VLOOKUP(C238,[4]report!$A$2:$R$257,18,FALSE)</f>
        <v>1615000</v>
      </c>
      <c r="J238" s="19"/>
    </row>
    <row r="239" spans="2:10" ht="21" customHeight="1" x14ac:dyDescent="0.25">
      <c r="B239" s="7">
        <v>234</v>
      </c>
      <c r="C239" s="52">
        <v>1270000718</v>
      </c>
      <c r="D239" s="12" t="str">
        <f>VLOOKUP(C239,[4]report!$A$2:$R$257,3,FALSE)</f>
        <v>FAISAL KAMARUDDIN</v>
      </c>
      <c r="E239" s="12" t="str">
        <f>VLOOKUP(C239,[4]report!$A$2:$R$257,2,FALSE)</f>
        <v>88112349Z</v>
      </c>
      <c r="F239" s="12">
        <f>VLOOKUP(C239,[4]report!$A$2:$R$257,5,FALSE)</f>
        <v>4120176657</v>
      </c>
      <c r="G239" s="12" t="str">
        <f>VLOOKUP(C239,[4]report!$A$2:$R$257,8,FALSE)</f>
        <v>Kab. Pinrang - Kota Makassar</v>
      </c>
      <c r="H239" s="12" t="str">
        <f>VLOOKUP(C239,[4]report!$A$2:$R$257,9,FALSE)</f>
        <v>17/07/2025 - 18/07/2025</v>
      </c>
      <c r="I239" s="13">
        <f>VLOOKUP(C239,[4]report!$A$2:$R$257,18,FALSE)</f>
        <v>628625</v>
      </c>
      <c r="J239" s="21"/>
    </row>
    <row r="240" spans="2:10" ht="21" customHeight="1" x14ac:dyDescent="0.25">
      <c r="B240" s="7">
        <v>235</v>
      </c>
      <c r="C240" s="52">
        <v>1270037811</v>
      </c>
      <c r="D240" s="12" t="str">
        <f>VLOOKUP(C240,[4]report!$A$2:$R$257,3,FALSE)</f>
        <v>MUH. RENALDI</v>
      </c>
      <c r="E240" s="12" t="str">
        <f>VLOOKUP(C240,[4]report!$A$2:$R$257,2,FALSE)</f>
        <v>9009030F</v>
      </c>
      <c r="F240" s="12">
        <f>VLOOKUP(C240,[4]report!$A$2:$R$257,5,FALSE)</f>
        <v>4120176669</v>
      </c>
      <c r="G240" s="12" t="str">
        <f>VLOOKUP(C240,[4]report!$A$2:$R$257,8,FALSE)</f>
        <v>Kab. Mamuju - Kota Makassar</v>
      </c>
      <c r="H240" s="12" t="str">
        <f>VLOOKUP(C240,[4]report!$A$2:$R$257,9,FALSE)</f>
        <v>16/07/2025 - 18/07/2025</v>
      </c>
      <c r="I240" s="13">
        <f>VLOOKUP(C240,[4]report!$A$2:$R$257,18,FALSE)</f>
        <v>758625</v>
      </c>
      <c r="J240" s="22"/>
    </row>
    <row r="241" spans="2:10" ht="21" customHeight="1" x14ac:dyDescent="0.25">
      <c r="B241" s="7">
        <v>236</v>
      </c>
      <c r="C241" s="52">
        <v>1269939144</v>
      </c>
      <c r="D241" s="12" t="str">
        <f>VLOOKUP(C241,[4]report!$A$2:$R$257,3,FALSE)</f>
        <v>HADHI BAGUS SETYANTO</v>
      </c>
      <c r="E241" s="12" t="str">
        <f>VLOOKUP(C241,[4]report!$A$2:$R$257,2,FALSE)</f>
        <v>8711130Z</v>
      </c>
      <c r="F241" s="12">
        <f>VLOOKUP(C241,[4]report!$A$2:$R$257,5,FALSE)</f>
        <v>4120176652</v>
      </c>
      <c r="G241" s="12" t="str">
        <f>VLOOKUP(C241,[4]report!$A$2:$R$257,8,FALSE)</f>
        <v>Kota Makassar - Kota Semarang</v>
      </c>
      <c r="H241" s="12" t="str">
        <f>VLOOKUP(C241,[4]report!$A$2:$R$257,9,FALSE)</f>
        <v>15/07/2025 - 19/07/2025</v>
      </c>
      <c r="I241" s="13">
        <f>VLOOKUP(C241,[4]report!$A$2:$R$257,18,FALSE)</f>
        <v>760808</v>
      </c>
      <c r="J241" s="22"/>
    </row>
    <row r="242" spans="2:10" ht="21" customHeight="1" x14ac:dyDescent="0.25">
      <c r="B242" s="7">
        <v>237</v>
      </c>
      <c r="C242" s="53">
        <v>1269941303</v>
      </c>
      <c r="D242" s="12" t="str">
        <f>VLOOKUP(C242,[4]report!$A$2:$R$257,3,FALSE)</f>
        <v xml:space="preserve">WAHIDAH </v>
      </c>
      <c r="E242" s="12" t="str">
        <f>VLOOKUP(C242,[4]report!$A$2:$R$257,2,FALSE)</f>
        <v>8309182Z</v>
      </c>
      <c r="F242" s="12">
        <f>VLOOKUP(C242,[4]report!$A$2:$R$257,5,FALSE)</f>
        <v>4120176679</v>
      </c>
      <c r="G242" s="12" t="str">
        <f>VLOOKUP(C242,[4]report!$A$2:$R$257,8,FALSE)</f>
        <v>Kota Makassar - Jakarta Selatan</v>
      </c>
      <c r="H242" s="12" t="str">
        <f>VLOOKUP(C242,[4]report!$A$2:$R$257,9,FALSE)</f>
        <v>16/07/2025 - 19/07/2025</v>
      </c>
      <c r="I242" s="13">
        <f>VLOOKUP(C242,[4]report!$A$2:$R$257,18,FALSE)</f>
        <v>882961</v>
      </c>
      <c r="J242" s="19"/>
    </row>
    <row r="243" spans="2:10" ht="21" customHeight="1" x14ac:dyDescent="0.25">
      <c r="B243" s="7">
        <v>238</v>
      </c>
      <c r="C243" s="53">
        <v>1270070733</v>
      </c>
      <c r="D243" s="12" t="str">
        <f>VLOOKUP(C243,[4]report!$A$2:$R$257,3,FALSE)</f>
        <v>AFRIANTO KURNIAWAN</v>
      </c>
      <c r="E243" s="12" t="str">
        <f>VLOOKUP(C243,[4]report!$A$2:$R$257,2,FALSE)</f>
        <v>94163868ZY</v>
      </c>
      <c r="F243" s="12">
        <f>VLOOKUP(C243,[4]report!$A$2:$R$257,5,FALSE)</f>
        <v>4120176684</v>
      </c>
      <c r="G243" s="12" t="str">
        <f>VLOOKUP(C243,[4]report!$A$2:$R$257,8,FALSE)</f>
        <v>Kota Makassar - Kota Yogyakarta</v>
      </c>
      <c r="H243" s="12" t="str">
        <f>VLOOKUP(C243,[4]report!$A$2:$R$257,9,FALSE)</f>
        <v>16/07/2025 - 18/07/2025</v>
      </c>
      <c r="I243" s="13">
        <f>VLOOKUP(C243,[4]report!$A$2:$R$257,18,FALSE)</f>
        <v>1206900</v>
      </c>
      <c r="J243" s="22"/>
    </row>
    <row r="244" spans="2:10" ht="21" customHeight="1" x14ac:dyDescent="0.25">
      <c r="B244" s="7">
        <v>239</v>
      </c>
      <c r="C244" s="53">
        <v>1269982233</v>
      </c>
      <c r="D244" s="12" t="str">
        <f>VLOOKUP(C244,[4]report!$A$2:$R$257,3,FALSE)</f>
        <v>MUHAMMAD IQBAAL MS</v>
      </c>
      <c r="E244" s="12" t="str">
        <f>VLOOKUP(C244,[4]report!$A$2:$R$257,2,FALSE)</f>
        <v>94171599ZY</v>
      </c>
      <c r="F244" s="12">
        <f>VLOOKUP(C244,[4]report!$A$2:$R$257,5,FALSE)</f>
        <v>4120176705</v>
      </c>
      <c r="G244" s="12" t="str">
        <f>VLOOKUP(C244,[4]report!$A$2:$R$257,8,FALSE)</f>
        <v>Kota Baubau - Kota Makassar</v>
      </c>
      <c r="H244" s="12" t="str">
        <f>VLOOKUP(C244,[4]report!$A$2:$R$257,9,FALSE)</f>
        <v>23/07/2025 - 26/07/2025</v>
      </c>
      <c r="I244" s="13">
        <f>VLOOKUP(C244,[4]report!$A$2:$R$257,18,FALSE)</f>
        <v>1630700</v>
      </c>
      <c r="J244" s="15"/>
    </row>
    <row r="245" spans="2:10" ht="21" customHeight="1" x14ac:dyDescent="0.25">
      <c r="B245" s="7">
        <v>240</v>
      </c>
      <c r="C245" s="52">
        <v>1270037737</v>
      </c>
      <c r="D245" s="12" t="str">
        <f>VLOOKUP(C245,[4]report!$A$2:$R$257,3,FALSE)</f>
        <v>MUHAMMAD LUTHFIL HADI SURYADI</v>
      </c>
      <c r="E245" s="12" t="str">
        <f>VLOOKUP(C245,[4]report!$A$2:$R$257,2,FALSE)</f>
        <v>94171287ZY</v>
      </c>
      <c r="F245" s="12">
        <f>VLOOKUP(C245,[4]report!$A$2:$R$257,5,FALSE)</f>
        <v>4120176658</v>
      </c>
      <c r="G245" s="12" t="str">
        <f>VLOOKUP(C245,[4]report!$A$2:$R$257,8,FALSE)</f>
        <v>Kota Makassar - Jakarta Selatan</v>
      </c>
      <c r="H245" s="12" t="str">
        <f>VLOOKUP(C245,[4]report!$A$2:$R$257,9,FALSE)</f>
        <v>16/07/2025 - 18/07/2025</v>
      </c>
      <c r="I245" s="13">
        <f>VLOOKUP(C245,[4]report!$A$2:$R$257,18,FALSE)</f>
        <v>2276500</v>
      </c>
      <c r="J245" s="22"/>
    </row>
    <row r="246" spans="2:10" ht="21" customHeight="1" x14ac:dyDescent="0.25">
      <c r="B246" s="7">
        <v>241</v>
      </c>
      <c r="C246" s="52">
        <v>1269981141</v>
      </c>
      <c r="D246" s="12" t="str">
        <f>VLOOKUP(C246,[4]report!$A$2:$R$257,3,FALSE)</f>
        <v>MUHAMMAD IQBAAL MS</v>
      </c>
      <c r="E246" s="12" t="str">
        <f>VLOOKUP(C246,[4]report!$A$2:$R$257,2,FALSE)</f>
        <v>94171599ZY</v>
      </c>
      <c r="F246" s="12">
        <f>VLOOKUP(C246,[4]report!$A$2:$R$257,5,FALSE)</f>
        <v>4120176705</v>
      </c>
      <c r="G246" s="12" t="str">
        <f>VLOOKUP(C246,[4]report!$A$2:$R$257,8,FALSE)</f>
        <v>Kota Baubau - Kota Makassar</v>
      </c>
      <c r="H246" s="12" t="str">
        <f>VLOOKUP(C246,[4]report!$A$2:$R$257,9,FALSE)</f>
        <v>23/07/2025 - 26/07/2025</v>
      </c>
      <c r="I246" s="13">
        <f>VLOOKUP(C246,[4]report!$A$2:$R$257,18,FALSE)</f>
        <v>2311100</v>
      </c>
      <c r="J246" s="15"/>
    </row>
    <row r="247" spans="2:10" ht="21" hidden="1" customHeight="1" x14ac:dyDescent="0.25">
      <c r="B247" s="7">
        <v>245</v>
      </c>
      <c r="C247" s="54"/>
      <c r="D247" s="12"/>
      <c r="E247" s="12"/>
      <c r="F247" s="12"/>
      <c r="G247" s="12"/>
      <c r="H247" s="12"/>
      <c r="I247" s="32"/>
      <c r="J247" s="22"/>
    </row>
    <row r="248" spans="2:10" ht="21" hidden="1" customHeight="1" x14ac:dyDescent="0.25">
      <c r="B248" s="7">
        <v>246</v>
      </c>
      <c r="C248" s="54"/>
      <c r="D248" s="12"/>
      <c r="E248" s="12"/>
      <c r="F248" s="12"/>
      <c r="G248" s="12"/>
      <c r="H248" s="12"/>
      <c r="I248" s="32"/>
      <c r="J248" s="22"/>
    </row>
    <row r="249" spans="2:10" ht="21" hidden="1" customHeight="1" x14ac:dyDescent="0.25">
      <c r="B249" s="7">
        <v>247</v>
      </c>
      <c r="C249" s="54"/>
      <c r="D249" s="12"/>
      <c r="E249" s="12"/>
      <c r="F249" s="12"/>
      <c r="G249" s="12"/>
      <c r="H249" s="12"/>
      <c r="I249" s="32"/>
      <c r="J249" s="22"/>
    </row>
    <row r="250" spans="2:10" ht="21" hidden="1" customHeight="1" x14ac:dyDescent="0.25">
      <c r="B250" s="7">
        <v>250</v>
      </c>
      <c r="C250" s="54"/>
      <c r="D250" s="12"/>
      <c r="E250" s="12"/>
      <c r="F250" s="12"/>
      <c r="G250" s="12"/>
      <c r="H250" s="12"/>
      <c r="I250" s="32"/>
      <c r="J250" s="22"/>
    </row>
    <row r="251" spans="2:10" ht="21" hidden="1" customHeight="1" x14ac:dyDescent="0.25">
      <c r="B251" s="7">
        <v>251</v>
      </c>
      <c r="C251" s="54"/>
      <c r="D251" s="12"/>
      <c r="E251" s="12"/>
      <c r="F251" s="12"/>
      <c r="G251" s="12"/>
      <c r="H251" s="12"/>
      <c r="I251" s="32"/>
      <c r="J251" s="22"/>
    </row>
    <row r="252" spans="2:10" ht="21" hidden="1" customHeight="1" x14ac:dyDescent="0.25">
      <c r="B252" s="7">
        <v>252</v>
      </c>
      <c r="C252" s="54"/>
      <c r="D252" s="12"/>
      <c r="E252" s="12"/>
      <c r="F252" s="12"/>
      <c r="G252" s="12"/>
      <c r="H252" s="12"/>
      <c r="I252" s="32"/>
      <c r="J252" s="22"/>
    </row>
    <row r="253" spans="2:10" ht="21" hidden="1" customHeight="1" x14ac:dyDescent="0.25">
      <c r="B253" s="7">
        <v>253</v>
      </c>
      <c r="C253" s="54"/>
      <c r="D253" s="12"/>
      <c r="E253" s="12"/>
      <c r="F253" s="12"/>
      <c r="G253" s="12"/>
      <c r="H253" s="12"/>
      <c r="I253" s="32"/>
      <c r="J253" s="22"/>
    </row>
    <row r="254" spans="2:10" ht="21" hidden="1" customHeight="1" x14ac:dyDescent="0.25">
      <c r="B254" s="7">
        <v>254</v>
      </c>
      <c r="C254" s="54"/>
      <c r="D254" s="12"/>
      <c r="E254" s="12"/>
      <c r="F254" s="12"/>
      <c r="G254" s="12"/>
      <c r="H254" s="12"/>
      <c r="I254" s="32"/>
      <c r="J254" s="22"/>
    </row>
    <row r="255" spans="2:10" ht="21" hidden="1" customHeight="1" x14ac:dyDescent="0.25">
      <c r="B255" s="7">
        <v>255</v>
      </c>
      <c r="C255" s="54"/>
      <c r="D255" s="12"/>
      <c r="E255" s="12"/>
      <c r="F255" s="12"/>
      <c r="G255" s="12"/>
      <c r="H255" s="12"/>
      <c r="I255" s="32"/>
      <c r="J255" s="22"/>
    </row>
    <row r="256" spans="2:10" ht="21" hidden="1" customHeight="1" x14ac:dyDescent="0.25">
      <c r="B256" s="7">
        <v>256</v>
      </c>
      <c r="C256" s="54"/>
      <c r="D256" s="12"/>
      <c r="E256" s="12"/>
      <c r="F256" s="12"/>
      <c r="G256" s="12"/>
      <c r="H256" s="12"/>
      <c r="I256" s="32"/>
      <c r="J256" s="22"/>
    </row>
    <row r="257" spans="2:10" ht="21" hidden="1" customHeight="1" x14ac:dyDescent="0.25">
      <c r="B257" s="7">
        <v>258</v>
      </c>
      <c r="C257" s="54"/>
      <c r="D257" s="12"/>
      <c r="E257" s="12"/>
      <c r="F257" s="12"/>
      <c r="G257" s="12"/>
      <c r="H257" s="12"/>
      <c r="I257" s="32"/>
      <c r="J257" s="22"/>
    </row>
    <row r="258" spans="2:10" ht="21" hidden="1" customHeight="1" x14ac:dyDescent="0.25">
      <c r="B258" s="7">
        <v>259</v>
      </c>
      <c r="C258" s="54"/>
      <c r="D258" s="12"/>
      <c r="E258" s="12"/>
      <c r="F258" s="12"/>
      <c r="G258" s="12"/>
      <c r="H258" s="12"/>
      <c r="I258" s="32"/>
      <c r="J258" s="22"/>
    </row>
    <row r="259" spans="2:10" ht="21" hidden="1" customHeight="1" x14ac:dyDescent="0.25">
      <c r="B259" s="7">
        <v>260</v>
      </c>
      <c r="C259" s="54"/>
      <c r="D259" s="12"/>
      <c r="E259" s="12"/>
      <c r="F259" s="12"/>
      <c r="G259" s="12"/>
      <c r="H259" s="12"/>
      <c r="I259" s="32"/>
      <c r="J259" s="22"/>
    </row>
    <row r="260" spans="2:10" ht="21" hidden="1" customHeight="1" x14ac:dyDescent="0.25">
      <c r="B260" s="7">
        <v>261</v>
      </c>
      <c r="C260" s="54"/>
      <c r="D260" s="12"/>
      <c r="E260" s="12"/>
      <c r="F260" s="12"/>
      <c r="G260" s="12"/>
      <c r="H260" s="12"/>
      <c r="I260" s="32"/>
      <c r="J260" s="15"/>
    </row>
    <row r="261" spans="2:10" ht="21" hidden="1" customHeight="1" x14ac:dyDescent="0.25">
      <c r="B261" s="7">
        <v>262</v>
      </c>
      <c r="C261" s="54"/>
      <c r="D261" s="12"/>
      <c r="E261" s="12"/>
      <c r="F261" s="12"/>
      <c r="G261" s="12"/>
      <c r="H261" s="12"/>
      <c r="I261" s="32"/>
      <c r="J261" s="22"/>
    </row>
    <row r="262" spans="2:10" ht="21" hidden="1" customHeight="1" x14ac:dyDescent="0.25">
      <c r="B262" s="7">
        <v>263</v>
      </c>
      <c r="C262" s="54"/>
      <c r="D262" s="12"/>
      <c r="E262" s="12"/>
      <c r="F262" s="12"/>
      <c r="G262" s="12"/>
      <c r="H262" s="12"/>
      <c r="I262" s="32"/>
      <c r="J262" s="22"/>
    </row>
    <row r="263" spans="2:10" ht="21" hidden="1" customHeight="1" x14ac:dyDescent="0.25">
      <c r="B263" s="7">
        <v>264</v>
      </c>
      <c r="C263" s="54"/>
      <c r="D263" s="12"/>
      <c r="E263" s="12"/>
      <c r="F263" s="12"/>
      <c r="G263" s="12"/>
      <c r="H263" s="12"/>
      <c r="I263" s="32"/>
      <c r="J263" s="22"/>
    </row>
    <row r="264" spans="2:10" ht="21" hidden="1" customHeight="1" x14ac:dyDescent="0.25">
      <c r="B264" s="7">
        <v>265</v>
      </c>
      <c r="C264" s="54"/>
      <c r="D264" s="12"/>
      <c r="E264" s="12"/>
      <c r="F264" s="12"/>
      <c r="G264" s="12"/>
      <c r="H264" s="12"/>
      <c r="I264" s="32"/>
      <c r="J264" s="22"/>
    </row>
    <row r="265" spans="2:10" ht="21" hidden="1" customHeight="1" x14ac:dyDescent="0.25">
      <c r="B265" s="7">
        <v>266</v>
      </c>
      <c r="C265" s="54"/>
      <c r="D265" s="12"/>
      <c r="E265" s="12"/>
      <c r="F265" s="12"/>
      <c r="G265" s="12"/>
      <c r="H265" s="12"/>
      <c r="I265" s="32"/>
      <c r="J265" s="22"/>
    </row>
    <row r="266" spans="2:10" ht="21" hidden="1" customHeight="1" x14ac:dyDescent="0.25">
      <c r="B266" s="7">
        <v>267</v>
      </c>
      <c r="C266" s="54"/>
      <c r="D266" s="12"/>
      <c r="E266" s="12"/>
      <c r="F266" s="12"/>
      <c r="G266" s="12"/>
      <c r="H266" s="12"/>
      <c r="I266" s="32"/>
      <c r="J266" s="22"/>
    </row>
    <row r="267" spans="2:10" ht="21" hidden="1" customHeight="1" x14ac:dyDescent="0.25">
      <c r="B267" s="7">
        <v>268</v>
      </c>
      <c r="C267" s="54"/>
      <c r="D267" s="12"/>
      <c r="E267" s="12"/>
      <c r="F267" s="12"/>
      <c r="G267" s="12"/>
      <c r="H267" s="12"/>
      <c r="I267" s="32"/>
      <c r="J267" s="22"/>
    </row>
    <row r="268" spans="2:10" ht="21" hidden="1" customHeight="1" x14ac:dyDescent="0.25">
      <c r="B268" s="7">
        <v>269</v>
      </c>
      <c r="C268" s="54"/>
      <c r="D268" s="12"/>
      <c r="E268" s="12"/>
      <c r="F268" s="12"/>
      <c r="G268" s="12"/>
      <c r="H268" s="12"/>
      <c r="I268" s="32"/>
      <c r="J268" s="22"/>
    </row>
    <row r="269" spans="2:10" ht="21" hidden="1" customHeight="1" x14ac:dyDescent="0.25">
      <c r="B269" s="7">
        <v>270</v>
      </c>
      <c r="C269" s="54"/>
      <c r="D269" s="12"/>
      <c r="E269" s="12"/>
      <c r="F269" s="12"/>
      <c r="G269" s="12"/>
      <c r="H269" s="12"/>
      <c r="I269" s="32"/>
      <c r="J269" s="22"/>
    </row>
    <row r="270" spans="2:10" ht="21" hidden="1" customHeight="1" x14ac:dyDescent="0.25">
      <c r="B270" s="7">
        <v>271</v>
      </c>
      <c r="C270" s="54"/>
      <c r="D270" s="12"/>
      <c r="E270" s="12"/>
      <c r="F270" s="12"/>
      <c r="G270" s="12"/>
      <c r="H270" s="12"/>
      <c r="I270" s="32"/>
      <c r="J270" s="22"/>
    </row>
    <row r="271" spans="2:10" ht="21" hidden="1" customHeight="1" x14ac:dyDescent="0.25">
      <c r="B271" s="7">
        <v>272</v>
      </c>
      <c r="C271" s="54"/>
      <c r="D271" s="12"/>
      <c r="E271" s="12"/>
      <c r="F271" s="12"/>
      <c r="G271" s="12"/>
      <c r="H271" s="12"/>
      <c r="I271" s="32"/>
      <c r="J271" s="22"/>
    </row>
    <row r="272" spans="2:10" ht="21" hidden="1" customHeight="1" x14ac:dyDescent="0.25">
      <c r="B272" s="7">
        <v>273</v>
      </c>
      <c r="C272" s="54"/>
      <c r="D272" s="12"/>
      <c r="E272" s="12"/>
      <c r="F272" s="12"/>
      <c r="G272" s="12"/>
      <c r="H272" s="12"/>
      <c r="I272" s="32"/>
      <c r="J272" s="22"/>
    </row>
    <row r="273" spans="2:10" ht="21" hidden="1" customHeight="1" x14ac:dyDescent="0.25">
      <c r="B273" s="7">
        <v>274</v>
      </c>
      <c r="C273" s="54"/>
      <c r="D273" s="12"/>
      <c r="E273" s="12"/>
      <c r="F273" s="12"/>
      <c r="G273" s="12"/>
      <c r="H273" s="12"/>
      <c r="I273" s="32"/>
      <c r="J273" s="22"/>
    </row>
    <row r="274" spans="2:10" ht="21" hidden="1" customHeight="1" x14ac:dyDescent="0.25">
      <c r="B274" s="7">
        <v>275</v>
      </c>
      <c r="C274" s="54"/>
      <c r="D274" s="12"/>
      <c r="E274" s="12"/>
      <c r="F274" s="12"/>
      <c r="G274" s="12"/>
      <c r="H274" s="12"/>
      <c r="I274" s="32"/>
      <c r="J274" s="22"/>
    </row>
    <row r="275" spans="2:10" ht="21" hidden="1" customHeight="1" x14ac:dyDescent="0.25">
      <c r="B275" s="7">
        <v>276</v>
      </c>
      <c r="C275" s="54"/>
      <c r="D275" s="12"/>
      <c r="E275" s="12"/>
      <c r="F275" s="12"/>
      <c r="G275" s="12"/>
      <c r="H275" s="12"/>
      <c r="I275" s="32"/>
      <c r="J275" s="22"/>
    </row>
    <row r="276" spans="2:10" ht="21" hidden="1" customHeight="1" x14ac:dyDescent="0.25">
      <c r="B276" s="7">
        <v>277</v>
      </c>
      <c r="C276" s="54"/>
      <c r="D276" s="12"/>
      <c r="E276" s="12"/>
      <c r="F276" s="12"/>
      <c r="G276" s="12"/>
      <c r="H276" s="12"/>
      <c r="I276" s="32"/>
      <c r="J276" s="22"/>
    </row>
    <row r="277" spans="2:10" ht="21" hidden="1" customHeight="1" x14ac:dyDescent="0.25">
      <c r="B277" s="7">
        <v>278</v>
      </c>
      <c r="C277" s="54"/>
      <c r="D277" s="12"/>
      <c r="E277" s="12"/>
      <c r="F277" s="12"/>
      <c r="G277" s="12"/>
      <c r="H277" s="12"/>
      <c r="I277" s="32"/>
      <c r="J277" s="22"/>
    </row>
    <row r="278" spans="2:10" ht="21" hidden="1" customHeight="1" x14ac:dyDescent="0.25">
      <c r="B278" s="7">
        <v>279</v>
      </c>
      <c r="C278" s="54"/>
      <c r="D278" s="12"/>
      <c r="E278" s="12"/>
      <c r="F278" s="12"/>
      <c r="G278" s="12"/>
      <c r="H278" s="12"/>
      <c r="I278" s="32"/>
      <c r="J278" s="22"/>
    </row>
    <row r="279" spans="2:10" ht="21" hidden="1" customHeight="1" x14ac:dyDescent="0.25">
      <c r="B279" s="7">
        <v>280</v>
      </c>
      <c r="C279" s="54"/>
      <c r="D279" s="12"/>
      <c r="E279" s="12"/>
      <c r="F279" s="12"/>
      <c r="G279" s="12"/>
      <c r="H279" s="12"/>
      <c r="I279" s="32"/>
      <c r="J279" s="22"/>
    </row>
    <row r="280" spans="2:10" ht="21" hidden="1" customHeight="1" x14ac:dyDescent="0.25">
      <c r="B280" s="7">
        <v>281</v>
      </c>
      <c r="C280" s="54"/>
      <c r="D280" s="12"/>
      <c r="E280" s="12"/>
      <c r="F280" s="12"/>
      <c r="G280" s="12"/>
      <c r="H280" s="12"/>
      <c r="I280" s="32"/>
      <c r="J280" s="22"/>
    </row>
    <row r="281" spans="2:10" ht="21" hidden="1" customHeight="1" x14ac:dyDescent="0.25">
      <c r="B281" s="7">
        <v>282</v>
      </c>
      <c r="C281" s="54"/>
      <c r="D281" s="12"/>
      <c r="E281" s="12"/>
      <c r="F281" s="12"/>
      <c r="G281" s="12"/>
      <c r="H281" s="12"/>
      <c r="I281" s="32"/>
      <c r="J281" s="22"/>
    </row>
    <row r="282" spans="2:10" ht="21" hidden="1" customHeight="1" x14ac:dyDescent="0.25">
      <c r="B282" s="7">
        <v>283</v>
      </c>
      <c r="C282" s="54"/>
      <c r="D282" s="12"/>
      <c r="E282" s="12"/>
      <c r="F282" s="12"/>
      <c r="G282" s="12"/>
      <c r="H282" s="12"/>
      <c r="I282" s="32"/>
      <c r="J282" s="22"/>
    </row>
    <row r="283" spans="2:10" ht="21" hidden="1" customHeight="1" x14ac:dyDescent="0.25">
      <c r="B283" s="7">
        <v>284</v>
      </c>
      <c r="C283" s="54"/>
      <c r="D283" s="12"/>
      <c r="E283" s="12"/>
      <c r="F283" s="12"/>
      <c r="G283" s="12"/>
      <c r="H283" s="12"/>
      <c r="I283" s="32"/>
      <c r="J283" s="22"/>
    </row>
    <row r="284" spans="2:10" ht="21" hidden="1" customHeight="1" x14ac:dyDescent="0.25">
      <c r="B284" s="7">
        <v>285</v>
      </c>
      <c r="C284" s="54"/>
      <c r="D284" s="12"/>
      <c r="E284" s="12"/>
      <c r="F284" s="12"/>
      <c r="G284" s="12"/>
      <c r="H284" s="12"/>
      <c r="I284" s="32"/>
      <c r="J284" s="22"/>
    </row>
    <row r="285" spans="2:10" ht="21" hidden="1" customHeight="1" x14ac:dyDescent="0.25">
      <c r="B285" s="7">
        <v>286</v>
      </c>
      <c r="C285" s="54"/>
      <c r="D285" s="12"/>
      <c r="E285" s="12"/>
      <c r="F285" s="12"/>
      <c r="G285" s="12"/>
      <c r="H285" s="12"/>
      <c r="I285" s="32"/>
      <c r="J285" s="22"/>
    </row>
    <row r="286" spans="2:10" ht="21" hidden="1" customHeight="1" x14ac:dyDescent="0.25">
      <c r="B286" s="7">
        <v>287</v>
      </c>
      <c r="C286" s="54"/>
      <c r="D286" s="12"/>
      <c r="E286" s="12"/>
      <c r="F286" s="12"/>
      <c r="G286" s="12"/>
      <c r="H286" s="12"/>
      <c r="I286" s="32"/>
      <c r="J286" s="22"/>
    </row>
    <row r="287" spans="2:10" ht="21" hidden="1" customHeight="1" x14ac:dyDescent="0.25">
      <c r="B287" s="7">
        <v>288</v>
      </c>
      <c r="C287" s="54"/>
      <c r="D287" s="12"/>
      <c r="E287" s="12"/>
      <c r="F287" s="12"/>
      <c r="G287" s="12"/>
      <c r="H287" s="12"/>
      <c r="I287" s="32"/>
      <c r="J287" s="22"/>
    </row>
    <row r="288" spans="2:10" ht="21" hidden="1" customHeight="1" x14ac:dyDescent="0.25">
      <c r="B288" s="7">
        <v>289</v>
      </c>
      <c r="C288" s="54"/>
      <c r="D288" s="12"/>
      <c r="E288" s="12"/>
      <c r="F288" s="12"/>
      <c r="G288" s="12"/>
      <c r="H288" s="12"/>
      <c r="I288" s="32"/>
      <c r="J288" s="22"/>
    </row>
    <row r="289" spans="2:12" ht="21" hidden="1" customHeight="1" x14ac:dyDescent="0.25">
      <c r="B289" s="55">
        <v>290</v>
      </c>
      <c r="C289" s="54"/>
      <c r="D289" s="12"/>
      <c r="E289" s="12"/>
      <c r="F289" s="12"/>
      <c r="G289" s="12"/>
      <c r="H289" s="12"/>
      <c r="I289" s="32"/>
      <c r="J289" s="22"/>
    </row>
    <row r="290" spans="2:12" ht="21" hidden="1" customHeight="1" x14ac:dyDescent="0.25">
      <c r="B290" s="55">
        <v>291</v>
      </c>
      <c r="C290" s="54"/>
      <c r="D290" s="12"/>
      <c r="E290" s="12"/>
      <c r="F290" s="12"/>
      <c r="G290" s="12"/>
      <c r="H290" s="12"/>
      <c r="I290" s="32"/>
      <c r="J290" s="22"/>
    </row>
    <row r="291" spans="2:12" ht="21" hidden="1" customHeight="1" x14ac:dyDescent="0.25">
      <c r="B291" s="55">
        <v>292</v>
      </c>
      <c r="C291" s="54"/>
      <c r="D291" s="12"/>
      <c r="E291" s="12"/>
      <c r="F291" s="12"/>
      <c r="G291" s="12"/>
      <c r="H291" s="12"/>
      <c r="I291" s="32"/>
      <c r="J291" s="22"/>
    </row>
    <row r="292" spans="2:12" ht="21" hidden="1" customHeight="1" x14ac:dyDescent="0.25">
      <c r="B292" s="55">
        <v>293</v>
      </c>
      <c r="C292" s="54"/>
      <c r="D292" s="12"/>
      <c r="E292" s="12"/>
      <c r="F292" s="12"/>
      <c r="G292" s="12"/>
      <c r="H292" s="12"/>
      <c r="I292" s="32"/>
      <c r="J292" s="22"/>
    </row>
    <row r="293" spans="2:12" ht="21" hidden="1" customHeight="1" x14ac:dyDescent="0.25">
      <c r="B293" s="55">
        <v>294</v>
      </c>
      <c r="C293" s="54"/>
      <c r="D293" s="12"/>
      <c r="E293" s="12"/>
      <c r="F293" s="12"/>
      <c r="G293" s="12"/>
      <c r="H293" s="12"/>
      <c r="I293" s="32"/>
      <c r="J293" s="22"/>
    </row>
    <row r="294" spans="2:12" ht="21" hidden="1" customHeight="1" x14ac:dyDescent="0.25">
      <c r="B294" s="55">
        <v>295</v>
      </c>
      <c r="C294" s="54"/>
      <c r="D294" s="12"/>
      <c r="E294" s="12"/>
      <c r="F294" s="12"/>
      <c r="G294" s="12"/>
      <c r="H294" s="12"/>
      <c r="I294" s="32"/>
      <c r="J294" s="22"/>
    </row>
    <row r="295" spans="2:12" ht="21" hidden="1" customHeight="1" x14ac:dyDescent="0.25">
      <c r="B295" s="55">
        <v>296</v>
      </c>
      <c r="C295" s="54"/>
      <c r="D295" s="12"/>
      <c r="E295" s="12"/>
      <c r="F295" s="12"/>
      <c r="G295" s="12"/>
      <c r="H295" s="12"/>
      <c r="I295" s="32"/>
      <c r="J295" s="22"/>
    </row>
    <row r="296" spans="2:12" ht="21" hidden="1" customHeight="1" x14ac:dyDescent="0.25">
      <c r="B296" s="55">
        <v>297</v>
      </c>
      <c r="C296" s="54"/>
      <c r="D296" s="12"/>
      <c r="E296" s="12"/>
      <c r="F296" s="12"/>
      <c r="G296" s="12"/>
      <c r="H296" s="12"/>
      <c r="I296" s="32"/>
      <c r="J296" s="22"/>
    </row>
    <row r="297" spans="2:12" ht="21" hidden="1" customHeight="1" x14ac:dyDescent="0.25">
      <c r="B297" s="55">
        <v>298</v>
      </c>
      <c r="C297" s="56"/>
      <c r="D297" s="12"/>
      <c r="E297" s="12"/>
      <c r="F297" s="12"/>
      <c r="G297" s="12"/>
      <c r="H297" s="12"/>
      <c r="I297" s="32"/>
      <c r="J297" s="17"/>
    </row>
    <row r="298" spans="2:12" ht="21" hidden="1" customHeight="1" x14ac:dyDescent="0.25">
      <c r="B298" s="7">
        <v>299</v>
      </c>
      <c r="C298" s="54"/>
      <c r="D298" s="12"/>
      <c r="E298" s="12"/>
      <c r="F298" s="12"/>
      <c r="G298" s="12"/>
      <c r="H298" s="12"/>
      <c r="I298" s="32"/>
      <c r="J298" s="19"/>
    </row>
    <row r="299" spans="2:12" s="6" customFormat="1" ht="21" hidden="1" customHeight="1" x14ac:dyDescent="0.25">
      <c r="B299" s="7">
        <v>300</v>
      </c>
      <c r="C299" s="54"/>
      <c r="D299" s="12"/>
      <c r="E299" s="12"/>
      <c r="F299" s="12"/>
      <c r="G299" s="12"/>
      <c r="H299" s="12"/>
      <c r="I299" s="32"/>
      <c r="J299" s="19"/>
      <c r="K299" s="4"/>
      <c r="L299" s="4"/>
    </row>
    <row r="300" spans="2:12" s="6" customFormat="1" ht="21" hidden="1" customHeight="1" x14ac:dyDescent="0.25">
      <c r="B300" s="7">
        <v>301</v>
      </c>
      <c r="C300" s="54"/>
      <c r="D300" s="12"/>
      <c r="E300" s="12"/>
      <c r="F300" s="12"/>
      <c r="G300" s="12"/>
      <c r="H300" s="12"/>
      <c r="I300" s="32"/>
      <c r="J300" s="19"/>
      <c r="K300" s="4"/>
      <c r="L300" s="4"/>
    </row>
    <row r="301" spans="2:12" s="6" customFormat="1" ht="21" hidden="1" customHeight="1" x14ac:dyDescent="0.25">
      <c r="B301" s="7">
        <v>302</v>
      </c>
      <c r="C301" s="54"/>
      <c r="D301" s="12"/>
      <c r="E301" s="12"/>
      <c r="F301" s="12"/>
      <c r="G301" s="12"/>
      <c r="H301" s="12"/>
      <c r="I301" s="32"/>
      <c r="J301" s="19"/>
      <c r="K301" s="4"/>
      <c r="L301" s="4"/>
    </row>
    <row r="302" spans="2:12" s="6" customFormat="1" ht="21" hidden="1" customHeight="1" x14ac:dyDescent="0.25">
      <c r="B302" s="7">
        <v>303</v>
      </c>
      <c r="C302" s="54"/>
      <c r="D302" s="12"/>
      <c r="E302" s="12"/>
      <c r="F302" s="12"/>
      <c r="G302" s="12"/>
      <c r="H302" s="12"/>
      <c r="I302" s="32"/>
      <c r="J302" s="15"/>
      <c r="K302" s="4"/>
      <c r="L302" s="4"/>
    </row>
    <row r="303" spans="2:12" s="6" customFormat="1" ht="21" hidden="1" customHeight="1" x14ac:dyDescent="0.25">
      <c r="B303" s="7">
        <v>304</v>
      </c>
      <c r="C303" s="54"/>
      <c r="D303" s="12"/>
      <c r="E303" s="12"/>
      <c r="F303" s="12"/>
      <c r="G303" s="12"/>
      <c r="H303" s="12"/>
      <c r="I303" s="32"/>
      <c r="J303" s="19"/>
      <c r="K303" s="4"/>
      <c r="L303" s="4"/>
    </row>
    <row r="304" spans="2:12" s="6" customFormat="1" ht="21" hidden="1" customHeight="1" x14ac:dyDescent="0.25">
      <c r="B304" s="7">
        <v>305</v>
      </c>
      <c r="C304" s="54"/>
      <c r="D304" s="12"/>
      <c r="E304" s="12"/>
      <c r="F304" s="12"/>
      <c r="G304" s="12"/>
      <c r="H304" s="12"/>
      <c r="I304" s="32"/>
      <c r="J304" s="19"/>
      <c r="K304" s="4"/>
      <c r="L304" s="4"/>
    </row>
    <row r="305" spans="2:12" s="6" customFormat="1" ht="21" hidden="1" customHeight="1" x14ac:dyDescent="0.25">
      <c r="B305" s="7">
        <v>306</v>
      </c>
      <c r="C305" s="54"/>
      <c r="D305" s="12"/>
      <c r="E305" s="12"/>
      <c r="F305" s="12"/>
      <c r="G305" s="12"/>
      <c r="H305" s="12"/>
      <c r="I305" s="32"/>
      <c r="J305" s="19"/>
      <c r="K305" s="4"/>
      <c r="L305" s="4"/>
    </row>
    <row r="306" spans="2:12" s="6" customFormat="1" ht="21" hidden="1" customHeight="1" x14ac:dyDescent="0.25">
      <c r="B306" s="7">
        <v>307</v>
      </c>
      <c r="C306" s="54"/>
      <c r="D306" s="12"/>
      <c r="E306" s="12"/>
      <c r="F306" s="12"/>
      <c r="G306" s="12"/>
      <c r="H306" s="12"/>
      <c r="I306" s="32"/>
      <c r="J306" s="19"/>
      <c r="K306" s="4"/>
      <c r="L306" s="4"/>
    </row>
    <row r="307" spans="2:12" s="6" customFormat="1" ht="21" hidden="1" customHeight="1" x14ac:dyDescent="0.25">
      <c r="B307" s="7">
        <v>308</v>
      </c>
      <c r="C307" s="54"/>
      <c r="D307" s="12"/>
      <c r="E307" s="12"/>
      <c r="F307" s="12"/>
      <c r="G307" s="12"/>
      <c r="H307" s="12"/>
      <c r="I307" s="32"/>
      <c r="J307" s="19"/>
      <c r="K307" s="4"/>
      <c r="L307" s="4"/>
    </row>
    <row r="308" spans="2:12" s="6" customFormat="1" ht="21" hidden="1" customHeight="1" x14ac:dyDescent="0.25">
      <c r="B308" s="7">
        <v>309</v>
      </c>
      <c r="C308" s="54"/>
      <c r="D308" s="12"/>
      <c r="E308" s="12"/>
      <c r="F308" s="12"/>
      <c r="G308" s="12"/>
      <c r="H308" s="12"/>
      <c r="I308" s="32"/>
      <c r="J308" s="19"/>
      <c r="K308" s="4"/>
      <c r="L308" s="4"/>
    </row>
    <row r="309" spans="2:12" s="6" customFormat="1" ht="21" hidden="1" customHeight="1" x14ac:dyDescent="0.25">
      <c r="B309" s="7">
        <v>310</v>
      </c>
      <c r="C309" s="54"/>
      <c r="D309" s="12"/>
      <c r="E309" s="12"/>
      <c r="F309" s="12"/>
      <c r="G309" s="12"/>
      <c r="H309" s="12"/>
      <c r="I309" s="32"/>
      <c r="J309" s="15"/>
      <c r="K309" s="4"/>
      <c r="L309" s="4"/>
    </row>
    <row r="310" spans="2:12" s="6" customFormat="1" ht="21" hidden="1" customHeight="1" x14ac:dyDescent="0.25">
      <c r="B310" s="7">
        <v>311</v>
      </c>
      <c r="C310" s="54"/>
      <c r="D310" s="12"/>
      <c r="E310" s="12"/>
      <c r="F310" s="12"/>
      <c r="G310" s="12"/>
      <c r="H310" s="12"/>
      <c r="I310" s="32"/>
      <c r="J310" s="38"/>
      <c r="K310" s="4"/>
      <c r="L310" s="4"/>
    </row>
    <row r="311" spans="2:12" s="6" customFormat="1" ht="21" hidden="1" customHeight="1" x14ac:dyDescent="0.25">
      <c r="B311" s="7">
        <v>312</v>
      </c>
      <c r="C311" s="54"/>
      <c r="D311" s="12"/>
      <c r="E311" s="12"/>
      <c r="F311" s="12"/>
      <c r="G311" s="12"/>
      <c r="H311" s="12"/>
      <c r="I311" s="32"/>
      <c r="J311" s="38"/>
      <c r="K311" s="4"/>
      <c r="L311" s="4"/>
    </row>
    <row r="312" spans="2:12" s="6" customFormat="1" ht="21" hidden="1" customHeight="1" x14ac:dyDescent="0.25">
      <c r="B312" s="7">
        <v>313</v>
      </c>
      <c r="C312" s="54"/>
      <c r="D312" s="12"/>
      <c r="E312" s="12"/>
      <c r="F312" s="12"/>
      <c r="G312" s="12"/>
      <c r="H312" s="12"/>
      <c r="I312" s="32"/>
      <c r="J312" s="19"/>
      <c r="K312" s="4"/>
      <c r="L312" s="4"/>
    </row>
    <row r="313" spans="2:12" s="6" customFormat="1" ht="21" hidden="1" customHeight="1" x14ac:dyDescent="0.25">
      <c r="B313" s="7">
        <v>314</v>
      </c>
      <c r="C313" s="54"/>
      <c r="D313" s="12"/>
      <c r="E313" s="12"/>
      <c r="F313" s="12"/>
      <c r="G313" s="12"/>
      <c r="H313" s="12"/>
      <c r="I313" s="32"/>
      <c r="J313" s="19"/>
      <c r="K313" s="4"/>
      <c r="L313" s="4"/>
    </row>
    <row r="314" spans="2:12" s="6" customFormat="1" ht="21" hidden="1" customHeight="1" x14ac:dyDescent="0.25">
      <c r="B314" s="7">
        <v>315</v>
      </c>
      <c r="C314" s="54"/>
      <c r="D314" s="12"/>
      <c r="E314" s="12"/>
      <c r="F314" s="12"/>
      <c r="G314" s="12"/>
      <c r="H314" s="12"/>
      <c r="I314" s="32"/>
      <c r="J314" s="19"/>
      <c r="K314" s="4"/>
      <c r="L314" s="4"/>
    </row>
    <row r="315" spans="2:12" s="6" customFormat="1" ht="21" hidden="1" customHeight="1" x14ac:dyDescent="0.25">
      <c r="B315" s="7">
        <v>316</v>
      </c>
      <c r="C315" s="54"/>
      <c r="D315" s="12"/>
      <c r="E315" s="12"/>
      <c r="F315" s="12"/>
      <c r="G315" s="12"/>
      <c r="H315" s="12"/>
      <c r="I315" s="32"/>
      <c r="J315" s="19"/>
      <c r="K315" s="4"/>
      <c r="L315" s="4"/>
    </row>
    <row r="316" spans="2:12" s="6" customFormat="1" ht="21" hidden="1" customHeight="1" x14ac:dyDescent="0.25">
      <c r="B316" s="7">
        <v>317</v>
      </c>
      <c r="C316" s="54"/>
      <c r="D316" s="12"/>
      <c r="E316" s="12"/>
      <c r="F316" s="12"/>
      <c r="G316" s="12"/>
      <c r="H316" s="12"/>
      <c r="I316" s="32"/>
      <c r="J316" s="19"/>
      <c r="K316" s="4"/>
      <c r="L316" s="4"/>
    </row>
    <row r="317" spans="2:12" s="6" customFormat="1" ht="21" hidden="1" customHeight="1" x14ac:dyDescent="0.25">
      <c r="B317" s="7">
        <v>318</v>
      </c>
      <c r="C317" s="54"/>
      <c r="D317" s="12"/>
      <c r="E317" s="12"/>
      <c r="F317" s="12"/>
      <c r="G317" s="12"/>
      <c r="H317" s="12"/>
      <c r="I317" s="32"/>
      <c r="J317" s="19"/>
      <c r="K317" s="4"/>
      <c r="L317" s="4"/>
    </row>
    <row r="318" spans="2:12" s="6" customFormat="1" ht="21" hidden="1" customHeight="1" x14ac:dyDescent="0.25">
      <c r="B318" s="7">
        <v>319</v>
      </c>
      <c r="C318" s="54"/>
      <c r="D318" s="12"/>
      <c r="E318" s="12"/>
      <c r="F318" s="12"/>
      <c r="G318" s="12"/>
      <c r="H318" s="12"/>
      <c r="I318" s="32"/>
      <c r="J318" s="19"/>
      <c r="K318" s="4"/>
      <c r="L318" s="4"/>
    </row>
    <row r="319" spans="2:12" s="6" customFormat="1" ht="21" hidden="1" customHeight="1" x14ac:dyDescent="0.25">
      <c r="B319" s="7">
        <v>320</v>
      </c>
      <c r="C319" s="54"/>
      <c r="D319" s="12"/>
      <c r="E319" s="12"/>
      <c r="F319" s="12"/>
      <c r="G319" s="12"/>
      <c r="H319" s="12"/>
      <c r="I319" s="32"/>
      <c r="J319" s="19"/>
      <c r="K319" s="4"/>
      <c r="L319" s="4"/>
    </row>
    <row r="320" spans="2:12" s="6" customFormat="1" ht="21" hidden="1" customHeight="1" x14ac:dyDescent="0.25">
      <c r="B320" s="7">
        <v>321</v>
      </c>
      <c r="C320" s="54"/>
      <c r="D320" s="12"/>
      <c r="E320" s="12"/>
      <c r="F320" s="12"/>
      <c r="G320" s="12"/>
      <c r="H320" s="12"/>
      <c r="I320" s="32"/>
      <c r="J320" s="19"/>
      <c r="K320" s="4"/>
      <c r="L320" s="4"/>
    </row>
    <row r="321" spans="2:12" s="6" customFormat="1" ht="21" hidden="1" customHeight="1" x14ac:dyDescent="0.25">
      <c r="B321" s="7">
        <v>322</v>
      </c>
      <c r="C321" s="54"/>
      <c r="D321" s="12"/>
      <c r="E321" s="12"/>
      <c r="F321" s="12"/>
      <c r="G321" s="12"/>
      <c r="H321" s="12"/>
      <c r="I321" s="32"/>
      <c r="J321" s="19"/>
      <c r="K321" s="4"/>
      <c r="L321" s="4"/>
    </row>
    <row r="322" spans="2:12" s="6" customFormat="1" ht="21" hidden="1" customHeight="1" x14ac:dyDescent="0.25">
      <c r="B322" s="7">
        <v>323</v>
      </c>
      <c r="C322" s="56"/>
      <c r="D322" s="12"/>
      <c r="E322" s="12"/>
      <c r="F322" s="12"/>
      <c r="G322" s="12"/>
      <c r="H322" s="12"/>
      <c r="I322" s="32"/>
      <c r="J322" s="20"/>
      <c r="K322" s="4"/>
      <c r="L322" s="4"/>
    </row>
    <row r="323" spans="2:12" s="6" customFormat="1" ht="21" hidden="1" customHeight="1" x14ac:dyDescent="0.25">
      <c r="B323" s="7">
        <v>324</v>
      </c>
      <c r="C323" s="54"/>
      <c r="D323" s="12"/>
      <c r="E323" s="12"/>
      <c r="F323" s="12"/>
      <c r="G323" s="12"/>
      <c r="H323" s="12"/>
      <c r="I323" s="32"/>
      <c r="J323" s="38"/>
      <c r="K323" s="4"/>
      <c r="L323" s="4"/>
    </row>
    <row r="324" spans="2:12" s="6" customFormat="1" ht="21" hidden="1" customHeight="1" x14ac:dyDescent="0.25">
      <c r="B324" s="7">
        <v>325</v>
      </c>
      <c r="C324" s="54"/>
      <c r="D324" s="12"/>
      <c r="E324" s="12"/>
      <c r="F324" s="12"/>
      <c r="G324" s="12"/>
      <c r="H324" s="12"/>
      <c r="I324" s="32"/>
      <c r="J324" s="38"/>
      <c r="K324" s="4"/>
      <c r="L324" s="4"/>
    </row>
    <row r="325" spans="2:12" s="6" customFormat="1" ht="21" hidden="1" customHeight="1" x14ac:dyDescent="0.25">
      <c r="B325" s="7">
        <v>326</v>
      </c>
      <c r="C325" s="54"/>
      <c r="D325" s="12"/>
      <c r="E325" s="12"/>
      <c r="F325" s="12"/>
      <c r="G325" s="12"/>
      <c r="H325" s="12"/>
      <c r="I325" s="32"/>
      <c r="J325" s="19"/>
      <c r="K325" s="4"/>
      <c r="L325" s="4"/>
    </row>
    <row r="326" spans="2:12" s="6" customFormat="1" ht="21" customHeight="1" x14ac:dyDescent="0.25">
      <c r="B326" s="33" t="s">
        <v>13</v>
      </c>
      <c r="C326" s="34" t="str">
        <f>UPPER("Total Payment")</f>
        <v>TOTAL PAYMENT</v>
      </c>
      <c r="D326" s="35"/>
      <c r="E326" s="35"/>
      <c r="F326" s="35"/>
      <c r="G326" s="35"/>
      <c r="H326" s="35"/>
      <c r="I326" s="36">
        <f>SUM(I6:I297)</f>
        <v>358068149</v>
      </c>
      <c r="J326" s="37"/>
      <c r="K326" s="4"/>
      <c r="L326" s="4"/>
    </row>
    <row r="327" spans="2:12" s="6" customFormat="1" ht="21" customHeight="1" x14ac:dyDescent="0.25">
      <c r="B327" s="7">
        <v>1</v>
      </c>
      <c r="C327" s="52">
        <v>1263136999</v>
      </c>
      <c r="D327" s="12" t="str">
        <f>VLOOKUP(C327,[4]report!$A$2:$R$257,3,FALSE)</f>
        <v xml:space="preserve">ARDIANTO </v>
      </c>
      <c r="E327" s="12" t="str">
        <f>VLOOKUP(C327,[4]report!$A$2:$R$257,2,FALSE)</f>
        <v>84111259Z</v>
      </c>
      <c r="F327" s="12">
        <f>VLOOKUP(C327,[4]report!$A$2:$R$257,5,FALSE)</f>
        <v>4120176321</v>
      </c>
      <c r="G327" s="12" t="str">
        <f>VLOOKUP(C327,[4]report!$A$2:$R$257,8,FALSE)</f>
        <v>Kota Makassar - Kota Palopo</v>
      </c>
      <c r="H327" s="12" t="str">
        <f>VLOOKUP(C327,[4]report!$A$2:$R$257,9,FALSE)</f>
        <v>25/06/2025 - 27/06/2025</v>
      </c>
      <c r="I327" s="13">
        <f>VLOOKUP(C327,[4]report!$A$2:$R$257,18,FALSE)</f>
        <v>886788</v>
      </c>
      <c r="J327" s="22"/>
      <c r="K327" s="4"/>
      <c r="L327" s="4"/>
    </row>
    <row r="328" spans="2:12" ht="21" hidden="1" customHeight="1" x14ac:dyDescent="0.25">
      <c r="B328" s="7">
        <v>2</v>
      </c>
      <c r="C328" s="7"/>
      <c r="D328" s="12"/>
      <c r="E328" s="12"/>
      <c r="F328" s="12"/>
      <c r="G328" s="12"/>
      <c r="H328" s="12"/>
      <c r="I328" s="32"/>
      <c r="J328" s="38"/>
    </row>
    <row r="329" spans="2:12" ht="21" hidden="1" customHeight="1" x14ac:dyDescent="0.25">
      <c r="B329" s="7">
        <v>3</v>
      </c>
      <c r="C329" s="7"/>
      <c r="D329" s="12"/>
      <c r="E329" s="12"/>
      <c r="F329" s="12"/>
      <c r="G329" s="12"/>
      <c r="H329" s="12"/>
      <c r="I329" s="32"/>
      <c r="J329" s="38"/>
    </row>
    <row r="330" spans="2:12" ht="21" customHeight="1" x14ac:dyDescent="0.25">
      <c r="B330" s="39" t="s">
        <v>14</v>
      </c>
      <c r="C330" s="35" t="str">
        <f>UPPER("Nominal Refund")</f>
        <v>NOMINAL REFUND</v>
      </c>
      <c r="D330" s="35"/>
      <c r="E330" s="35"/>
      <c r="F330" s="35"/>
      <c r="G330" s="35"/>
      <c r="H330" s="35"/>
      <c r="I330" s="40">
        <f>SUM(I327:I329)</f>
        <v>886788</v>
      </c>
      <c r="K330" s="41"/>
    </row>
    <row r="331" spans="2:12" ht="21" hidden="1" customHeight="1" x14ac:dyDescent="0.25">
      <c r="B331" s="39" t="s">
        <v>15</v>
      </c>
      <c r="C331" s="35" t="s">
        <v>16</v>
      </c>
      <c r="D331" s="35"/>
      <c r="E331" s="35"/>
      <c r="F331" s="35"/>
      <c r="G331" s="35"/>
      <c r="H331" s="35"/>
      <c r="I331" s="36">
        <v>0</v>
      </c>
    </row>
    <row r="332" spans="2:12" ht="21" hidden="1" customHeight="1" x14ac:dyDescent="0.25">
      <c r="B332" s="39" t="s">
        <v>17</v>
      </c>
      <c r="C332" s="42" t="s">
        <v>18</v>
      </c>
      <c r="D332" s="43"/>
      <c r="E332" s="43"/>
      <c r="F332" s="43"/>
      <c r="G332" s="43"/>
      <c r="H332" s="44"/>
      <c r="I332" s="36">
        <v>0</v>
      </c>
    </row>
    <row r="333" spans="2:12" ht="21" customHeight="1" x14ac:dyDescent="0.25">
      <c r="B333" s="39" t="s">
        <v>15</v>
      </c>
      <c r="C333" s="42" t="s">
        <v>20</v>
      </c>
      <c r="D333" s="43"/>
      <c r="E333" s="43"/>
      <c r="F333" s="43"/>
      <c r="G333" s="43"/>
      <c r="H333" s="44"/>
      <c r="I333" s="36">
        <v>7500</v>
      </c>
    </row>
    <row r="334" spans="2:12" s="46" customFormat="1" ht="21" customHeight="1" x14ac:dyDescent="0.25">
      <c r="B334" s="42" t="s">
        <v>54</v>
      </c>
      <c r="C334" s="43"/>
      <c r="D334" s="43"/>
      <c r="E334" s="43"/>
      <c r="F334" s="43"/>
      <c r="G334" s="43"/>
      <c r="H334" s="44"/>
      <c r="I334" s="45">
        <f>I326-I330+I331+I332+I333</f>
        <v>357188861</v>
      </c>
      <c r="J334" s="4"/>
    </row>
    <row r="335" spans="2:12" ht="14.25" customHeight="1" x14ac:dyDescent="0.25">
      <c r="K335" s="46"/>
      <c r="L335" s="41"/>
    </row>
  </sheetData>
  <autoFilter ref="B5:J335" xr:uid="{00000000-0009-0000-0000-000003000000}"/>
  <mergeCells count="8">
    <mergeCell ref="C333:H333"/>
    <mergeCell ref="B334:H334"/>
    <mergeCell ref="B2:I2"/>
    <mergeCell ref="B3:I3"/>
    <mergeCell ref="C326:H326"/>
    <mergeCell ref="C330:H330"/>
    <mergeCell ref="C331:H331"/>
    <mergeCell ref="C332:H332"/>
  </mergeCells>
  <pageMargins left="0.7" right="0.7" top="0.3" bottom="0.5" header="0.3" footer="0.3"/>
  <pageSetup paperSize="9" scale="6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90C03-FDD6-4F37-AFA9-007C413644C0}">
  <sheetPr>
    <pageSetUpPr fitToPage="1"/>
  </sheetPr>
  <dimension ref="B2:I458"/>
  <sheetViews>
    <sheetView topLeftCell="D397" zoomScale="85" zoomScaleNormal="85" workbookViewId="0">
      <selection activeCell="G474" sqref="G474"/>
    </sheetView>
  </sheetViews>
  <sheetFormatPr defaultColWidth="9.140625" defaultRowHeight="15" x14ac:dyDescent="0.25"/>
  <cols>
    <col min="1" max="1" width="9.140625" style="4"/>
    <col min="2" max="2" width="7.7109375" style="47" customWidth="1"/>
    <col min="3" max="3" width="15" style="47" customWidth="1"/>
    <col min="4" max="4" width="44.85546875" style="48" customWidth="1"/>
    <col min="5" max="5" width="16.28515625" style="47" customWidth="1"/>
    <col min="6" max="6" width="16.7109375" style="47" customWidth="1"/>
    <col min="7" max="7" width="68.85546875" style="49" bestFit="1" customWidth="1"/>
    <col min="8" max="8" width="25.85546875" style="47" customWidth="1"/>
    <col min="9" max="9" width="18.28515625" style="50" customWidth="1"/>
    <col min="10" max="16384" width="9.140625" style="4"/>
  </cols>
  <sheetData>
    <row r="2" spans="2:9" ht="17.25" customHeight="1" x14ac:dyDescent="0.25">
      <c r="B2" s="1" t="s">
        <v>30</v>
      </c>
      <c r="C2" s="2"/>
      <c r="D2" s="1"/>
      <c r="E2" s="1"/>
      <c r="F2" s="1"/>
      <c r="G2" s="1"/>
      <c r="H2" s="1"/>
      <c r="I2" s="3"/>
    </row>
    <row r="3" spans="2:9" ht="17.25" customHeight="1" x14ac:dyDescent="0.25">
      <c r="B3" s="1" t="s">
        <v>22</v>
      </c>
      <c r="C3" s="2"/>
      <c r="D3" s="1"/>
      <c r="E3" s="1"/>
      <c r="F3" s="1"/>
      <c r="G3" s="1"/>
      <c r="H3" s="1"/>
      <c r="I3" s="3"/>
    </row>
    <row r="5" spans="2:9" s="5" customFormat="1" ht="30" x14ac:dyDescent="0.25">
      <c r="B5" s="7" t="s">
        <v>2</v>
      </c>
      <c r="C5" s="7" t="s">
        <v>3</v>
      </c>
      <c r="D5" s="7" t="s">
        <v>4</v>
      </c>
      <c r="E5" s="8" t="s">
        <v>5</v>
      </c>
      <c r="F5" s="8" t="s">
        <v>6</v>
      </c>
      <c r="G5" s="9" t="s">
        <v>7</v>
      </c>
      <c r="H5" s="7" t="s">
        <v>8</v>
      </c>
      <c r="I5" s="10" t="s">
        <v>9</v>
      </c>
    </row>
    <row r="6" spans="2:9" s="5" customFormat="1" x14ac:dyDescent="0.25">
      <c r="B6" s="7">
        <v>1</v>
      </c>
      <c r="C6" s="11">
        <v>1270119439</v>
      </c>
      <c r="D6" s="12" t="str">
        <f>VLOOKUP(C6,[3]report!$A$2:$R$406,3,FALSE)</f>
        <v>MUHAMMAD SUSGANDINATA</v>
      </c>
      <c r="E6" s="7">
        <f>VLOOKUP(C6,[3]report!$A$2:$R$406,4,FALSE)</f>
        <v>86097601</v>
      </c>
      <c r="F6" s="7">
        <f>VLOOKUP(C6,[3]report!$A$2:$R$406,5,FALSE)</f>
        <v>4120176655</v>
      </c>
      <c r="G6" s="12" t="str">
        <f>VLOOKUP(C6,[3]report!$A$2:$R$406,8,FALSE)</f>
        <v>Kota Makassar - Kota Yogyakarta</v>
      </c>
      <c r="H6" s="12" t="str">
        <f>VLOOKUP(C6,[3]report!$A$2:$R$406,9,FALSE)</f>
        <v>16/07/2025 - 19/07/2025</v>
      </c>
      <c r="I6" s="13">
        <f>VLOOKUP(C6,[3]report!$A$2:$R$406,17,FALSE)</f>
        <v>413690</v>
      </c>
    </row>
    <row r="7" spans="2:9" s="5" customFormat="1" x14ac:dyDescent="0.25">
      <c r="B7" s="7">
        <v>2</v>
      </c>
      <c r="C7" s="11">
        <v>1270146017</v>
      </c>
      <c r="D7" s="12" t="str">
        <f>VLOOKUP(C7,[3]report!$A$2:$R$406,3,FALSE)</f>
        <v>KIKI RESKI ANDRIANI</v>
      </c>
      <c r="E7" s="7">
        <f>VLOOKUP(C7,[3]report!$A$2:$R$406,4,FALSE)</f>
        <v>93153811</v>
      </c>
      <c r="F7" s="7">
        <f>VLOOKUP(C7,[3]report!$A$2:$R$406,5,FALSE)</f>
        <v>4120176640</v>
      </c>
      <c r="G7" s="12" t="str">
        <f>VLOOKUP(C7,[3]report!$A$2:$R$406,8,FALSE)</f>
        <v>Kota Makassar - Kota Semarang</v>
      </c>
      <c r="H7" s="12" t="str">
        <f>VLOOKUP(C7,[3]report!$A$2:$R$406,9,FALSE)</f>
        <v>15/07/2025 - 19/07/2025</v>
      </c>
      <c r="I7" s="13">
        <f>VLOOKUP(C7,[3]report!$A$2:$R$406,17,FALSE)</f>
        <v>865046</v>
      </c>
    </row>
    <row r="8" spans="2:9" s="5" customFormat="1" x14ac:dyDescent="0.25">
      <c r="B8" s="7">
        <v>3</v>
      </c>
      <c r="C8" s="11">
        <v>1270116243</v>
      </c>
      <c r="D8" s="12" t="str">
        <f>VLOOKUP(C8,[3]report!$A$2:$R$406,3,FALSE)</f>
        <v>ERIK WICAKSONO</v>
      </c>
      <c r="E8" s="7">
        <f>VLOOKUP(C8,[3]report!$A$2:$R$406,4,FALSE)</f>
        <v>90087609</v>
      </c>
      <c r="F8" s="7">
        <f>VLOOKUP(C8,[3]report!$A$2:$R$406,5,FALSE)</f>
        <v>4120176608</v>
      </c>
      <c r="G8" s="12" t="str">
        <f>VLOOKUP(C8,[3]report!$A$2:$R$406,8,FALSE)</f>
        <v>Kota Kendari - Kota Makassar</v>
      </c>
      <c r="H8" s="12" t="str">
        <f>VLOOKUP(C8,[3]report!$A$2:$R$406,9,FALSE)</f>
        <v>16/07/2025 - 18/07/2025</v>
      </c>
      <c r="I8" s="13">
        <f>VLOOKUP(C8,[3]report!$A$2:$R$406,17,FALSE)</f>
        <v>925400</v>
      </c>
    </row>
    <row r="9" spans="2:9" s="5" customFormat="1" x14ac:dyDescent="0.25">
      <c r="B9" s="7">
        <v>4</v>
      </c>
      <c r="C9" s="11">
        <v>1270141035</v>
      </c>
      <c r="D9" s="12" t="str">
        <f>VLOOKUP(C9,[3]report!$A$2:$R$406,3,FALSE)</f>
        <v>KIKI RESKI ANDRIANI</v>
      </c>
      <c r="E9" s="7">
        <f>VLOOKUP(C9,[3]report!$A$2:$R$406,4,FALSE)</f>
        <v>93153811</v>
      </c>
      <c r="F9" s="7">
        <f>VLOOKUP(C9,[3]report!$A$2:$R$406,5,FALSE)</f>
        <v>4120176640</v>
      </c>
      <c r="G9" s="12" t="str">
        <f>VLOOKUP(C9,[3]report!$A$2:$R$406,8,FALSE)</f>
        <v>Kota Makassar - Kota Semarang</v>
      </c>
      <c r="H9" s="12" t="str">
        <f>VLOOKUP(C9,[3]report!$A$2:$R$406,9,FALSE)</f>
        <v>15/07/2025 - 19/07/2025</v>
      </c>
      <c r="I9" s="13">
        <f>VLOOKUP(C9,[3]report!$A$2:$R$406,17,FALSE)</f>
        <v>1258900</v>
      </c>
    </row>
    <row r="10" spans="2:9" s="5" customFormat="1" x14ac:dyDescent="0.25">
      <c r="B10" s="7">
        <v>5</v>
      </c>
      <c r="C10" s="11">
        <v>1270164844</v>
      </c>
      <c r="D10" s="12" t="str">
        <f>VLOOKUP(C10,[3]report!$A$2:$R$406,3,FALSE)</f>
        <v>HARYADI KASIM</v>
      </c>
      <c r="E10" s="7">
        <f>VLOOKUP(C10,[3]report!$A$2:$R$406,4,FALSE)</f>
        <v>84087606</v>
      </c>
      <c r="F10" s="7">
        <f>VLOOKUP(C10,[3]report!$A$2:$R$406,5,FALSE)</f>
        <v>4120176581</v>
      </c>
      <c r="G10" s="12" t="str">
        <f>VLOOKUP(C10,[3]report!$A$2:$R$406,8,FALSE)</f>
        <v>Kota Makassar - Jakarta Selatan - Yogyakarta</v>
      </c>
      <c r="H10" s="12" t="str">
        <f>VLOOKUP(C10,[3]report!$A$2:$R$406,9,FALSE)</f>
        <v>13/07/2025 - 19/07/2025</v>
      </c>
      <c r="I10" s="13">
        <f>VLOOKUP(C10,[3]report!$A$2:$R$406,17,FALSE)</f>
        <v>1460000</v>
      </c>
    </row>
    <row r="11" spans="2:9" s="5" customFormat="1" x14ac:dyDescent="0.25">
      <c r="B11" s="7">
        <v>6</v>
      </c>
      <c r="C11" s="11">
        <v>1270290579</v>
      </c>
      <c r="D11" s="12" t="str">
        <f>VLOOKUP(C11,[3]report!$A$2:$R$406,3,FALSE)</f>
        <v>AGUS SALIM</v>
      </c>
      <c r="E11" s="7">
        <f>VLOOKUP(C11,[3]report!$A$2:$R$406,4,FALSE)</f>
        <v>75947601</v>
      </c>
      <c r="F11" s="7">
        <f>VLOOKUP(C11,[3]report!$A$2:$R$406,5,FALSE)</f>
        <v>4120176725</v>
      </c>
      <c r="G11" s="12" t="str">
        <f>VLOOKUP(C11,[3]report!$A$2:$R$406,8,FALSE)</f>
        <v>Kota Makassar - Kota Kendari - Kab. Kolaka</v>
      </c>
      <c r="H11" s="12" t="str">
        <f>VLOOKUP(C11,[3]report!$A$2:$R$406,9,FALSE)</f>
        <v>20/07/2025 - 22/07/2025</v>
      </c>
      <c r="I11" s="13">
        <f>VLOOKUP(C11,[3]report!$A$2:$R$406,17,FALSE)</f>
        <v>729000</v>
      </c>
    </row>
    <row r="12" spans="2:9" s="5" customFormat="1" x14ac:dyDescent="0.25">
      <c r="B12" s="7">
        <v>7</v>
      </c>
      <c r="C12" s="11">
        <v>1270235522</v>
      </c>
      <c r="D12" s="12" t="str">
        <f>VLOOKUP(C12,[3]report!$A$2:$R$406,3,FALSE)</f>
        <v>ANDY PRADIPTA</v>
      </c>
      <c r="E12" s="7">
        <f>VLOOKUP(C12,[3]report!$A$2:$R$406,4,FALSE)</f>
        <v>92157614</v>
      </c>
      <c r="F12" s="7">
        <f>VLOOKUP(C12,[3]report!$A$2:$R$406,5,FALSE)</f>
        <v>4120176641</v>
      </c>
      <c r="G12" s="12" t="str">
        <f>VLOOKUP(C12,[3]report!$A$2:$R$406,8,FALSE)</f>
        <v>Kota Makassar - Kota Semarang</v>
      </c>
      <c r="H12" s="12" t="str">
        <f>VLOOKUP(C12,[3]report!$A$2:$R$406,9,FALSE)</f>
        <v>15/07/2025 - 19/07/2025</v>
      </c>
      <c r="I12" s="13">
        <f>VLOOKUP(C12,[3]report!$A$2:$R$406,17,FALSE)</f>
        <v>744566</v>
      </c>
    </row>
    <row r="13" spans="2:9" s="5" customFormat="1" x14ac:dyDescent="0.25">
      <c r="B13" s="7">
        <v>8</v>
      </c>
      <c r="C13" s="11">
        <v>1270304855</v>
      </c>
      <c r="D13" s="12" t="str">
        <f>VLOOKUP(C13,[3]report!$A$2:$R$406,3,FALSE)</f>
        <v>SARIPA ALWIA</v>
      </c>
      <c r="E13" s="7">
        <f>VLOOKUP(C13,[3]report!$A$2:$R$406,4,FALSE)</f>
        <v>97187606</v>
      </c>
      <c r="F13" s="7">
        <f>VLOOKUP(C13,[3]report!$A$2:$R$406,5,FALSE)</f>
        <v>4120176676</v>
      </c>
      <c r="G13" s="12" t="str">
        <f>VLOOKUP(C13,[3]report!$A$2:$R$406,8,FALSE)</f>
        <v>Kota Kendari - Kota Makassar</v>
      </c>
      <c r="H13" s="12" t="str">
        <f>VLOOKUP(C13,[3]report!$A$2:$R$406,9,FALSE)</f>
        <v>16/07/2025 - 19/07/2025</v>
      </c>
      <c r="I13" s="13">
        <f>VLOOKUP(C13,[3]report!$A$2:$R$406,17,FALSE)</f>
        <v>752700</v>
      </c>
    </row>
    <row r="14" spans="2:9" s="5" customFormat="1" x14ac:dyDescent="0.25">
      <c r="B14" s="7">
        <v>9</v>
      </c>
      <c r="C14" s="11">
        <v>1270289210</v>
      </c>
      <c r="D14" s="12" t="str">
        <f>VLOOKUP(C14,[3]report!$A$2:$R$406,3,FALSE)</f>
        <v>SINTIA DEWI</v>
      </c>
      <c r="E14" s="7">
        <f>VLOOKUP(C14,[3]report!$A$2:$R$406,4,FALSE)</f>
        <v>97196205</v>
      </c>
      <c r="F14" s="7">
        <f>VLOOKUP(C14,[3]report!$A$2:$R$406,5,FALSE)</f>
        <v>4120176670</v>
      </c>
      <c r="G14" s="12" t="str">
        <f>VLOOKUP(C14,[3]report!$A$2:$R$406,8,FALSE)</f>
        <v>Kab. Konawe - Kota Makassar</v>
      </c>
      <c r="H14" s="12" t="str">
        <f>VLOOKUP(C14,[3]report!$A$2:$R$406,9,FALSE)</f>
        <v>16/07/2025 - 19/07/2025</v>
      </c>
      <c r="I14" s="13">
        <f>VLOOKUP(C14,[3]report!$A$2:$R$406,17,FALSE)</f>
        <v>824200</v>
      </c>
    </row>
    <row r="15" spans="2:9" s="5" customFormat="1" x14ac:dyDescent="0.25">
      <c r="B15" s="7">
        <v>10</v>
      </c>
      <c r="C15" s="11">
        <v>1270353813</v>
      </c>
      <c r="D15" s="12" t="str">
        <f>VLOOKUP(C15,[3]report!$A$2:$R$406,3,FALSE)</f>
        <v>MUHAMMAD SUSGANDINATA</v>
      </c>
      <c r="E15" s="7">
        <f>VLOOKUP(C15,[3]report!$A$2:$R$406,4,FALSE)</f>
        <v>86097601</v>
      </c>
      <c r="F15" s="7">
        <f>VLOOKUP(C15,[3]report!$A$2:$R$406,5,FALSE)</f>
        <v>4120176655</v>
      </c>
      <c r="G15" s="12" t="str">
        <f>VLOOKUP(C15,[3]report!$A$2:$R$406,8,FALSE)</f>
        <v>Kota Makassar - Kota Yogyakarta</v>
      </c>
      <c r="H15" s="12" t="str">
        <f>VLOOKUP(C15,[3]report!$A$2:$R$406,9,FALSE)</f>
        <v>16/07/2025 - 19/07/2025</v>
      </c>
      <c r="I15" s="13">
        <f>VLOOKUP(C15,[3]report!$A$2:$R$406,17,FALSE)</f>
        <v>835800</v>
      </c>
    </row>
    <row r="16" spans="2:9" s="5" customFormat="1" x14ac:dyDescent="0.25">
      <c r="B16" s="7">
        <v>11</v>
      </c>
      <c r="C16" s="11">
        <v>1270216808</v>
      </c>
      <c r="D16" s="12" t="str">
        <f>VLOOKUP(C16,[3]report!$A$2:$R$406,3,FALSE)</f>
        <v>AGUS SALIM</v>
      </c>
      <c r="E16" s="7">
        <f>VLOOKUP(C16,[3]report!$A$2:$R$406,4,FALSE)</f>
        <v>75947601</v>
      </c>
      <c r="F16" s="7">
        <f>VLOOKUP(C16,[3]report!$A$2:$R$406,5,FALSE)</f>
        <v>4120176725</v>
      </c>
      <c r="G16" s="12" t="str">
        <f>VLOOKUP(C16,[3]report!$A$2:$R$406,8,FALSE)</f>
        <v>Kota Makassar - Kota Kendari - Kab. Kolaka</v>
      </c>
      <c r="H16" s="12" t="str">
        <f>VLOOKUP(C16,[3]report!$A$2:$R$406,9,FALSE)</f>
        <v>20/07/2025 - 22/07/2025</v>
      </c>
      <c r="I16" s="13">
        <f>VLOOKUP(C16,[3]report!$A$2:$R$406,17,FALSE)</f>
        <v>853600</v>
      </c>
    </row>
    <row r="17" spans="2:9" s="5" customFormat="1" x14ac:dyDescent="0.25">
      <c r="B17" s="7">
        <v>12</v>
      </c>
      <c r="C17" s="11">
        <v>1270259668</v>
      </c>
      <c r="D17" s="12" t="str">
        <f>VLOOKUP(C17,[3]report!$A$2:$R$406,3,FALSE)</f>
        <v>RADEN OCKY LOVYANDA SAPUTRA</v>
      </c>
      <c r="E17" s="7">
        <f>VLOOKUP(C17,[3]report!$A$2:$R$406,4,FALSE)</f>
        <v>91157609</v>
      </c>
      <c r="F17" s="7">
        <f>VLOOKUP(C17,[3]report!$A$2:$R$406,5,FALSE)</f>
        <v>4120176711</v>
      </c>
      <c r="G17" s="12" t="str">
        <f>VLOOKUP(C17,[3]report!$A$2:$R$406,8,FALSE)</f>
        <v>Kab. Kolaka Utara - Kota Kendari</v>
      </c>
      <c r="H17" s="12" t="str">
        <f>VLOOKUP(C17,[3]report!$A$2:$R$406,9,FALSE)</f>
        <v>18/07/2025 - 19/07/2025</v>
      </c>
      <c r="I17" s="13">
        <f>VLOOKUP(C17,[3]report!$A$2:$R$406,17,FALSE)</f>
        <v>953955</v>
      </c>
    </row>
    <row r="18" spans="2:9" s="5" customFormat="1" x14ac:dyDescent="0.25">
      <c r="B18" s="7">
        <v>13</v>
      </c>
      <c r="C18" s="11">
        <v>1270339349</v>
      </c>
      <c r="D18" s="12" t="str">
        <f>VLOOKUP(C18,[3]report!$A$2:$R$406,3,FALSE)</f>
        <v>HADHI BAGUS SETYANTO</v>
      </c>
      <c r="E18" s="7">
        <f>VLOOKUP(C18,[3]report!$A$2:$R$406,4,FALSE)</f>
        <v>87117602</v>
      </c>
      <c r="F18" s="7">
        <f>VLOOKUP(C18,[3]report!$A$2:$R$406,5,FALSE)</f>
        <v>4120176652</v>
      </c>
      <c r="G18" s="12" t="str">
        <f>VLOOKUP(C18,[3]report!$A$2:$R$406,8,FALSE)</f>
        <v>Kota Makassar - Kota Semarang</v>
      </c>
      <c r="H18" s="12" t="str">
        <f>VLOOKUP(C18,[3]report!$A$2:$R$406,9,FALSE)</f>
        <v>15/07/2025 - 19/07/2025</v>
      </c>
      <c r="I18" s="13">
        <f>VLOOKUP(C18,[3]report!$A$2:$R$406,17,FALSE)</f>
        <v>1318800</v>
      </c>
    </row>
    <row r="19" spans="2:9" s="5" customFormat="1" x14ac:dyDescent="0.25">
      <c r="B19" s="7">
        <v>14</v>
      </c>
      <c r="C19" s="11">
        <v>1270233958</v>
      </c>
      <c r="D19" s="12" t="str">
        <f>VLOOKUP(C19,[3]report!$A$2:$R$406,3,FALSE)</f>
        <v>ISRAN SUTOYO</v>
      </c>
      <c r="E19" s="7">
        <f>VLOOKUP(C19,[3]report!$A$2:$R$406,4,FALSE)</f>
        <v>90087601</v>
      </c>
      <c r="F19" s="7">
        <f>VLOOKUP(C19,[3]report!$A$2:$R$406,5,FALSE)</f>
        <v>4120176730</v>
      </c>
      <c r="G19" s="12" t="str">
        <f>VLOOKUP(C19,[3]report!$A$2:$R$406,8,FALSE)</f>
        <v>Kota Baubau - Kota Makassar</v>
      </c>
      <c r="H19" s="12" t="str">
        <f>VLOOKUP(C19,[3]report!$A$2:$R$406,9,FALSE)</f>
        <v>20/07/2025 - 23/07/2025</v>
      </c>
      <c r="I19" s="13">
        <f>VLOOKUP(C19,[3]report!$A$2:$R$406,17,FALSE)</f>
        <v>1510500</v>
      </c>
    </row>
    <row r="20" spans="2:9" s="5" customFormat="1" x14ac:dyDescent="0.25">
      <c r="B20" s="7">
        <v>15</v>
      </c>
      <c r="C20" s="11">
        <v>1270289913</v>
      </c>
      <c r="D20" s="12" t="str">
        <f>VLOOKUP(C20,[3]report!$A$2:$R$406,3,FALSE)</f>
        <v>FAUZAN HODEIBI HADDAD</v>
      </c>
      <c r="E20" s="7">
        <f>VLOOKUP(C20,[3]report!$A$2:$R$406,4,FALSE)</f>
        <v>87087601</v>
      </c>
      <c r="F20" s="7">
        <f>VLOOKUP(C20,[3]report!$A$2:$R$406,5,FALSE)</f>
        <v>4120176727</v>
      </c>
      <c r="G20" s="12" t="str">
        <f>VLOOKUP(C20,[3]report!$A$2:$R$406,8,FALSE)</f>
        <v>Kota Makassar - Kota Makassar</v>
      </c>
      <c r="H20" s="12" t="str">
        <f>VLOOKUP(C20,[3]report!$A$2:$R$406,9,FALSE)</f>
        <v>21/07/2025 - 23/07/2025</v>
      </c>
      <c r="I20" s="13">
        <f>VLOOKUP(C20,[3]report!$A$2:$R$406,17,FALSE)</f>
        <v>1630700</v>
      </c>
    </row>
    <row r="21" spans="2:9" s="5" customFormat="1" x14ac:dyDescent="0.25">
      <c r="B21" s="7">
        <v>16</v>
      </c>
      <c r="C21" s="11">
        <v>1270293358</v>
      </c>
      <c r="D21" s="12" t="str">
        <f>VLOOKUP(C21,[3]report!$A$2:$R$406,3,FALSE)</f>
        <v>FAUZAN HODEIBI HADDAD</v>
      </c>
      <c r="E21" s="7">
        <f>VLOOKUP(C21,[3]report!$A$2:$R$406,4,FALSE)</f>
        <v>87087601</v>
      </c>
      <c r="F21" s="7">
        <f>VLOOKUP(C21,[3]report!$A$2:$R$406,5,FALSE)</f>
        <v>4120176727</v>
      </c>
      <c r="G21" s="12" t="str">
        <f>VLOOKUP(C21,[3]report!$A$2:$R$406,8,FALSE)</f>
        <v>Kota Makassar - Kota Makassar</v>
      </c>
      <c r="H21" s="12" t="str">
        <f>VLOOKUP(C21,[3]report!$A$2:$R$406,9,FALSE)</f>
        <v>21/07/2025 - 23/07/2025</v>
      </c>
      <c r="I21" s="13">
        <f>VLOOKUP(C21,[3]report!$A$2:$R$406,17,FALSE)</f>
        <v>1640000</v>
      </c>
    </row>
    <row r="22" spans="2:9" s="5" customFormat="1" x14ac:dyDescent="0.25">
      <c r="B22" s="7">
        <v>17</v>
      </c>
      <c r="C22" s="11">
        <v>1270328645</v>
      </c>
      <c r="D22" s="12" t="str">
        <f>VLOOKUP(C22,[3]report!$A$2:$R$406,3,FALSE)</f>
        <v>RADEN OCKY LOVYANDA SAPUTRA</v>
      </c>
      <c r="E22" s="7">
        <f>VLOOKUP(C22,[3]report!$A$2:$R$406,4,FALSE)</f>
        <v>91157609</v>
      </c>
      <c r="F22" s="7">
        <f>VLOOKUP(C22,[3]report!$A$2:$R$406,5,FALSE)</f>
        <v>4120176697</v>
      </c>
      <c r="G22" s="12" t="str">
        <f>VLOOKUP(C22,[3]report!$A$2:$R$406,8,FALSE)</f>
        <v>Kab. Kolaka Utara - Kab. Bogor</v>
      </c>
      <c r="H22" s="12" t="str">
        <f>VLOOKUP(C22,[3]report!$A$2:$R$406,9,FALSE)</f>
        <v>20/07/2025 - 26/07/2025</v>
      </c>
      <c r="I22" s="13">
        <f>VLOOKUP(C22,[3]report!$A$2:$R$406,17,FALSE)</f>
        <v>1829000</v>
      </c>
    </row>
    <row r="23" spans="2:9" s="5" customFormat="1" x14ac:dyDescent="0.25">
      <c r="B23" s="7">
        <v>18</v>
      </c>
      <c r="C23" s="11">
        <v>1270291759</v>
      </c>
      <c r="D23" s="12" t="str">
        <f>VLOOKUP(C23,[3]report!$A$2:$R$406,3,FALSE)</f>
        <v>ANDY PRADIPTA</v>
      </c>
      <c r="E23" s="7">
        <f>VLOOKUP(C23,[3]report!$A$2:$R$406,4,FALSE)</f>
        <v>92157614</v>
      </c>
      <c r="F23" s="7">
        <f>VLOOKUP(C23,[3]report!$A$2:$R$406,5,FALSE)</f>
        <v>4120176641</v>
      </c>
      <c r="G23" s="12" t="str">
        <f>VLOOKUP(C23,[3]report!$A$2:$R$406,8,FALSE)</f>
        <v>Kota Makassar - Kota Semarang</v>
      </c>
      <c r="H23" s="12" t="str">
        <f>VLOOKUP(C23,[3]report!$A$2:$R$406,9,FALSE)</f>
        <v>15/07/2025 - 19/07/2025</v>
      </c>
      <c r="I23" s="13">
        <f>VLOOKUP(C23,[3]report!$A$2:$R$406,17,FALSE)</f>
        <v>1880200</v>
      </c>
    </row>
    <row r="24" spans="2:9" s="5" customFormat="1" x14ac:dyDescent="0.25">
      <c r="B24" s="7">
        <v>19</v>
      </c>
      <c r="C24" s="11">
        <v>1270300636</v>
      </c>
      <c r="D24" s="12" t="str">
        <f>VLOOKUP(C24,[3]report!$A$2:$R$406,3,FALSE)</f>
        <v>IVAN SAPUTRA</v>
      </c>
      <c r="E24" s="7">
        <f>VLOOKUP(C24,[3]report!$A$2:$R$406,4,FALSE)</f>
        <v>98187644</v>
      </c>
      <c r="F24" s="7">
        <f>VLOOKUP(C24,[3]report!$A$2:$R$406,5,FALSE)</f>
        <v>4120176709</v>
      </c>
      <c r="G24" s="12" t="str">
        <f>VLOOKUP(C24,[3]report!$A$2:$R$406,8,FALSE)</f>
        <v>Kab. Luwu Timur - Jakarta Barat</v>
      </c>
      <c r="H24" s="12" t="str">
        <f>VLOOKUP(C24,[3]report!$A$2:$R$406,9,FALSE)</f>
        <v>20/07/2025 - 24/07/2025</v>
      </c>
      <c r="I24" s="13">
        <f>VLOOKUP(C24,[3]report!$A$2:$R$406,17,FALSE)</f>
        <v>2225600</v>
      </c>
    </row>
    <row r="25" spans="2:9" s="5" customFormat="1" x14ac:dyDescent="0.25">
      <c r="B25" s="7">
        <v>20</v>
      </c>
      <c r="C25" s="11">
        <v>1270238531</v>
      </c>
      <c r="D25" s="12" t="str">
        <f>VLOOKUP(C25,[3]report!$A$2:$R$406,3,FALSE)</f>
        <v>ISRAN SUTOYO</v>
      </c>
      <c r="E25" s="7">
        <f>VLOOKUP(C25,[3]report!$A$2:$R$406,4,FALSE)</f>
        <v>90087601</v>
      </c>
      <c r="F25" s="7">
        <f>VLOOKUP(C25,[3]report!$A$2:$R$406,5,FALSE)</f>
        <v>4120176730</v>
      </c>
      <c r="G25" s="12" t="str">
        <f>VLOOKUP(C25,[3]report!$A$2:$R$406,8,FALSE)</f>
        <v>Kota Baubau - Kota Makassar</v>
      </c>
      <c r="H25" s="12" t="str">
        <f>VLOOKUP(C25,[3]report!$A$2:$R$406,9,FALSE)</f>
        <v>20/07/2025 - 23/07/2025</v>
      </c>
      <c r="I25" s="13">
        <f>VLOOKUP(C25,[3]report!$A$2:$R$406,17,FALSE)</f>
        <v>2460000</v>
      </c>
    </row>
    <row r="26" spans="2:9" s="5" customFormat="1" x14ac:dyDescent="0.25">
      <c r="B26" s="7">
        <v>21</v>
      </c>
      <c r="C26" s="11">
        <v>1270241413</v>
      </c>
      <c r="D26" s="12" t="str">
        <f>VLOOKUP(C26,[3]report!$A$2:$R$406,3,FALSE)</f>
        <v>ARIE PRATAMA</v>
      </c>
      <c r="E26" s="7">
        <f>VLOOKUP(C26,[3]report!$A$2:$R$406,4,FALSE)</f>
        <v>87097600</v>
      </c>
      <c r="F26" s="7">
        <f>VLOOKUP(C26,[3]report!$A$2:$R$406,5,FALSE)</f>
        <v>4120176642</v>
      </c>
      <c r="G26" s="12" t="str">
        <f>VLOOKUP(C26,[3]report!$A$2:$R$406,8,FALSE)</f>
        <v>Kota Makassar - Kota Semarang</v>
      </c>
      <c r="H26" s="12" t="str">
        <f>VLOOKUP(C26,[3]report!$A$2:$R$406,9,FALSE)</f>
        <v>15/07/2025 - 19/07/2025</v>
      </c>
      <c r="I26" s="13">
        <f>VLOOKUP(C26,[3]report!$A$2:$R$406,17,FALSE)</f>
        <v>2916000</v>
      </c>
    </row>
    <row r="27" spans="2:9" s="5" customFormat="1" x14ac:dyDescent="0.25">
      <c r="B27" s="7">
        <v>22</v>
      </c>
      <c r="C27" s="11">
        <v>1270323189</v>
      </c>
      <c r="D27" s="12" t="str">
        <f>VLOOKUP(C27,[3]report!$A$2:$R$406,3,FALSE)</f>
        <v xml:space="preserve">ASRUL </v>
      </c>
      <c r="E27" s="7">
        <f>VLOOKUP(C27,[3]report!$A$2:$R$406,4,FALSE)</f>
        <v>96137747</v>
      </c>
      <c r="F27" s="7">
        <f>VLOOKUP(C27,[3]report!$A$2:$R$406,5,FALSE)</f>
        <v>4120176698</v>
      </c>
      <c r="G27" s="12" t="str">
        <f>VLOOKUP(C27,[3]report!$A$2:$R$406,8,FALSE)</f>
        <v>Kab. Gowa - Jakarta Barat</v>
      </c>
      <c r="H27" s="12" t="str">
        <f>VLOOKUP(C27,[3]report!$A$2:$R$406,9,FALSE)</f>
        <v>20/07/2025 - 24/07/2025</v>
      </c>
      <c r="I27" s="13">
        <f>VLOOKUP(C27,[3]report!$A$2:$R$406,17,FALSE)</f>
        <v>3746600</v>
      </c>
    </row>
    <row r="28" spans="2:9" s="5" customFormat="1" x14ac:dyDescent="0.25">
      <c r="B28" s="7">
        <v>23</v>
      </c>
      <c r="C28" s="11">
        <v>1270603317</v>
      </c>
      <c r="D28" s="12" t="str">
        <f>VLOOKUP(C28,[3]report!$A$2:$R$406,3,FALSE)</f>
        <v>FAUZAN HODEIBI HADDAD</v>
      </c>
      <c r="E28" s="7">
        <f>VLOOKUP(C28,[3]report!$A$2:$R$406,4,FALSE)</f>
        <v>87087601</v>
      </c>
      <c r="F28" s="7">
        <f>VLOOKUP(C28,[3]report!$A$2:$R$406,5,FALSE)</f>
        <v>4120176727</v>
      </c>
      <c r="G28" s="12" t="str">
        <f>VLOOKUP(C28,[3]report!$A$2:$R$406,8,FALSE)</f>
        <v>Kota Makassar - Kota Makassar</v>
      </c>
      <c r="H28" s="12" t="str">
        <f>VLOOKUP(C28,[3]report!$A$2:$R$406,9,FALSE)</f>
        <v>21/07/2025 - 23/07/2025</v>
      </c>
      <c r="I28" s="13">
        <f>VLOOKUP(C28,[3]report!$A$2:$R$406,17,FALSE)</f>
        <v>805200</v>
      </c>
    </row>
    <row r="29" spans="2:9" s="5" customFormat="1" x14ac:dyDescent="0.25">
      <c r="B29" s="7">
        <v>24</v>
      </c>
      <c r="C29" s="11">
        <v>1270616683</v>
      </c>
      <c r="D29" s="12" t="str">
        <f>VLOOKUP(C29,[3]report!$A$2:$R$406,3,FALSE)</f>
        <v xml:space="preserve">WAHIDAH </v>
      </c>
      <c r="E29" s="7">
        <f>VLOOKUP(C29,[3]report!$A$2:$R$406,4,FALSE)</f>
        <v>83093600</v>
      </c>
      <c r="F29" s="7">
        <f>VLOOKUP(C29,[3]report!$A$2:$R$406,5,FALSE)</f>
        <v>4120176679</v>
      </c>
      <c r="G29" s="12" t="str">
        <f>VLOOKUP(C29,[3]report!$A$2:$R$406,8,FALSE)</f>
        <v>Kota Makassar - Jakarta Selatan</v>
      </c>
      <c r="H29" s="12" t="str">
        <f>VLOOKUP(C29,[3]report!$A$2:$R$406,9,FALSE)</f>
        <v>16/07/2025 - 19/07/2025</v>
      </c>
      <c r="I29" s="13">
        <f>VLOOKUP(C29,[3]report!$A$2:$R$406,17,FALSE)</f>
        <v>1085200</v>
      </c>
    </row>
    <row r="30" spans="2:9" s="5" customFormat="1" x14ac:dyDescent="0.25">
      <c r="B30" s="7">
        <v>25</v>
      </c>
      <c r="C30" s="11">
        <v>1270476663</v>
      </c>
      <c r="D30" s="12" t="str">
        <f>VLOOKUP(C30,[3]report!$A$2:$R$406,3,FALSE)</f>
        <v>M. FAUZAN</v>
      </c>
      <c r="E30" s="7">
        <f>VLOOKUP(C30,[3]report!$A$2:$R$406,4,FALSE)</f>
        <v>80065602</v>
      </c>
      <c r="F30" s="7">
        <f>VLOOKUP(C30,[3]report!$A$2:$R$406,5,FALSE)</f>
        <v>4120176737</v>
      </c>
      <c r="G30" s="12" t="str">
        <f>VLOOKUP(C30,[3]report!$A$2:$R$406,8,FALSE)</f>
        <v>Kab. Mamuju - Kota Makassar - Kab. Pasangkayu</v>
      </c>
      <c r="H30" s="12" t="str">
        <f>VLOOKUP(C30,[3]report!$A$2:$R$406,9,FALSE)</f>
        <v>20/07/2025 - 25/07/2025</v>
      </c>
      <c r="I30" s="13">
        <f>VLOOKUP(C30,[3]report!$A$2:$R$406,17,FALSE)</f>
        <v>2420000</v>
      </c>
    </row>
    <row r="31" spans="2:9" s="5" customFormat="1" x14ac:dyDescent="0.25">
      <c r="B31" s="7">
        <v>26</v>
      </c>
      <c r="C31" s="11">
        <v>1270675124</v>
      </c>
      <c r="D31" s="12" t="str">
        <f>VLOOKUP(C31,[3]report!$A$2:$R$406,3,FALSE)</f>
        <v>APRIANTO ROMBEPAYUNG</v>
      </c>
      <c r="E31" s="7">
        <f>VLOOKUP(C31,[3]report!$A$2:$R$406,4,FALSE)</f>
        <v>92148010</v>
      </c>
      <c r="F31" s="7">
        <f>VLOOKUP(C31,[3]report!$A$2:$R$406,5,FALSE)</f>
        <v>4120176741</v>
      </c>
      <c r="G31" s="12" t="str">
        <f>VLOOKUP(C31,[3]report!$A$2:$R$406,8,FALSE)</f>
        <v>Kota Makassar - Jakarta Selatan</v>
      </c>
      <c r="H31" s="12" t="str">
        <f>VLOOKUP(C31,[3]report!$A$2:$R$406,9,FALSE)</f>
        <v>21/07/2025 - 23/07/2025</v>
      </c>
      <c r="I31" s="13">
        <f>VLOOKUP(C31,[3]report!$A$2:$R$406,17,FALSE)</f>
        <v>2034800</v>
      </c>
    </row>
    <row r="32" spans="2:9" s="5" customFormat="1" x14ac:dyDescent="0.25">
      <c r="B32" s="7">
        <v>27</v>
      </c>
      <c r="C32" s="11">
        <v>1270676429</v>
      </c>
      <c r="D32" s="12" t="str">
        <f>VLOOKUP(C32,[3]report!$A$2:$R$406,3,FALSE)</f>
        <v>FADIL MUHAMMAD ARHAM</v>
      </c>
      <c r="E32" s="7">
        <f>VLOOKUP(C32,[3]report!$A$2:$R$406,4,FALSE)</f>
        <v>91127623</v>
      </c>
      <c r="F32" s="7">
        <f>VLOOKUP(C32,[3]report!$A$2:$R$406,5,FALSE)</f>
        <v>4120176742</v>
      </c>
      <c r="G32" s="12" t="str">
        <f>VLOOKUP(C32,[3]report!$A$2:$R$406,8,FALSE)</f>
        <v>Kota Makassar - Jakarta Selatan</v>
      </c>
      <c r="H32" s="12" t="str">
        <f>VLOOKUP(C32,[3]report!$A$2:$R$406,9,FALSE)</f>
        <v>21/07/2025 - 23/07/2025</v>
      </c>
      <c r="I32" s="13">
        <f>VLOOKUP(C32,[3]report!$A$2:$R$406,17,FALSE)</f>
        <v>2037700</v>
      </c>
    </row>
    <row r="33" spans="2:9" s="5" customFormat="1" x14ac:dyDescent="0.25">
      <c r="B33" s="7">
        <v>28</v>
      </c>
      <c r="C33" s="11">
        <v>1270996758</v>
      </c>
      <c r="D33" s="12" t="str">
        <f>VLOOKUP(C33,[3]report!$A$2:$R$406,3,FALSE)</f>
        <v>BAGUS ALBARANU YULIATMOKO</v>
      </c>
      <c r="E33" s="7">
        <f>VLOOKUP(C33,[3]report!$A$2:$R$406,4,FALSE)</f>
        <v>96207604</v>
      </c>
      <c r="F33" s="7">
        <f>VLOOKUP(C33,[3]report!$A$2:$R$406,5,FALSE)</f>
        <v>4120176771</v>
      </c>
      <c r="G33" s="12" t="str">
        <f>VLOOKUP(C33,[3]report!$A$2:$R$406,8,FALSE)</f>
        <v>Kota Makassar - Kota Bogor</v>
      </c>
      <c r="H33" s="12" t="str">
        <f>VLOOKUP(C33,[3]report!$A$2:$R$406,9,FALSE)</f>
        <v>22/07/2025 - 26/07/2025</v>
      </c>
      <c r="I33" s="13">
        <f>VLOOKUP(C33,[3]report!$A$2:$R$406,17,FALSE)</f>
        <v>763750</v>
      </c>
    </row>
    <row r="34" spans="2:9" s="5" customFormat="1" x14ac:dyDescent="0.25">
      <c r="B34" s="7">
        <v>29</v>
      </c>
      <c r="C34" s="16">
        <v>1270914627</v>
      </c>
      <c r="D34" s="12" t="str">
        <f>VLOOKUP(C34,[3]report!$A$2:$R$406,3,FALSE)</f>
        <v>ANDI FAKHRUL SAM</v>
      </c>
      <c r="E34" s="7">
        <f>VLOOKUP(C34,[3]report!$A$2:$R$406,4,FALSE)</f>
        <v>93137642</v>
      </c>
      <c r="F34" s="7">
        <f>VLOOKUP(C34,[3]report!$A$2:$R$406,5,FALSE)</f>
        <v>4120176744</v>
      </c>
      <c r="G34" s="12" t="str">
        <f>VLOOKUP(C34,[3]report!$A$2:$R$406,8,FALSE)</f>
        <v>Kota Baubau - Kota Makassar</v>
      </c>
      <c r="H34" s="12" t="str">
        <f>VLOOKUP(C34,[3]report!$A$2:$R$406,9,FALSE)</f>
        <v>20/07/2025 - 23/07/2025</v>
      </c>
      <c r="I34" s="13">
        <f>VLOOKUP(C34,[3]report!$A$2:$R$406,17,FALSE)</f>
        <v>805200</v>
      </c>
    </row>
    <row r="35" spans="2:9" s="5" customFormat="1" x14ac:dyDescent="0.25">
      <c r="B35" s="7">
        <v>30</v>
      </c>
      <c r="C35" s="18">
        <v>1270938871</v>
      </c>
      <c r="D35" s="12" t="str">
        <f>VLOOKUP(C35,[3]report!$A$2:$R$406,3,FALSE)</f>
        <v>MOHAMAD SULTHAN</v>
      </c>
      <c r="E35" s="7">
        <f>VLOOKUP(C35,[3]report!$A$2:$R$406,4,FALSE)</f>
        <v>73937610</v>
      </c>
      <c r="F35" s="7">
        <f>VLOOKUP(C35,[3]report!$A$2:$R$406,5,FALSE)</f>
        <v>4120176738</v>
      </c>
      <c r="G35" s="12" t="str">
        <f>VLOOKUP(C35,[3]report!$A$2:$R$406,8,FALSE)</f>
        <v>Kab. Mamuju - Kab. Pasangkayu - Kab. Mamasa</v>
      </c>
      <c r="H35" s="12" t="str">
        <f>VLOOKUP(C35,[3]report!$A$2:$R$406,9,FALSE)</f>
        <v>22/07/2025 - 25/07/2025</v>
      </c>
      <c r="I35" s="13">
        <f>VLOOKUP(C35,[3]report!$A$2:$R$406,17,FALSE)</f>
        <v>940000</v>
      </c>
    </row>
    <row r="36" spans="2:9" s="5" customFormat="1" x14ac:dyDescent="0.25">
      <c r="B36" s="7">
        <v>31</v>
      </c>
      <c r="C36" s="11">
        <v>1270880139</v>
      </c>
      <c r="D36" s="12" t="str">
        <f>VLOOKUP(C36,[3]report!$A$2:$R$406,3,FALSE)</f>
        <v>M. FAUZAN</v>
      </c>
      <c r="E36" s="7">
        <f>VLOOKUP(C36,[3]report!$A$2:$R$406,4,FALSE)</f>
        <v>80065602</v>
      </c>
      <c r="F36" s="7">
        <f>VLOOKUP(C36,[3]report!$A$2:$R$406,5,FALSE)</f>
        <v>4120176737</v>
      </c>
      <c r="G36" s="12" t="str">
        <f>VLOOKUP(C36,[3]report!$A$2:$R$406,8,FALSE)</f>
        <v>Kab. Mamuju - Kota Makassar - Kab. Pasangkayu</v>
      </c>
      <c r="H36" s="12" t="str">
        <f>VLOOKUP(C36,[3]report!$A$2:$R$406,9,FALSE)</f>
        <v>20/07/2025 - 25/07/2025</v>
      </c>
      <c r="I36" s="13">
        <f>VLOOKUP(C36,[3]report!$A$2:$R$406,17,FALSE)</f>
        <v>940000</v>
      </c>
    </row>
    <row r="37" spans="2:9" s="5" customFormat="1" x14ac:dyDescent="0.25">
      <c r="B37" s="7">
        <v>32</v>
      </c>
      <c r="C37" s="11">
        <v>1270934806</v>
      </c>
      <c r="D37" s="12" t="str">
        <f>VLOOKUP(C37,[3]report!$A$2:$R$406,3,FALSE)</f>
        <v>M. LUKMAN HAKIM</v>
      </c>
      <c r="E37" s="7">
        <f>VLOOKUP(C37,[3]report!$A$2:$R$406,4,FALSE)</f>
        <v>87127603</v>
      </c>
      <c r="F37" s="7">
        <f>VLOOKUP(C37,[3]report!$A$2:$R$406,5,FALSE)</f>
        <v>4120176772</v>
      </c>
      <c r="G37" s="12" t="str">
        <f>VLOOKUP(C37,[3]report!$A$2:$R$406,8,FALSE)</f>
        <v>Kota Makassar - Kota Denpasar</v>
      </c>
      <c r="H37" s="12" t="str">
        <f>VLOOKUP(C37,[3]report!$A$2:$R$406,9,FALSE)</f>
        <v>23/07/2025 - 26/07/2025</v>
      </c>
      <c r="I37" s="13">
        <f>VLOOKUP(C37,[3]report!$A$2:$R$406,17,FALSE)</f>
        <v>1224000</v>
      </c>
    </row>
    <row r="38" spans="2:9" s="5" customFormat="1" x14ac:dyDescent="0.25">
      <c r="B38" s="7">
        <v>33</v>
      </c>
      <c r="C38" s="11">
        <v>1270966038</v>
      </c>
      <c r="D38" s="12" t="str">
        <f>VLOOKUP(C38,[3]report!$A$2:$R$406,3,FALSE)</f>
        <v>APRIANTO ROMBEPAYUNG</v>
      </c>
      <c r="E38" s="7">
        <f>VLOOKUP(C38,[3]report!$A$2:$R$406,4,FALSE)</f>
        <v>92148010</v>
      </c>
      <c r="F38" s="7">
        <f>VLOOKUP(C38,[3]report!$A$2:$R$406,5,FALSE)</f>
        <v>4120176741</v>
      </c>
      <c r="G38" s="12" t="str">
        <f>VLOOKUP(C38,[3]report!$A$2:$R$406,8,FALSE)</f>
        <v>Kota Makassar - Jakarta Selatan</v>
      </c>
      <c r="H38" s="12" t="str">
        <f>VLOOKUP(C38,[3]report!$A$2:$R$406,9,FALSE)</f>
        <v>21/07/2025 - 23/07/2025</v>
      </c>
      <c r="I38" s="13">
        <f>VLOOKUP(C38,[3]report!$A$2:$R$406,17,FALSE)</f>
        <v>1343200</v>
      </c>
    </row>
    <row r="39" spans="2:9" s="5" customFormat="1" x14ac:dyDescent="0.25">
      <c r="B39" s="7">
        <v>34</v>
      </c>
      <c r="C39" s="11">
        <v>1270969355</v>
      </c>
      <c r="D39" s="12" t="str">
        <f>VLOOKUP(C39,[3]report!$A$2:$R$406,3,FALSE)</f>
        <v>FADIL MUHAMMAD ARHAM</v>
      </c>
      <c r="E39" s="7">
        <f>VLOOKUP(C39,[3]report!$A$2:$R$406,4,FALSE)</f>
        <v>91127623</v>
      </c>
      <c r="F39" s="7">
        <f>VLOOKUP(C39,[3]report!$A$2:$R$406,5,FALSE)</f>
        <v>4120176742</v>
      </c>
      <c r="G39" s="12" t="str">
        <f>VLOOKUP(C39,[3]report!$A$2:$R$406,8,FALSE)</f>
        <v>Kota Makassar - Jakarta Selatan</v>
      </c>
      <c r="H39" s="12" t="str">
        <f>VLOOKUP(C39,[3]report!$A$2:$R$406,9,FALSE)</f>
        <v>21/07/2025 - 23/07/2025</v>
      </c>
      <c r="I39" s="13">
        <f>VLOOKUP(C39,[3]report!$A$2:$R$406,17,FALSE)</f>
        <v>1360962</v>
      </c>
    </row>
    <row r="40" spans="2:9" s="5" customFormat="1" x14ac:dyDescent="0.25">
      <c r="B40" s="7">
        <v>35</v>
      </c>
      <c r="C40" s="11">
        <v>1270933899</v>
      </c>
      <c r="D40" s="12" t="str">
        <f>VLOOKUP(C40,[3]report!$A$2:$R$406,3,FALSE)</f>
        <v>ANDI ARLANGGA BUSPADI</v>
      </c>
      <c r="E40" s="7">
        <f>VLOOKUP(C40,[3]report!$A$2:$R$406,4,FALSE)</f>
        <v>98177607</v>
      </c>
      <c r="F40" s="7">
        <f>VLOOKUP(C40,[3]report!$A$2:$R$406,5,FALSE)</f>
        <v>4120176700</v>
      </c>
      <c r="G40" s="12" t="str">
        <f>VLOOKUP(C40,[3]report!$A$2:$R$406,8,FALSE)</f>
        <v>Kab. Bone - Jakarta Barat</v>
      </c>
      <c r="H40" s="12" t="str">
        <f>VLOOKUP(C40,[3]report!$A$2:$R$406,9,FALSE)</f>
        <v>27/07/2025 - 31/07/2025</v>
      </c>
      <c r="I40" s="13">
        <f>VLOOKUP(C40,[3]report!$A$2:$R$406,17,FALSE)</f>
        <v>1457100</v>
      </c>
    </row>
    <row r="41" spans="2:9" s="5" customFormat="1" x14ac:dyDescent="0.25">
      <c r="B41" s="7">
        <v>36</v>
      </c>
      <c r="C41" s="11">
        <v>1270993596</v>
      </c>
      <c r="D41" s="12" t="str">
        <f>VLOOKUP(C41,[3]report!$A$2:$R$406,3,FALSE)</f>
        <v>BAGUS ALBARANU YULIATMOKO</v>
      </c>
      <c r="E41" s="7">
        <f>VLOOKUP(C41,[3]report!$A$2:$R$406,4,FALSE)</f>
        <v>96207604</v>
      </c>
      <c r="F41" s="7">
        <f>VLOOKUP(C41,[3]report!$A$2:$R$406,5,FALSE)</f>
        <v>4120176771</v>
      </c>
      <c r="G41" s="12" t="str">
        <f>VLOOKUP(C41,[3]report!$A$2:$R$406,8,FALSE)</f>
        <v>Kota Makassar - Kota Bogor</v>
      </c>
      <c r="H41" s="12" t="str">
        <f>VLOOKUP(C41,[3]report!$A$2:$R$406,9,FALSE)</f>
        <v>22/07/2025 - 26/07/2025</v>
      </c>
      <c r="I41" s="13">
        <f>VLOOKUP(C41,[3]report!$A$2:$R$406,17,FALSE)</f>
        <v>1673999</v>
      </c>
    </row>
    <row r="42" spans="2:9" s="5" customFormat="1" x14ac:dyDescent="0.25">
      <c r="B42" s="7">
        <v>37</v>
      </c>
      <c r="C42" s="11">
        <v>1270993058</v>
      </c>
      <c r="D42" s="12" t="str">
        <f>VLOOKUP(C42,[3]report!$A$2:$R$406,3,FALSE)</f>
        <v>BAGUS ALBARANU YULIATMOKO</v>
      </c>
      <c r="E42" s="7">
        <f>VLOOKUP(C42,[3]report!$A$2:$R$406,4,FALSE)</f>
        <v>96207604</v>
      </c>
      <c r="F42" s="7">
        <f>VLOOKUP(C42,[3]report!$A$2:$R$406,5,FALSE)</f>
        <v>4120176771</v>
      </c>
      <c r="G42" s="12" t="str">
        <f>VLOOKUP(C42,[3]report!$A$2:$R$406,8,FALSE)</f>
        <v>Kota Makassar - Kota Bogor</v>
      </c>
      <c r="H42" s="12" t="str">
        <f>VLOOKUP(C42,[3]report!$A$2:$R$406,9,FALSE)</f>
        <v>22/07/2025 - 26/07/2025</v>
      </c>
      <c r="I42" s="13">
        <f>VLOOKUP(C42,[3]report!$A$2:$R$406,17,FALSE)</f>
        <v>2032900</v>
      </c>
    </row>
    <row r="43" spans="2:9" s="5" customFormat="1" x14ac:dyDescent="0.25">
      <c r="B43" s="7">
        <v>38</v>
      </c>
      <c r="C43" s="11">
        <v>1271023187</v>
      </c>
      <c r="D43" s="12" t="str">
        <f>VLOOKUP(C43,[3]report!$A$2:$R$406,3,FALSE)</f>
        <v>ANDI FAKHRUL SAM</v>
      </c>
      <c r="E43" s="7">
        <f>VLOOKUP(C43,[3]report!$A$2:$R$406,4,FALSE)</f>
        <v>93137642</v>
      </c>
      <c r="F43" s="7">
        <f>VLOOKUP(C43,[3]report!$A$2:$R$406,5,FALSE)</f>
        <v>4120176744</v>
      </c>
      <c r="G43" s="12" t="str">
        <f>VLOOKUP(C43,[3]report!$A$2:$R$406,8,FALSE)</f>
        <v>KotaBaubau-KotaMakassar</v>
      </c>
      <c r="H43" s="12" t="str">
        <f>VLOOKUP(C43,[3]report!$A$2:$R$406,9,FALSE)</f>
        <v>20/07/2025 - 23/07/2025</v>
      </c>
      <c r="I43" s="13">
        <f>VLOOKUP(C43,[3]report!$A$2:$R$406,17,FALSE)</f>
        <v>803250</v>
      </c>
    </row>
    <row r="44" spans="2:9" s="5" customFormat="1" x14ac:dyDescent="0.25">
      <c r="B44" s="7">
        <v>39</v>
      </c>
      <c r="C44" s="11">
        <v>1270997492</v>
      </c>
      <c r="D44" s="12" t="str">
        <f>VLOOKUP(C44,[3]report!$A$2:$R$406,3,FALSE)</f>
        <v xml:space="preserve">ASDARIA </v>
      </c>
      <c r="E44" s="7">
        <f>VLOOKUP(C44,[3]report!$A$2:$R$406,4,FALSE)</f>
        <v>93167609</v>
      </c>
      <c r="F44" s="7">
        <f>VLOOKUP(C44,[3]report!$A$2:$R$406,5,FALSE)</f>
        <v>4120176800</v>
      </c>
      <c r="G44" s="12" t="str">
        <f>VLOOKUP(C44,[3]report!$A$2:$R$406,8,FALSE)</f>
        <v>Kota Makassar - Kota Bogor</v>
      </c>
      <c r="H44" s="12" t="str">
        <f>VLOOKUP(C44,[3]report!$A$2:$R$406,9,FALSE)</f>
        <v>22/07/2025 - 26/07/2025</v>
      </c>
      <c r="I44" s="13">
        <f>VLOOKUP(C44,[3]report!$A$2:$R$406,17,FALSE)</f>
        <v>2221900</v>
      </c>
    </row>
    <row r="45" spans="2:9" s="5" customFormat="1" x14ac:dyDescent="0.25">
      <c r="B45" s="7">
        <v>40</v>
      </c>
      <c r="C45" s="11">
        <v>1271054720</v>
      </c>
      <c r="D45" s="12" t="str">
        <f>VLOOKUP(C45,[3]report!$A$2:$R$406,3,FALSE)</f>
        <v xml:space="preserve">ASDARIA </v>
      </c>
      <c r="E45" s="7">
        <f>VLOOKUP(C45,[3]report!$A$2:$R$406,4,FALSE)</f>
        <v>93167609</v>
      </c>
      <c r="F45" s="7">
        <f>VLOOKUP(C45,[3]report!$A$2:$R$406,5,FALSE)</f>
        <v>4120176800</v>
      </c>
      <c r="G45" s="12" t="str">
        <f>VLOOKUP(C45,[3]report!$A$2:$R$406,8,FALSE)</f>
        <v>Kota Makassar - Kota Bogor</v>
      </c>
      <c r="H45" s="12" t="str">
        <f>VLOOKUP(C45,[3]report!$A$2:$R$406,9,FALSE)</f>
        <v>22/07/2025 - 26/07/2025</v>
      </c>
      <c r="I45" s="13">
        <f>VLOOKUP(C45,[3]report!$A$2:$R$406,17,FALSE)</f>
        <v>2278575</v>
      </c>
    </row>
    <row r="46" spans="2:9" s="5" customFormat="1" x14ac:dyDescent="0.25">
      <c r="B46" s="7">
        <v>41</v>
      </c>
      <c r="C46" s="11">
        <v>1271217452</v>
      </c>
      <c r="D46" s="12" t="str">
        <f>VLOOKUP(C46,[3]report!$A$2:$R$406,3,FALSE)</f>
        <v>MUHAMMAD SUSGANDINATA</v>
      </c>
      <c r="E46" s="7">
        <f>VLOOKUP(C46,[3]report!$A$2:$R$406,4,FALSE)</f>
        <v>86097601</v>
      </c>
      <c r="F46" s="7">
        <f>VLOOKUP(C46,[3]report!$A$2:$R$406,5,FALSE)</f>
        <v>4120176792</v>
      </c>
      <c r="G46" s="12" t="str">
        <f>VLOOKUP(C46,[3]report!$A$2:$R$406,8,FALSE)</f>
        <v>Kota Makassar - Kota Denpasar</v>
      </c>
      <c r="H46" s="12" t="str">
        <f>VLOOKUP(C46,[3]report!$A$2:$R$406,9,FALSE)</f>
        <v>23/07/2025 - 26/07/2025</v>
      </c>
      <c r="I46" s="13">
        <f>VLOOKUP(C46,[3]report!$A$2:$R$406,17,FALSE)</f>
        <v>656250</v>
      </c>
    </row>
    <row r="47" spans="2:9" s="5" customFormat="1" x14ac:dyDescent="0.25">
      <c r="B47" s="7">
        <v>42</v>
      </c>
      <c r="C47" s="11">
        <v>1271213571</v>
      </c>
      <c r="D47" s="12" t="str">
        <f>VLOOKUP(C47,[3]report!$A$2:$R$406,3,FALSE)</f>
        <v>MUHAMMAD SUSGANDINATA</v>
      </c>
      <c r="E47" s="7">
        <f>VLOOKUP(C47,[3]report!$A$2:$R$406,4,FALSE)</f>
        <v>86097601</v>
      </c>
      <c r="F47" s="7">
        <f>VLOOKUP(C47,[3]report!$A$2:$R$406,5,FALSE)</f>
        <v>4120176792</v>
      </c>
      <c r="G47" s="12" t="str">
        <f>VLOOKUP(C47,[3]report!$A$2:$R$406,8,FALSE)</f>
        <v>Kota Makassar - Kota Denpasar</v>
      </c>
      <c r="H47" s="12" t="str">
        <f>VLOOKUP(C47,[3]report!$A$2:$R$406,9,FALSE)</f>
        <v>23/07/2025 - 26/07/2025</v>
      </c>
      <c r="I47" s="13">
        <f>VLOOKUP(C47,[3]report!$A$2:$R$406,17,FALSE)</f>
        <v>1276500</v>
      </c>
    </row>
    <row r="48" spans="2:9" s="5" customFormat="1" x14ac:dyDescent="0.25">
      <c r="B48" s="7">
        <v>43</v>
      </c>
      <c r="C48" s="11">
        <v>1271114941</v>
      </c>
      <c r="D48" s="12" t="str">
        <f>VLOOKUP(C48,[3]report!$A$2:$R$406,3,FALSE)</f>
        <v>IVAN SAPUTRA</v>
      </c>
      <c r="E48" s="7">
        <f>VLOOKUP(C48,[3]report!$A$2:$R$406,4,FALSE)</f>
        <v>98187644</v>
      </c>
      <c r="F48" s="7">
        <f>VLOOKUP(C48,[3]report!$A$2:$R$406,5,FALSE)</f>
        <v>4120176709</v>
      </c>
      <c r="G48" s="12" t="str">
        <f>VLOOKUP(C48,[3]report!$A$2:$R$406,8,FALSE)</f>
        <v>Kab. Luwu Timur - Jakarta Barat</v>
      </c>
      <c r="H48" s="12" t="str">
        <f>VLOOKUP(C48,[3]report!$A$2:$R$406,9,FALSE)</f>
        <v>20/07/2025 - 24/07/2025</v>
      </c>
      <c r="I48" s="13">
        <f>VLOOKUP(C48,[3]report!$A$2:$R$406,17,FALSE)</f>
        <v>1328600</v>
      </c>
    </row>
    <row r="49" spans="2:9" s="5" customFormat="1" x14ac:dyDescent="0.25">
      <c r="B49" s="7">
        <v>44</v>
      </c>
      <c r="C49" s="11">
        <v>1271219526</v>
      </c>
      <c r="D49" s="12" t="str">
        <f>VLOOKUP(C49,[3]report!$A$2:$R$406,3,FALSE)</f>
        <v>JOHAN PRASETYA YUDHA PRAMUKTI</v>
      </c>
      <c r="E49" s="7">
        <f>VLOOKUP(C49,[3]report!$A$2:$R$406,4,FALSE)</f>
        <v>85117607</v>
      </c>
      <c r="F49" s="7">
        <f>VLOOKUP(C49,[3]report!$A$2:$R$406,5,FALSE)</f>
        <v>4120176814</v>
      </c>
      <c r="G49" s="12" t="str">
        <f>VLOOKUP(C49,[3]report!$A$2:$R$406,8,FALSE)</f>
        <v>Kota Makassar - Kota Semarang</v>
      </c>
      <c r="H49" s="12" t="str">
        <f>VLOOKUP(C49,[3]report!$A$2:$R$406,9,FALSE)</f>
        <v>23/07/2025 - 25/07/2025</v>
      </c>
      <c r="I49" s="13">
        <f>VLOOKUP(C49,[3]report!$A$2:$R$406,17,FALSE)</f>
        <v>1444000</v>
      </c>
    </row>
    <row r="50" spans="2:9" s="5" customFormat="1" x14ac:dyDescent="0.25">
      <c r="B50" s="7">
        <v>45</v>
      </c>
      <c r="C50" s="11">
        <v>1271109892</v>
      </c>
      <c r="D50" s="12" t="str">
        <f>VLOOKUP(C50,[3]report!$A$2:$R$406,3,FALSE)</f>
        <v xml:space="preserve">ZULKARNAIN </v>
      </c>
      <c r="E50" s="7">
        <f>VLOOKUP(C50,[3]report!$A$2:$R$406,4,FALSE)</f>
        <v>96137716</v>
      </c>
      <c r="F50" s="7">
        <f>VLOOKUP(C50,[3]report!$A$2:$R$406,5,FALSE)</f>
        <v>4120176612</v>
      </c>
      <c r="G50" s="12" t="str">
        <f>VLOOKUP(C50,[3]report!$A$2:$R$406,8,FALSE)</f>
        <v>Kota Makassar - Jakarta Barat</v>
      </c>
      <c r="H50" s="12" t="str">
        <f>VLOOKUP(C50,[3]report!$A$2:$R$406,9,FALSE)</f>
        <v>27/07/2025 - 30/07/2025</v>
      </c>
      <c r="I50" s="13">
        <f>VLOOKUP(C50,[3]report!$A$2:$R$406,17,FALSE)</f>
        <v>1465000</v>
      </c>
    </row>
    <row r="51" spans="2:9" s="5" customFormat="1" x14ac:dyDescent="0.25">
      <c r="B51" s="7">
        <v>46</v>
      </c>
      <c r="C51" s="11">
        <v>1271205731</v>
      </c>
      <c r="D51" s="12" t="str">
        <f>VLOOKUP(C51,[3]report!$A$2:$R$406,3,FALSE)</f>
        <v xml:space="preserve">IRWAN </v>
      </c>
      <c r="E51" s="7">
        <f>VLOOKUP(C51,[3]report!$A$2:$R$406,4,FALSE)</f>
        <v>92127601</v>
      </c>
      <c r="F51" s="7">
        <f>VLOOKUP(C51,[3]report!$A$2:$R$406,5,FALSE)</f>
        <v>4120176680</v>
      </c>
      <c r="G51" s="12" t="str">
        <f>VLOOKUP(C51,[3]report!$A$2:$R$406,8,FALSE)</f>
        <v>Kab. Majene - Jakarta Barat</v>
      </c>
      <c r="H51" s="12" t="str">
        <f>VLOOKUP(C51,[3]report!$A$2:$R$406,9,FALSE)</f>
        <v>20/07/2025 - 24/07/2025</v>
      </c>
      <c r="I51" s="13">
        <f>VLOOKUP(C51,[3]report!$A$2:$R$406,17,FALSE)</f>
        <v>1720500</v>
      </c>
    </row>
    <row r="52" spans="2:9" s="5" customFormat="1" x14ac:dyDescent="0.25">
      <c r="B52" s="7">
        <v>47</v>
      </c>
      <c r="C52" s="11">
        <v>1271207087</v>
      </c>
      <c r="D52" s="12" t="str">
        <f>VLOOKUP(C52,[3]report!$A$2:$R$406,3,FALSE)</f>
        <v>HARIS</v>
      </c>
      <c r="E52" s="7">
        <f>VLOOKUP(C52,[3]report!$A$2:$R$406,4,FALSE)</f>
        <v>91127604</v>
      </c>
      <c r="F52" s="7">
        <f>VLOOKUP(C52,[3]report!$A$2:$R$406,5,FALSE)</f>
        <v>4120176623</v>
      </c>
      <c r="G52" s="12" t="str">
        <f>VLOOKUP(C52,[3]report!$A$2:$R$406,8,FALSE)</f>
        <v>Kab.Mamuju-JakartaBarat</v>
      </c>
      <c r="H52" s="12" t="str">
        <f>VLOOKUP(C52,[3]report!$A$2:$R$406,9,FALSE)</f>
        <v>20/07/2025 - 24/07/2025</v>
      </c>
      <c r="I52" s="13">
        <f>VLOOKUP(C52,[3]report!$A$2:$R$406,17,FALSE)</f>
        <v>1720500</v>
      </c>
    </row>
    <row r="53" spans="2:9" s="5" customFormat="1" x14ac:dyDescent="0.25">
      <c r="B53" s="7">
        <v>48</v>
      </c>
      <c r="C53" s="11">
        <v>1271110545</v>
      </c>
      <c r="D53" s="12" t="str">
        <f>VLOOKUP(C53,[3]report!$A$2:$R$406,3,FALSE)</f>
        <v xml:space="preserve">ZULKARNAIN </v>
      </c>
      <c r="E53" s="7">
        <f>VLOOKUP(C53,[3]report!$A$2:$R$406,4,FALSE)</f>
        <v>96137716</v>
      </c>
      <c r="F53" s="7">
        <f>VLOOKUP(C53,[3]report!$A$2:$R$406,5,FALSE)</f>
        <v>4120176612</v>
      </c>
      <c r="G53" s="12" t="str">
        <f>VLOOKUP(C53,[3]report!$A$2:$R$406,8,FALSE)</f>
        <v>Kota Makassar - Jakarta Barat</v>
      </c>
      <c r="H53" s="12" t="str">
        <f>VLOOKUP(C53,[3]report!$A$2:$R$406,9,FALSE)</f>
        <v>27/07/2025 - 30/07/2025</v>
      </c>
      <c r="I53" s="13">
        <f>VLOOKUP(C53,[3]report!$A$2:$R$406,17,FALSE)</f>
        <v>2274600</v>
      </c>
    </row>
    <row r="54" spans="2:9" s="5" customFormat="1" x14ac:dyDescent="0.25">
      <c r="B54" s="7">
        <v>49</v>
      </c>
      <c r="C54" s="11">
        <v>1271244286</v>
      </c>
      <c r="D54" s="12" t="str">
        <f>VLOOKUP(C54,[3]report!$A$2:$R$406,3,FALSE)</f>
        <v xml:space="preserve">PURNOTO </v>
      </c>
      <c r="E54" s="7">
        <f>VLOOKUP(C54,[3]report!$A$2:$R$406,4,FALSE)</f>
        <v>93187623</v>
      </c>
      <c r="F54" s="7">
        <f>VLOOKUP(C54,[3]report!$A$2:$R$406,5,FALSE)</f>
        <v>4120176799</v>
      </c>
      <c r="G54" s="12" t="str">
        <f>VLOOKUP(C54,[3]report!$A$2:$R$406,8,FALSE)</f>
        <v>Kab. Bulukumba - Kab. Kepulauan Selayar</v>
      </c>
      <c r="H54" s="12" t="str">
        <f>VLOOKUP(C54,[3]report!$A$2:$R$406,9,FALSE)</f>
        <v>22/07/2025 - 23/07/2025</v>
      </c>
      <c r="I54" s="13">
        <f>VLOOKUP(C54,[3]report!$A$2:$R$406,17,FALSE)</f>
        <v>550000</v>
      </c>
    </row>
    <row r="55" spans="2:9" s="5" customFormat="1" x14ac:dyDescent="0.25">
      <c r="B55" s="7">
        <v>50</v>
      </c>
      <c r="C55" s="11">
        <v>1271244814</v>
      </c>
      <c r="D55" s="12" t="str">
        <f>VLOOKUP(C55,[3]report!$A$2:$R$406,3,FALSE)</f>
        <v>ELISA NURLAILY</v>
      </c>
      <c r="E55" s="7">
        <f>VLOOKUP(C55,[3]report!$A$2:$R$406,4,FALSE)</f>
        <v>93167615</v>
      </c>
      <c r="F55" s="7">
        <f>VLOOKUP(C55,[3]report!$A$2:$R$406,5,FALSE)</f>
        <v>4120176779</v>
      </c>
      <c r="G55" s="12" t="str">
        <f>VLOOKUP(C55,[3]report!$A$2:$R$406,8,FALSE)</f>
        <v>Kab. Kepulauan Selayar - Kab. Kepulauan Selayar</v>
      </c>
      <c r="H55" s="12" t="str">
        <f>VLOOKUP(C55,[3]report!$A$2:$R$406,9,FALSE)</f>
        <v>22/07/2025 - 23/07/2025</v>
      </c>
      <c r="I55" s="13">
        <f>VLOOKUP(C55,[3]report!$A$2:$R$406,17,FALSE)</f>
        <v>550000</v>
      </c>
    </row>
    <row r="56" spans="2:9" s="5" customFormat="1" x14ac:dyDescent="0.25">
      <c r="B56" s="7">
        <v>51</v>
      </c>
      <c r="C56" s="11">
        <v>1271245163</v>
      </c>
      <c r="D56" s="12" t="str">
        <f>VLOOKUP(C56,[3]report!$A$2:$R$406,3,FALSE)</f>
        <v>ISMAIL USMAN</v>
      </c>
      <c r="E56" s="7">
        <f>VLOOKUP(C56,[3]report!$A$2:$R$406,4,FALSE)</f>
        <v>86097607</v>
      </c>
      <c r="F56" s="7">
        <f>VLOOKUP(C56,[3]report!$A$2:$R$406,5,FALSE)</f>
        <v>4120176794</v>
      </c>
      <c r="G56" s="12" t="str">
        <f>VLOOKUP(C56,[3]report!$A$2:$R$406,8,FALSE)</f>
        <v>Kab. Bulukumba - Kab. Kepulauan Selayar</v>
      </c>
      <c r="H56" s="12" t="str">
        <f>VLOOKUP(C56,[3]report!$A$2:$R$406,9,FALSE)</f>
        <v>22/07/2025 - 23/07/2025</v>
      </c>
      <c r="I56" s="13">
        <f>VLOOKUP(C56,[3]report!$A$2:$R$406,17,FALSE)</f>
        <v>550000</v>
      </c>
    </row>
    <row r="57" spans="2:9" s="5" customFormat="1" x14ac:dyDescent="0.25">
      <c r="B57" s="7">
        <v>52</v>
      </c>
      <c r="C57" s="11">
        <v>1271241113</v>
      </c>
      <c r="D57" s="12" t="str">
        <f>VLOOKUP(C57,[3]report!$A$2:$R$406,3,FALSE)</f>
        <v>RADEN OCKY LOVYANDA SAPUTRA</v>
      </c>
      <c r="E57" s="7">
        <f>VLOOKUP(C57,[3]report!$A$2:$R$406,4,FALSE)</f>
        <v>91157609</v>
      </c>
      <c r="F57" s="7">
        <f>VLOOKUP(C57,[3]report!$A$2:$R$406,5,FALSE)</f>
        <v>4120176697</v>
      </c>
      <c r="G57" s="12" t="str">
        <f>VLOOKUP(C57,[3]report!$A$2:$R$406,8,FALSE)</f>
        <v>Kab.KolakaUtara-Kab.Bogor</v>
      </c>
      <c r="H57" s="12" t="str">
        <f>VLOOKUP(C57,[3]report!$A$2:$R$406,9,FALSE)</f>
        <v>20/07/2025 - 26/07/2025</v>
      </c>
      <c r="I57" s="13">
        <f>VLOOKUP(C57,[3]report!$A$2:$R$406,17,FALSE)</f>
        <v>1648900</v>
      </c>
    </row>
    <row r="58" spans="2:9" s="5" customFormat="1" x14ac:dyDescent="0.25">
      <c r="B58" s="7">
        <v>53</v>
      </c>
      <c r="C58" s="11">
        <v>1271416587</v>
      </c>
      <c r="D58" s="12" t="str">
        <f>VLOOKUP(C58,[3]report!$A$2:$R$406,3,FALSE)</f>
        <v>BAMA RUSMALI</v>
      </c>
      <c r="E58" s="7">
        <f>VLOOKUP(C58,[3]report!$A$2:$R$406,4,FALSE)</f>
        <v>96197617</v>
      </c>
      <c r="F58" s="7">
        <f>VLOOKUP(C58,[3]report!$A$2:$R$406,5,FALSE)</f>
        <v>4120176823</v>
      </c>
      <c r="G58" s="12" t="str">
        <f>VLOOKUP(C58,[3]report!$A$2:$R$406,8,FALSE)</f>
        <v>Kota Makassar - Jakarta Selatan</v>
      </c>
      <c r="H58" s="12" t="str">
        <f>VLOOKUP(C58,[3]report!$A$2:$R$406,9,FALSE)</f>
        <v>24/07/2025 - 25/07/2025</v>
      </c>
      <c r="I58" s="13">
        <f>VLOOKUP(C58,[3]report!$A$2:$R$406,17,FALSE)</f>
        <v>715000</v>
      </c>
    </row>
    <row r="59" spans="2:9" s="5" customFormat="1" x14ac:dyDescent="0.25">
      <c r="B59" s="7">
        <v>54</v>
      </c>
      <c r="C59" s="11">
        <v>1271430585</v>
      </c>
      <c r="D59" s="12" t="str">
        <f>VLOOKUP(C59,[3]report!$A$2:$R$406,3,FALSE)</f>
        <v>HADI YUSRAN ZAENAL ABIDIN</v>
      </c>
      <c r="E59" s="7">
        <f>VLOOKUP(C59,[3]report!$A$2:$R$406,4,FALSE)</f>
        <v>90087600</v>
      </c>
      <c r="F59" s="7">
        <f>VLOOKUP(C59,[3]report!$A$2:$R$406,5,FALSE)</f>
        <v>4120176843</v>
      </c>
      <c r="G59" s="12" t="str">
        <f>VLOOKUP(C59,[3]report!$A$2:$R$406,8,FALSE)</f>
        <v>Kota Kendari - Kota Makassar</v>
      </c>
      <c r="H59" s="12" t="str">
        <f>VLOOKUP(C59,[3]report!$A$2:$R$406,9,FALSE)</f>
        <v>24/07/2025 - 25/07/2025</v>
      </c>
      <c r="I59" s="13">
        <f>VLOOKUP(C59,[3]report!$A$2:$R$406,17,FALSE)</f>
        <v>761500</v>
      </c>
    </row>
    <row r="60" spans="2:9" s="5" customFormat="1" x14ac:dyDescent="0.25">
      <c r="B60" s="7">
        <v>55</v>
      </c>
      <c r="C60" s="11">
        <v>1271461909</v>
      </c>
      <c r="D60" s="12" t="str">
        <f>VLOOKUP(C60,[3]report!$A$2:$R$406,3,FALSE)</f>
        <v>HARYADI MULIYADI</v>
      </c>
      <c r="E60" s="7">
        <f>VLOOKUP(C60,[3]report!$A$2:$R$406,4,FALSE)</f>
        <v>96137725</v>
      </c>
      <c r="F60" s="7">
        <f>VLOOKUP(C60,[3]report!$A$2:$R$406,5,FALSE)</f>
        <v>4120176822</v>
      </c>
      <c r="G60" s="12" t="str">
        <f>VLOOKUP(C60,[3]report!$A$2:$R$406,8,FALSE)</f>
        <v>Kota Parepare - Kab. Soppeng</v>
      </c>
      <c r="H60" s="12" t="str">
        <f>VLOOKUP(C60,[3]report!$A$2:$R$406,9,FALSE)</f>
        <v>23/07/2025 - 25/07/2025</v>
      </c>
      <c r="I60" s="13">
        <f>VLOOKUP(C60,[3]report!$A$2:$R$406,17,FALSE)</f>
        <v>1000000</v>
      </c>
    </row>
    <row r="61" spans="2:9" s="5" customFormat="1" x14ac:dyDescent="0.25">
      <c r="B61" s="7">
        <v>56</v>
      </c>
      <c r="C61" s="11">
        <v>1271463341</v>
      </c>
      <c r="D61" s="12" t="str">
        <f>VLOOKUP(C61,[3]report!$A$2:$R$406,3,FALSE)</f>
        <v>MUHAMMAD ZULFADLY SAPRI</v>
      </c>
      <c r="E61" s="7">
        <f>VLOOKUP(C61,[3]report!$A$2:$R$406,4,FALSE)</f>
        <v>96137699</v>
      </c>
      <c r="F61" s="7">
        <f>VLOOKUP(C61,[3]report!$A$2:$R$406,5,FALSE)</f>
        <v>4120176818</v>
      </c>
      <c r="G61" s="12" t="str">
        <f>VLOOKUP(C61,[3]report!$A$2:$R$406,8,FALSE)</f>
        <v>Kota Parepare - Kab. Soppeng</v>
      </c>
      <c r="H61" s="12" t="str">
        <f>VLOOKUP(C61,[3]report!$A$2:$R$406,9,FALSE)</f>
        <v>23/07/2025 - 25/07/2025</v>
      </c>
      <c r="I61" s="13">
        <f>VLOOKUP(C61,[3]report!$A$2:$R$406,17,FALSE)</f>
        <v>1000000</v>
      </c>
    </row>
    <row r="62" spans="2:9" s="5" customFormat="1" x14ac:dyDescent="0.25">
      <c r="B62" s="7">
        <v>57</v>
      </c>
      <c r="C62" s="16">
        <v>1271460340</v>
      </c>
      <c r="D62" s="12" t="str">
        <f>VLOOKUP(C62,[3]report!$A$2:$R$406,3,FALSE)</f>
        <v>RUDY PRAKASA</v>
      </c>
      <c r="E62" s="7">
        <f>VLOOKUP(C62,[3]report!$A$2:$R$406,4,FALSE)</f>
        <v>96177628</v>
      </c>
      <c r="F62" s="7">
        <f>VLOOKUP(C62,[3]report!$A$2:$R$406,5,FALSE)</f>
        <v>4120176820</v>
      </c>
      <c r="G62" s="12" t="str">
        <f>VLOOKUP(C62,[3]report!$A$2:$R$406,8,FALSE)</f>
        <v>Kota Parepare - Kab. Soppeng</v>
      </c>
      <c r="H62" s="12" t="str">
        <f>VLOOKUP(C62,[3]report!$A$2:$R$406,9,FALSE)</f>
        <v>23/07/2025 - 25/07/2025</v>
      </c>
      <c r="I62" s="13">
        <f>VLOOKUP(C62,[3]report!$A$2:$R$406,17,FALSE)</f>
        <v>1200000</v>
      </c>
    </row>
    <row r="63" spans="2:9" s="5" customFormat="1" x14ac:dyDescent="0.25">
      <c r="B63" s="7">
        <v>58</v>
      </c>
      <c r="C63" s="11">
        <v>1271461844</v>
      </c>
      <c r="D63" s="12" t="str">
        <f>VLOOKUP(C63,[3]report!$A$2:$R$406,3,FALSE)</f>
        <v>MUHAMMAD ZULFIKAR</v>
      </c>
      <c r="E63" s="7">
        <f>VLOOKUP(C63,[3]report!$A$2:$R$406,4,FALSE)</f>
        <v>95137640</v>
      </c>
      <c r="F63" s="7">
        <f>VLOOKUP(C63,[3]report!$A$2:$R$406,5,FALSE)</f>
        <v>4120176817</v>
      </c>
      <c r="G63" s="12" t="str">
        <f>VLOOKUP(C63,[3]report!$A$2:$R$406,8,FALSE)</f>
        <v>Kota Parepare - Kab. Soppeng</v>
      </c>
      <c r="H63" s="12" t="str">
        <f>VLOOKUP(C63,[3]report!$A$2:$R$406,9,FALSE)</f>
        <v>23/07/2025 - 25/07/2025</v>
      </c>
      <c r="I63" s="13">
        <f>VLOOKUP(C63,[3]report!$A$2:$R$406,17,FALSE)</f>
        <v>1200000</v>
      </c>
    </row>
    <row r="64" spans="2:9" s="5" customFormat="1" x14ac:dyDescent="0.25">
      <c r="B64" s="7">
        <v>59</v>
      </c>
      <c r="C64" s="11">
        <v>1271464108</v>
      </c>
      <c r="D64" s="12" t="str">
        <f>VLOOKUP(C64,[3]report!$A$2:$R$406,3,FALSE)</f>
        <v>JOHAN PRASETYA YUDHA PRAMUKTI</v>
      </c>
      <c r="E64" s="7">
        <f>VLOOKUP(C64,[3]report!$A$2:$R$406,4,FALSE)</f>
        <v>85117607</v>
      </c>
      <c r="F64" s="7">
        <f>VLOOKUP(C64,[3]report!$A$2:$R$406,5,FALSE)</f>
        <v>4120176814</v>
      </c>
      <c r="G64" s="12" t="str">
        <f>VLOOKUP(C64,[3]report!$A$2:$R$406,8,FALSE)</f>
        <v>Kota Makassar - Kota Semarang</v>
      </c>
      <c r="H64" s="12" t="str">
        <f>VLOOKUP(C64,[3]report!$A$2:$R$406,9,FALSE)</f>
        <v>23/07/2025 - 25/07/2025</v>
      </c>
      <c r="I64" s="13">
        <f>VLOOKUP(C64,[3]report!$A$2:$R$406,17,FALSE)</f>
        <v>1258900</v>
      </c>
    </row>
    <row r="65" spans="2:9" s="5" customFormat="1" x14ac:dyDescent="0.25">
      <c r="B65" s="7">
        <v>60</v>
      </c>
      <c r="C65" s="11">
        <v>1271357888</v>
      </c>
      <c r="D65" s="12" t="str">
        <f>VLOOKUP(C65,[3]report!$A$2:$R$406,3,FALSE)</f>
        <v>BAMA RUSMALI</v>
      </c>
      <c r="E65" s="7">
        <f>VLOOKUP(C65,[3]report!$A$2:$R$406,4,FALSE)</f>
        <v>96197617</v>
      </c>
      <c r="F65" s="7">
        <f>VLOOKUP(C65,[3]report!$A$2:$R$406,5,FALSE)</f>
        <v>4120176823</v>
      </c>
      <c r="G65" s="12" t="str">
        <f>VLOOKUP(C65,[3]report!$A$2:$R$406,8,FALSE)</f>
        <v>Kota Makassar - Jakarta Selatan</v>
      </c>
      <c r="H65" s="12" t="str">
        <f>VLOOKUP(C65,[3]report!$A$2:$R$406,9,FALSE)</f>
        <v>24/07/2025 - 25/07/2025</v>
      </c>
      <c r="I65" s="13">
        <f>VLOOKUP(C65,[3]report!$A$2:$R$406,17,FALSE)</f>
        <v>1467000</v>
      </c>
    </row>
    <row r="66" spans="2:9" s="5" customFormat="1" x14ac:dyDescent="0.25">
      <c r="B66" s="7">
        <v>61</v>
      </c>
      <c r="C66" s="11">
        <v>1271340290</v>
      </c>
      <c r="D66" s="12" t="str">
        <f>VLOOKUP(C66,[3]report!$A$2:$R$406,3,FALSE)</f>
        <v>FADIL MUHAMMAD ARHAM</v>
      </c>
      <c r="E66" s="7">
        <f>VLOOKUP(C66,[3]report!$A$2:$R$406,4,FALSE)</f>
        <v>91127623</v>
      </c>
      <c r="F66" s="7">
        <f>VLOOKUP(C66,[3]report!$A$2:$R$406,5,FALSE)</f>
        <v>4120176742</v>
      </c>
      <c r="G66" s="12" t="str">
        <f>VLOOKUP(C66,[3]report!$A$2:$R$406,8,FALSE)</f>
        <v>Kota Makassar - Jakarta Selatan</v>
      </c>
      <c r="H66" s="12" t="str">
        <f>VLOOKUP(C66,[3]report!$A$2:$R$406,9,FALSE)</f>
        <v>21/07/2025 - 23/07/2025</v>
      </c>
      <c r="I66" s="13">
        <f>VLOOKUP(C66,[3]report!$A$2:$R$406,17,FALSE)</f>
        <v>1467400</v>
      </c>
    </row>
    <row r="67" spans="2:9" s="5" customFormat="1" x14ac:dyDescent="0.25">
      <c r="B67" s="7">
        <v>62</v>
      </c>
      <c r="C67" s="11">
        <v>1271340944</v>
      </c>
      <c r="D67" s="12" t="str">
        <f>VLOOKUP(C67,[3]report!$A$2:$R$406,3,FALSE)</f>
        <v>APRIANTO ROMBEPAYUNG</v>
      </c>
      <c r="E67" s="7">
        <f>VLOOKUP(C67,[3]report!$A$2:$R$406,4,FALSE)</f>
        <v>92148010</v>
      </c>
      <c r="F67" s="7">
        <f>VLOOKUP(C67,[3]report!$A$2:$R$406,5,FALSE)</f>
        <v>4120176741</v>
      </c>
      <c r="G67" s="12" t="str">
        <f>VLOOKUP(C67,[3]report!$A$2:$R$406,8,FALSE)</f>
        <v>Kota Makassar - Jakarta Selatan</v>
      </c>
      <c r="H67" s="12" t="str">
        <f>VLOOKUP(C67,[3]report!$A$2:$R$406,9,FALSE)</f>
        <v>21/07/2025 - 23/07/2025</v>
      </c>
      <c r="I67" s="13">
        <f>VLOOKUP(C67,[3]report!$A$2:$R$406,17,FALSE)</f>
        <v>1467400</v>
      </c>
    </row>
    <row r="68" spans="2:9" s="5" customFormat="1" x14ac:dyDescent="0.25">
      <c r="B68" s="7">
        <v>63</v>
      </c>
      <c r="C68" s="11">
        <v>1271464026</v>
      </c>
      <c r="D68" s="12" t="str">
        <f>VLOOKUP(C68,[3]report!$A$2:$R$406,3,FALSE)</f>
        <v>SARLINA M.KILYKILY</v>
      </c>
      <c r="E68" s="7">
        <f>VLOOKUP(C68,[3]report!$A$2:$R$406,4,FALSE)</f>
        <v>73947604</v>
      </c>
      <c r="F68" s="7">
        <f>VLOOKUP(C68,[3]report!$A$2:$R$406,5,FALSE)</f>
        <v>4120176840</v>
      </c>
      <c r="G68" s="12" t="str">
        <f>VLOOKUP(C68,[3]report!$A$2:$R$406,8,FALSE)</f>
        <v>Kota Kendari - Kota Makassar</v>
      </c>
      <c r="H68" s="12" t="str">
        <f>VLOOKUP(C68,[3]report!$A$2:$R$406,9,FALSE)</f>
        <v>27/07/2025 - 29/07/2025</v>
      </c>
      <c r="I68" s="13">
        <f>VLOOKUP(C68,[3]report!$A$2:$R$406,17,FALSE)</f>
        <v>1546800</v>
      </c>
    </row>
    <row r="69" spans="2:9" s="5" customFormat="1" x14ac:dyDescent="0.25">
      <c r="B69" s="7">
        <v>64</v>
      </c>
      <c r="C69" s="11">
        <v>1271339650</v>
      </c>
      <c r="D69" s="12" t="str">
        <f>VLOOKUP(C69,[3]report!$A$2:$R$406,3,FALSE)</f>
        <v>M. LUKMAN HAKIM</v>
      </c>
      <c r="E69" s="7">
        <f>VLOOKUP(C69,[3]report!$A$2:$R$406,4,FALSE)</f>
        <v>87127603</v>
      </c>
      <c r="F69" s="7">
        <f>VLOOKUP(C69,[3]report!$A$2:$R$406,5,FALSE)</f>
        <v>4120176772</v>
      </c>
      <c r="G69" s="12" t="str">
        <f>VLOOKUP(C69,[3]report!$A$2:$R$406,8,FALSE)</f>
        <v>Kota Makassar - Kota Denpasar</v>
      </c>
      <c r="H69" s="12" t="str">
        <f>VLOOKUP(C69,[3]report!$A$2:$R$406,9,FALSE)</f>
        <v>23/07/2025 - 26/07/2025</v>
      </c>
      <c r="I69" s="13">
        <f>VLOOKUP(C69,[3]report!$A$2:$R$406,17,FALSE)</f>
        <v>1766632</v>
      </c>
    </row>
    <row r="70" spans="2:9" s="5" customFormat="1" x14ac:dyDescent="0.25">
      <c r="B70" s="7">
        <v>65</v>
      </c>
      <c r="C70" s="11">
        <v>1271397873</v>
      </c>
      <c r="D70" s="12" t="str">
        <f>VLOOKUP(C70,[3]report!$A$2:$R$406,3,FALSE)</f>
        <v>ABDUL RAIS</v>
      </c>
      <c r="E70" s="7">
        <f>VLOOKUP(C70,[3]report!$A$2:$R$406,4,FALSE)</f>
        <v>91127600</v>
      </c>
      <c r="F70" s="7">
        <f>VLOOKUP(C70,[3]report!$A$2:$R$406,5,FALSE)</f>
        <v>4120176749</v>
      </c>
      <c r="G70" s="12" t="str">
        <f>VLOOKUP(C70,[3]report!$A$2:$R$406,8,FALSE)</f>
        <v>Kota Baubau - Kota Makassar</v>
      </c>
      <c r="H70" s="12" t="str">
        <f>VLOOKUP(C70,[3]report!$A$2:$R$406,9,FALSE)</f>
        <v>23/07/2025 - 26/07/2025</v>
      </c>
      <c r="I70" s="13">
        <f>VLOOKUP(C70,[3]report!$A$2:$R$406,17,FALSE)</f>
        <v>2080000</v>
      </c>
    </row>
    <row r="71" spans="2:9" s="5" customFormat="1" x14ac:dyDescent="0.25">
      <c r="B71" s="7">
        <v>66</v>
      </c>
      <c r="C71" s="11">
        <v>1271326820</v>
      </c>
      <c r="D71" s="12" t="str">
        <f>VLOOKUP(C71,[3]report!$A$2:$R$406,3,FALSE)</f>
        <v>JOHAN PRASETYA YUDHA PRAMUKTI</v>
      </c>
      <c r="E71" s="7">
        <f>VLOOKUP(C71,[3]report!$A$2:$R$406,4,FALSE)</f>
        <v>85117607</v>
      </c>
      <c r="F71" s="7">
        <f>VLOOKUP(C71,[3]report!$A$2:$R$406,5,FALSE)</f>
        <v>4120176814</v>
      </c>
      <c r="G71" s="12" t="str">
        <f>VLOOKUP(C71,[3]report!$A$2:$R$406,8,FALSE)</f>
        <v>Kota Makassar - Kota Semarang</v>
      </c>
      <c r="H71" s="12" t="str">
        <f>VLOOKUP(C71,[3]report!$A$2:$R$406,9,FALSE)</f>
        <v>23/07/2025 - 25/07/2025</v>
      </c>
      <c r="I71" s="13">
        <f>VLOOKUP(C71,[3]report!$A$2:$R$406,17,FALSE)</f>
        <v>2416610</v>
      </c>
    </row>
    <row r="72" spans="2:9" s="5" customFormat="1" x14ac:dyDescent="0.25">
      <c r="B72" s="7">
        <v>67</v>
      </c>
      <c r="C72" s="11">
        <v>1271554064</v>
      </c>
      <c r="D72" s="12" t="str">
        <f>VLOOKUP(C72,[3]report!$A$2:$R$406,3,FALSE)</f>
        <v>ABDUL RAIS</v>
      </c>
      <c r="E72" s="7">
        <f>VLOOKUP(C72,[3]report!$A$2:$R$406,4,FALSE)</f>
        <v>91127600</v>
      </c>
      <c r="F72" s="7">
        <f>VLOOKUP(C72,[3]report!$A$2:$R$406,5,FALSE)</f>
        <v>4120176749</v>
      </c>
      <c r="G72" s="12" t="str">
        <f>VLOOKUP(C72,[3]report!$A$2:$R$406,8,FALSE)</f>
        <v>Kota Baubau - Kota Makassar</v>
      </c>
      <c r="H72" s="12" t="str">
        <f>VLOOKUP(C72,[3]report!$A$2:$R$406,9,FALSE)</f>
        <v>23/07/2025 - 26/07/2025</v>
      </c>
      <c r="I72" s="13">
        <f>VLOOKUP(C72,[3]report!$A$2:$R$406,17,FALSE)</f>
        <v>805200</v>
      </c>
    </row>
    <row r="73" spans="2:9" s="5" customFormat="1" x14ac:dyDescent="0.25">
      <c r="B73" s="7">
        <v>68</v>
      </c>
      <c r="C73" s="11">
        <v>1271468711</v>
      </c>
      <c r="D73" s="12" t="str">
        <f>VLOOKUP(C73,[3]report!$A$2:$R$406,3,FALSE)</f>
        <v>NUR RACHMAT AS</v>
      </c>
      <c r="E73" s="7">
        <f>VLOOKUP(C73,[3]report!$A$2:$R$406,4,FALSE)</f>
        <v>96177627</v>
      </c>
      <c r="F73" s="7">
        <f>VLOOKUP(C73,[3]report!$A$2:$R$406,5,FALSE)</f>
        <v>4120176821</v>
      </c>
      <c r="G73" s="12" t="str">
        <f>VLOOKUP(C73,[3]report!$A$2:$R$406,8,FALSE)</f>
        <v>Kota Parepare - Kab. Soppeng</v>
      </c>
      <c r="H73" s="12" t="str">
        <f>VLOOKUP(C73,[3]report!$A$2:$R$406,9,FALSE)</f>
        <v>23/07/2025 - 25/07/2025</v>
      </c>
      <c r="I73" s="13">
        <f>VLOOKUP(C73,[3]report!$A$2:$R$406,17,FALSE)</f>
        <v>1000000</v>
      </c>
    </row>
    <row r="74" spans="2:9" s="5" customFormat="1" x14ac:dyDescent="0.25">
      <c r="B74" s="7">
        <v>69</v>
      </c>
      <c r="C74" s="11">
        <v>1271527492</v>
      </c>
      <c r="D74" s="12" t="str">
        <f>VLOOKUP(C74,[3]report!$A$2:$R$406,3,FALSE)</f>
        <v>FRANZ TRYWANDI SARAGI NAPITU</v>
      </c>
      <c r="E74" s="7">
        <f>VLOOKUP(C74,[3]report!$A$2:$R$406,4,FALSE)</f>
        <v>95207602</v>
      </c>
      <c r="F74" s="7">
        <f>VLOOKUP(C74,[3]report!$A$2:$R$406,5,FALSE)</f>
        <v>4120176842</v>
      </c>
      <c r="G74" s="12" t="str">
        <f>VLOOKUP(C74,[3]report!$A$2:$R$406,8,FALSE)</f>
        <v>Kab. Wakatobi - Kota Baubau</v>
      </c>
      <c r="H74" s="12" t="str">
        <f>VLOOKUP(C74,[3]report!$A$2:$R$406,9,FALSE)</f>
        <v>24/07/2025 - 26/07/2025</v>
      </c>
      <c r="I74" s="13">
        <f>VLOOKUP(C74,[3]report!$A$2:$R$406,17,FALSE)</f>
        <v>1450800</v>
      </c>
    </row>
    <row r="75" spans="2:9" s="5" customFormat="1" x14ac:dyDescent="0.25">
      <c r="B75" s="7">
        <v>70</v>
      </c>
      <c r="C75" s="11">
        <v>1271601117</v>
      </c>
      <c r="D75" s="12" t="str">
        <f>VLOOKUP(C75,[3]report!$A$2:$R$406,3,FALSE)</f>
        <v>MUHAMMAD SUSGANDINATA</v>
      </c>
      <c r="E75" s="7">
        <f>VLOOKUP(C75,[3]report!$A$2:$R$406,4,FALSE)</f>
        <v>86097601</v>
      </c>
      <c r="F75" s="7">
        <f>VLOOKUP(C75,[3]report!$A$2:$R$406,5,FALSE)</f>
        <v>4120176792</v>
      </c>
      <c r="G75" s="12" t="str">
        <f>VLOOKUP(C75,[3]report!$A$2:$R$406,8,FALSE)</f>
        <v>Kota Makassar - Kota Denpasar</v>
      </c>
      <c r="H75" s="12" t="str">
        <f>VLOOKUP(C75,[3]report!$A$2:$R$406,9,FALSE)</f>
        <v>23/07/2025 - 26/07/2025</v>
      </c>
      <c r="I75" s="13">
        <f>VLOOKUP(C75,[3]report!$A$2:$R$406,17,FALSE)</f>
        <v>617470</v>
      </c>
    </row>
    <row r="76" spans="2:9" s="5" customFormat="1" x14ac:dyDescent="0.25">
      <c r="B76" s="7">
        <v>71</v>
      </c>
      <c r="C76" s="11">
        <v>1271696729</v>
      </c>
      <c r="D76" s="12" t="str">
        <f>VLOOKUP(C76,[3]report!$A$2:$R$406,3,FALSE)</f>
        <v>ANDI SORAYA TENRI BAU</v>
      </c>
      <c r="E76" s="7">
        <f>VLOOKUP(C76,[3]report!$A$2:$R$406,4,FALSE)</f>
        <v>86098669</v>
      </c>
      <c r="F76" s="7">
        <f>VLOOKUP(C76,[3]report!$A$2:$R$406,5,FALSE)</f>
        <v>4120176865</v>
      </c>
      <c r="G76" s="12" t="str">
        <f>VLOOKUP(C76,[3]report!$A$2:$R$406,8,FALSE)</f>
        <v>Kota Parepare - Kota Makassar</v>
      </c>
      <c r="H76" s="12" t="str">
        <f>VLOOKUP(C76,[3]report!$A$2:$R$406,9,FALSE)</f>
        <v>27/07/2025 - 28/07/2025</v>
      </c>
      <c r="I76" s="13">
        <f>VLOOKUP(C76,[3]report!$A$2:$R$406,17,FALSE)</f>
        <v>869842</v>
      </c>
    </row>
    <row r="77" spans="2:9" s="5" customFormat="1" x14ac:dyDescent="0.25">
      <c r="B77" s="7">
        <v>72</v>
      </c>
      <c r="C77" s="11">
        <v>1271696910</v>
      </c>
      <c r="D77" s="12" t="str">
        <f>VLOOKUP(C77,[3]report!$A$2:$R$406,3,FALSE)</f>
        <v>DALMASIUS NUGROHO ADI PUTRANTO</v>
      </c>
      <c r="E77" s="7">
        <f>VLOOKUP(C77,[3]report!$A$2:$R$406,4,FALSE)</f>
        <v>80077601</v>
      </c>
      <c r="F77" s="7">
        <f>VLOOKUP(C77,[3]report!$A$2:$R$406,5,FALSE)</f>
        <v>4120176860</v>
      </c>
      <c r="G77" s="12" t="str">
        <f>VLOOKUP(C77,[3]report!$A$2:$R$406,8,FALSE)</f>
        <v>Kota Makassar - Kota Bandung - Kota Surabaya</v>
      </c>
      <c r="H77" s="12" t="str">
        <f>VLOOKUP(C77,[3]report!$A$2:$R$406,9,FALSE)</f>
        <v>24/07/2025 - 02/08/2025</v>
      </c>
      <c r="I77" s="13">
        <f>VLOOKUP(C77,[3]report!$A$2:$R$406,17,FALSE)</f>
        <v>1190000</v>
      </c>
    </row>
    <row r="78" spans="2:9" s="5" customFormat="1" x14ac:dyDescent="0.25">
      <c r="B78" s="7">
        <v>73</v>
      </c>
      <c r="C78" s="11">
        <v>1271698258</v>
      </c>
      <c r="D78" s="12" t="str">
        <f>VLOOKUP(C78,[3]report!$A$2:$R$406,3,FALSE)</f>
        <v>JULYANZAH PERDANA PUTRA</v>
      </c>
      <c r="E78" s="7">
        <f>VLOOKUP(C78,[3]report!$A$2:$R$406,4,FALSE)</f>
        <v>88128002</v>
      </c>
      <c r="F78" s="7">
        <f>VLOOKUP(C78,[3]report!$A$2:$R$406,5,FALSE)</f>
        <v>4120176859</v>
      </c>
      <c r="G78" s="12" t="str">
        <f>VLOOKUP(C78,[3]report!$A$2:$R$406,8,FALSE)</f>
        <v>Kota Makassar - Kota Bandung</v>
      </c>
      <c r="H78" s="12" t="str">
        <f>VLOOKUP(C78,[3]report!$A$2:$R$406,9,FALSE)</f>
        <v>24/07/2025 - 28/07/2025</v>
      </c>
      <c r="I78" s="13">
        <f>VLOOKUP(C78,[3]report!$A$2:$R$406,17,FALSE)</f>
        <v>1190000</v>
      </c>
    </row>
    <row r="79" spans="2:9" s="5" customFormat="1" x14ac:dyDescent="0.25">
      <c r="B79" s="7">
        <v>74</v>
      </c>
      <c r="C79" s="11">
        <v>1271630049</v>
      </c>
      <c r="D79" s="12" t="str">
        <f>VLOOKUP(C79,[3]report!$A$2:$R$406,3,FALSE)</f>
        <v>DALMASIUS NUGROHO ADI PUTRANTO</v>
      </c>
      <c r="E79" s="7">
        <f>VLOOKUP(C79,[3]report!$A$2:$R$406,4,FALSE)</f>
        <v>80077601</v>
      </c>
      <c r="F79" s="7">
        <f>VLOOKUP(C79,[3]report!$A$2:$R$406,5,FALSE)</f>
        <v>4120176860</v>
      </c>
      <c r="G79" s="12" t="str">
        <f>VLOOKUP(C79,[3]report!$A$2:$R$406,8,FALSE)</f>
        <v>Kota Makassar - Kota Bandung - Kota Surabaya</v>
      </c>
      <c r="H79" s="12" t="str">
        <f>VLOOKUP(C79,[3]report!$A$2:$R$406,9,FALSE)</f>
        <v>24/07/2025 - 02/08/2025</v>
      </c>
      <c r="I79" s="13">
        <f>VLOOKUP(C79,[3]report!$A$2:$R$406,17,FALSE)</f>
        <v>1470000</v>
      </c>
    </row>
    <row r="80" spans="2:9" s="5" customFormat="1" x14ac:dyDescent="0.25">
      <c r="B80" s="7">
        <v>75</v>
      </c>
      <c r="C80" s="11">
        <v>1271630525</v>
      </c>
      <c r="D80" s="12" t="str">
        <f>VLOOKUP(C80,[3]report!$A$2:$R$406,3,FALSE)</f>
        <v>JULYANZAH PERDANA PUTRA</v>
      </c>
      <c r="E80" s="7">
        <f>VLOOKUP(C80,[3]report!$A$2:$R$406,4,FALSE)</f>
        <v>88128002</v>
      </c>
      <c r="F80" s="7">
        <f>VLOOKUP(C80,[3]report!$A$2:$R$406,5,FALSE)</f>
        <v>4120176859</v>
      </c>
      <c r="G80" s="12" t="str">
        <f>VLOOKUP(C80,[3]report!$A$2:$R$406,8,FALSE)</f>
        <v>Kota Makassar - Kota Bandung</v>
      </c>
      <c r="H80" s="12" t="str">
        <f>VLOOKUP(C80,[3]report!$A$2:$R$406,9,FALSE)</f>
        <v>24/07/2025 - 28/07/2025</v>
      </c>
      <c r="I80" s="13">
        <f>VLOOKUP(C80,[3]report!$A$2:$R$406,17,FALSE)</f>
        <v>1470000</v>
      </c>
    </row>
    <row r="81" spans="2:9" s="5" customFormat="1" x14ac:dyDescent="0.25">
      <c r="B81" s="7">
        <v>76</v>
      </c>
      <c r="C81" s="11">
        <v>1271683398</v>
      </c>
      <c r="D81" s="12" t="str">
        <f>VLOOKUP(C81,[3]report!$A$2:$R$406,3,FALSE)</f>
        <v>SARLINA M.KILYKILY</v>
      </c>
      <c r="E81" s="7">
        <f>VLOOKUP(C81,[3]report!$A$2:$R$406,4,FALSE)</f>
        <v>73947604</v>
      </c>
      <c r="F81" s="7">
        <f>VLOOKUP(C81,[3]report!$A$2:$R$406,5,FALSE)</f>
        <v>4120176840</v>
      </c>
      <c r="G81" s="12" t="str">
        <f>VLOOKUP(C81,[3]report!$A$2:$R$406,8,FALSE)</f>
        <v>Kota Kendari - Kota Makassar</v>
      </c>
      <c r="H81" s="12" t="str">
        <f>VLOOKUP(C81,[3]report!$A$2:$R$406,9,FALSE)</f>
        <v>27/07/2025 - 29/07/2025</v>
      </c>
      <c r="I81" s="13">
        <f>VLOOKUP(C81,[3]report!$A$2:$R$406,17,FALSE)</f>
        <v>1739686</v>
      </c>
    </row>
    <row r="82" spans="2:9" s="5" customFormat="1" x14ac:dyDescent="0.25">
      <c r="B82" s="7">
        <v>77</v>
      </c>
      <c r="C82" s="11">
        <v>1271652728</v>
      </c>
      <c r="D82" s="12" t="str">
        <f>VLOOKUP(C82,[3]report!$A$2:$R$406,3,FALSE)</f>
        <v xml:space="preserve">ARIFUDDIN </v>
      </c>
      <c r="E82" s="7">
        <f>VLOOKUP(C82,[3]report!$A$2:$R$406,4,FALSE)</f>
        <v>83087613</v>
      </c>
      <c r="F82" s="7">
        <f>VLOOKUP(C82,[3]report!$A$2:$R$406,5,FALSE)</f>
        <v>4120176828</v>
      </c>
      <c r="G82" s="12" t="str">
        <f>VLOOKUP(C82,[3]report!$A$2:$R$406,8,FALSE)</f>
        <v>Kota Baubau - Kota Makassar</v>
      </c>
      <c r="H82" s="12" t="str">
        <f>VLOOKUP(C82,[3]report!$A$2:$R$406,9,FALSE)</f>
        <v>27/07/2025 - 29/07/2025</v>
      </c>
      <c r="I82" s="13">
        <f>VLOOKUP(C82,[3]report!$A$2:$R$406,17,FALSE)</f>
        <v>1740000</v>
      </c>
    </row>
    <row r="83" spans="2:9" s="5" customFormat="1" x14ac:dyDescent="0.25">
      <c r="B83" s="7">
        <v>78</v>
      </c>
      <c r="C83" s="11">
        <v>1271570546</v>
      </c>
      <c r="D83" s="12" t="str">
        <f>VLOOKUP(C83,[3]report!$A$2:$R$406,3,FALSE)</f>
        <v xml:space="preserve">ARIFUDDIN </v>
      </c>
      <c r="E83" s="7">
        <f>VLOOKUP(C83,[3]report!$A$2:$R$406,4,FALSE)</f>
        <v>83087613</v>
      </c>
      <c r="F83" s="7">
        <f>VLOOKUP(C83,[3]report!$A$2:$R$406,5,FALSE)</f>
        <v>4120176828</v>
      </c>
      <c r="G83" s="12" t="str">
        <f>VLOOKUP(C83,[3]report!$A$2:$R$406,8,FALSE)</f>
        <v>Kota Baubau - Kota Makassar</v>
      </c>
      <c r="H83" s="12" t="str">
        <f>VLOOKUP(C83,[3]report!$A$2:$R$406,9,FALSE)</f>
        <v>27/07/2025 - 29/07/2025</v>
      </c>
      <c r="I83" s="13">
        <f>VLOOKUP(C83,[3]report!$A$2:$R$406,17,FALSE)</f>
        <v>2435900</v>
      </c>
    </row>
    <row r="84" spans="2:9" s="5" customFormat="1" x14ac:dyDescent="0.25">
      <c r="B84" s="7">
        <v>79</v>
      </c>
      <c r="C84" s="11">
        <v>1271689610</v>
      </c>
      <c r="D84" s="12" t="str">
        <f>VLOOKUP(C84,[3]report!$A$2:$R$406,3,FALSE)</f>
        <v>BAYU BASKORO</v>
      </c>
      <c r="E84" s="7">
        <f>VLOOKUP(C84,[3]report!$A$2:$R$406,4,FALSE)</f>
        <v>96197613</v>
      </c>
      <c r="F84" s="7">
        <f>VLOOKUP(C84,[3]report!$A$2:$R$406,5,FALSE)</f>
        <v>4120176834</v>
      </c>
      <c r="G84" s="12" t="str">
        <f>VLOOKUP(C84,[3]report!$A$2:$R$406,8,FALSE)</f>
        <v>Kota Makassar - Kota Banjarbaru</v>
      </c>
      <c r="H84" s="12" t="str">
        <f>VLOOKUP(C84,[3]report!$A$2:$R$406,9,FALSE)</f>
        <v>27/07/2025 - 02/08/2025</v>
      </c>
      <c r="I84" s="13">
        <f>VLOOKUP(C84,[3]report!$A$2:$R$406,17,FALSE)</f>
        <v>4723900</v>
      </c>
    </row>
    <row r="85" spans="2:9" s="5" customFormat="1" x14ac:dyDescent="0.25">
      <c r="B85" s="7">
        <v>80</v>
      </c>
      <c r="C85" s="11">
        <v>1271726292</v>
      </c>
      <c r="D85" s="12" t="str">
        <f>VLOOKUP(C85,[3]report!$A$2:$R$406,3,FALSE)</f>
        <v>FAHMAN ISLAMI</v>
      </c>
      <c r="E85" s="7">
        <f>VLOOKUP(C85,[3]report!$A$2:$R$406,4,FALSE)</f>
        <v>96137696</v>
      </c>
      <c r="F85" s="7">
        <f>VLOOKUP(C85,[3]report!$A$2:$R$406,5,FALSE)</f>
        <v>4120176866</v>
      </c>
      <c r="G85" s="12" t="str">
        <f>VLOOKUP(C85,[3]report!$A$2:$R$406,8,FALSE)</f>
        <v>Kab. Bone - Kota Makassar</v>
      </c>
      <c r="H85" s="12" t="str">
        <f>VLOOKUP(C85,[3]report!$A$2:$R$406,9,FALSE)</f>
        <v>24/07/2025 - 26/07/2025</v>
      </c>
      <c r="I85" s="13">
        <f>VLOOKUP(C85,[3]report!$A$2:$R$406,17,FALSE)</f>
        <v>1465000</v>
      </c>
    </row>
    <row r="86" spans="2:9" s="5" customFormat="1" x14ac:dyDescent="0.25">
      <c r="B86" s="7">
        <v>81</v>
      </c>
      <c r="C86" s="11">
        <v>1271984318</v>
      </c>
      <c r="D86" s="12" t="str">
        <f>VLOOKUP(C86,[3]report!$A$2:$R$406,3,FALSE)</f>
        <v>MUHAMMAD SUSGANDINATA</v>
      </c>
      <c r="E86" s="7">
        <f>VLOOKUP(C86,[3]report!$A$2:$R$406,4,FALSE)</f>
        <v>86097601</v>
      </c>
      <c r="F86" s="7">
        <f>VLOOKUP(C86,[3]report!$A$2:$R$406,5,FALSE)</f>
        <v>4120176792</v>
      </c>
      <c r="G86" s="12" t="str">
        <f>VLOOKUP(C86,[3]report!$A$2:$R$406,8,FALSE)</f>
        <v>KotaMakassar-KotaDenpasar</v>
      </c>
      <c r="H86" s="12" t="str">
        <f>VLOOKUP(C86,[3]report!$A$2:$R$406,9,FALSE)</f>
        <v>23/07/2025 - 26/07/2025</v>
      </c>
      <c r="I86" s="13">
        <f>VLOOKUP(C86,[3]report!$A$2:$R$406,17,FALSE)</f>
        <v>653400</v>
      </c>
    </row>
    <row r="87" spans="2:9" s="5" customFormat="1" x14ac:dyDescent="0.25">
      <c r="B87" s="7">
        <v>82</v>
      </c>
      <c r="C87" s="11">
        <v>1271951075</v>
      </c>
      <c r="D87" s="12" t="str">
        <f>VLOOKUP(C87,[3]report!$A$2:$R$406,3,FALSE)</f>
        <v xml:space="preserve">FIRMANSYAH </v>
      </c>
      <c r="E87" s="7">
        <f>VLOOKUP(C87,[3]report!$A$2:$R$406,4,FALSE)</f>
        <v>82067606</v>
      </c>
      <c r="F87" s="7">
        <f>VLOOKUP(C87,[3]report!$A$2:$R$406,5,FALSE)</f>
        <v>4120176899</v>
      </c>
      <c r="G87" s="12" t="str">
        <f>VLOOKUP(C87,[3]report!$A$2:$R$406,8,FALSE)</f>
        <v>Kota Makassar - Kota Baubau</v>
      </c>
      <c r="H87" s="12" t="str">
        <f>VLOOKUP(C87,[3]report!$A$2:$R$406,9,FALSE)</f>
        <v>28/07/2025 - 04/08/2025</v>
      </c>
      <c r="I87" s="13">
        <f>VLOOKUP(C87,[3]report!$A$2:$R$406,17,FALSE)</f>
        <v>694100</v>
      </c>
    </row>
    <row r="88" spans="2:9" s="5" customFormat="1" x14ac:dyDescent="0.25">
      <c r="B88" s="7">
        <v>83</v>
      </c>
      <c r="C88" s="11">
        <v>1271898547</v>
      </c>
      <c r="D88" s="12" t="str">
        <f>VLOOKUP(C88,[3]report!$A$2:$R$406,3,FALSE)</f>
        <v>JONI ALEXANDER HEYT SITORUS</v>
      </c>
      <c r="E88" s="7">
        <f>VLOOKUP(C88,[3]report!$A$2:$R$406,4,FALSE)</f>
        <v>83075800</v>
      </c>
      <c r="F88" s="7">
        <f>VLOOKUP(C88,[3]report!$A$2:$R$406,5,FALSE)</f>
        <v>4120176881</v>
      </c>
      <c r="G88" s="12" t="str">
        <f>VLOOKUP(C88,[3]report!$A$2:$R$406,8,FALSE)</f>
        <v>Kota Kendari - Kota Makassar</v>
      </c>
      <c r="H88" s="12" t="str">
        <f>VLOOKUP(C88,[3]report!$A$2:$R$406,9,FALSE)</f>
        <v>27/07/2025 - 29/07/2025</v>
      </c>
      <c r="I88" s="13">
        <f>VLOOKUP(C88,[3]report!$A$2:$R$406,17,FALSE)</f>
        <v>695400</v>
      </c>
    </row>
    <row r="89" spans="2:9" s="5" customFormat="1" x14ac:dyDescent="0.25">
      <c r="B89" s="7">
        <v>84</v>
      </c>
      <c r="C89" s="11">
        <v>1271946688</v>
      </c>
      <c r="D89" s="12" t="str">
        <f>VLOOKUP(C89,[3]report!$A$2:$R$406,3,FALSE)</f>
        <v>HAYAT MAKMUR</v>
      </c>
      <c r="E89" s="7">
        <f>VLOOKUP(C89,[3]report!$A$2:$R$406,4,FALSE)</f>
        <v>73937618</v>
      </c>
      <c r="F89" s="7">
        <f>VLOOKUP(C89,[3]report!$A$2:$R$406,5,FALSE)</f>
        <v>4120176892</v>
      </c>
      <c r="G89" s="12" t="str">
        <f>VLOOKUP(C89,[3]report!$A$2:$R$406,8,FALSE)</f>
        <v>Kota Makassar - Kota Baubau</v>
      </c>
      <c r="H89" s="12" t="str">
        <f>VLOOKUP(C89,[3]report!$A$2:$R$406,9,FALSE)</f>
        <v>28/07/2025 - 04/08/2025</v>
      </c>
      <c r="I89" s="13">
        <f>VLOOKUP(C89,[3]report!$A$2:$R$406,17,FALSE)</f>
        <v>805200</v>
      </c>
    </row>
    <row r="90" spans="2:9" s="5" customFormat="1" x14ac:dyDescent="0.25">
      <c r="B90" s="7">
        <v>85</v>
      </c>
      <c r="C90" s="11">
        <v>1271946573</v>
      </c>
      <c r="D90" s="12" t="str">
        <f>VLOOKUP(C90,[3]report!$A$2:$R$406,3,FALSE)</f>
        <v xml:space="preserve">ASRI </v>
      </c>
      <c r="E90" s="7">
        <f>VLOOKUP(C90,[3]report!$A$2:$R$406,4,FALSE)</f>
        <v>78027605</v>
      </c>
      <c r="F90" s="7">
        <f>VLOOKUP(C90,[3]report!$A$2:$R$406,5,FALSE)</f>
        <v>4120176894</v>
      </c>
      <c r="G90" s="12" t="str">
        <f>VLOOKUP(C90,[3]report!$A$2:$R$406,8,FALSE)</f>
        <v>Kota Makassar - Kota Baubau</v>
      </c>
      <c r="H90" s="12" t="str">
        <f>VLOOKUP(C90,[3]report!$A$2:$R$406,9,FALSE)</f>
        <v>28/07/2025 - 04/08/2025</v>
      </c>
      <c r="I90" s="13">
        <f>VLOOKUP(C90,[3]report!$A$2:$R$406,17,FALSE)</f>
        <v>805200</v>
      </c>
    </row>
    <row r="91" spans="2:9" s="5" customFormat="1" x14ac:dyDescent="0.25">
      <c r="B91" s="7">
        <v>86</v>
      </c>
      <c r="C91" s="11">
        <v>1271950196</v>
      </c>
      <c r="D91" s="12" t="str">
        <f>VLOOKUP(C91,[3]report!$A$2:$R$406,3,FALSE)</f>
        <v xml:space="preserve">FIRMANSYAH </v>
      </c>
      <c r="E91" s="7">
        <f>VLOOKUP(C91,[3]report!$A$2:$R$406,4,FALSE)</f>
        <v>82067606</v>
      </c>
      <c r="F91" s="7">
        <f>VLOOKUP(C91,[3]report!$A$2:$R$406,5,FALSE)</f>
        <v>4120176899</v>
      </c>
      <c r="G91" s="12" t="str">
        <f>VLOOKUP(C91,[3]report!$A$2:$R$406,8,FALSE)</f>
        <v>Kota Makassar - Kota Baubau</v>
      </c>
      <c r="H91" s="12" t="str">
        <f>VLOOKUP(C91,[3]report!$A$2:$R$406,9,FALSE)</f>
        <v>28/07/2025 - 04/08/2025</v>
      </c>
      <c r="I91" s="13">
        <f>VLOOKUP(C91,[3]report!$A$2:$R$406,17,FALSE)</f>
        <v>805200</v>
      </c>
    </row>
    <row r="92" spans="2:9" s="5" customFormat="1" x14ac:dyDescent="0.25">
      <c r="B92" s="7">
        <v>87</v>
      </c>
      <c r="C92" s="16">
        <v>1271947855</v>
      </c>
      <c r="D92" s="12" t="str">
        <f>VLOOKUP(C92,[3]report!$A$2:$R$406,3,FALSE)</f>
        <v>AMSAR SAPUTRA</v>
      </c>
      <c r="E92" s="7">
        <f>VLOOKUP(C92,[3]report!$A$2:$R$406,4,FALSE)</f>
        <v>84098001</v>
      </c>
      <c r="F92" s="7">
        <f>VLOOKUP(C92,[3]report!$A$2:$R$406,5,FALSE)</f>
        <v>4120176893</v>
      </c>
      <c r="G92" s="12" t="str">
        <f>VLOOKUP(C92,[3]report!$A$2:$R$406,8,FALSE)</f>
        <v>Kota Baubau - Kota Baubau</v>
      </c>
      <c r="H92" s="12" t="str">
        <f>VLOOKUP(C92,[3]report!$A$2:$R$406,9,FALSE)</f>
        <v>28/07/2025 - 04/08/2025</v>
      </c>
      <c r="I92" s="13">
        <f>VLOOKUP(C92,[3]report!$A$2:$R$406,17,FALSE)</f>
        <v>805200</v>
      </c>
    </row>
    <row r="93" spans="2:9" s="5" customFormat="1" x14ac:dyDescent="0.25">
      <c r="B93" s="7">
        <v>88</v>
      </c>
      <c r="C93" s="11">
        <v>1271987354</v>
      </c>
      <c r="D93" s="12" t="str">
        <f>VLOOKUP(C93,[3]report!$A$2:$R$406,3,FALSE)</f>
        <v>ZULKIFLI SETIOK</v>
      </c>
      <c r="E93" s="7">
        <f>VLOOKUP(C93,[3]report!$A$2:$R$406,4,FALSE)</f>
        <v>89087622</v>
      </c>
      <c r="F93" s="7">
        <f>VLOOKUP(C93,[3]report!$A$2:$R$406,5,FALSE)</f>
        <v>4120176864</v>
      </c>
      <c r="G93" s="12" t="str">
        <f>VLOOKUP(C93,[3]report!$A$2:$R$406,8,FALSE)</f>
        <v>Kota Baubau - Kota Makassar</v>
      </c>
      <c r="H93" s="12" t="str">
        <f>VLOOKUP(C93,[3]report!$A$2:$R$406,9,FALSE)</f>
        <v>27/07/2025 - 29/07/2025</v>
      </c>
      <c r="I93" s="13">
        <f>VLOOKUP(C93,[3]report!$A$2:$R$406,17,FALSE)</f>
        <v>805200</v>
      </c>
    </row>
    <row r="94" spans="2:9" s="5" customFormat="1" x14ac:dyDescent="0.25">
      <c r="B94" s="7">
        <v>89</v>
      </c>
      <c r="C94" s="11">
        <v>1271950757</v>
      </c>
      <c r="D94" s="12" t="str">
        <f>VLOOKUP(C94,[3]report!$A$2:$R$406,3,FALSE)</f>
        <v>AMSAR SAPUTRA</v>
      </c>
      <c r="E94" s="7">
        <f>VLOOKUP(C94,[3]report!$A$2:$R$406,4,FALSE)</f>
        <v>84098001</v>
      </c>
      <c r="F94" s="7">
        <f>VLOOKUP(C94,[3]report!$A$2:$R$406,5,FALSE)</f>
        <v>4120176893</v>
      </c>
      <c r="G94" s="12" t="str">
        <f>VLOOKUP(C94,[3]report!$A$2:$R$406,8,FALSE)</f>
        <v>Kota Baubau - Kota Baubau</v>
      </c>
      <c r="H94" s="12" t="str">
        <f>VLOOKUP(C94,[3]report!$A$2:$R$406,9,FALSE)</f>
        <v>28/07/2025 - 04/08/2025</v>
      </c>
      <c r="I94" s="13">
        <f>VLOOKUP(C94,[3]report!$A$2:$R$406,17,FALSE)</f>
        <v>809200</v>
      </c>
    </row>
    <row r="95" spans="2:9" s="5" customFormat="1" x14ac:dyDescent="0.25">
      <c r="B95" s="7">
        <v>90</v>
      </c>
      <c r="C95" s="11">
        <v>1271947865</v>
      </c>
      <c r="D95" s="12" t="str">
        <f>VLOOKUP(C95,[3]report!$A$2:$R$406,3,FALSE)</f>
        <v>HAYAT MAKMUR</v>
      </c>
      <c r="E95" s="7">
        <f>VLOOKUP(C95,[3]report!$A$2:$R$406,4,FALSE)</f>
        <v>73937618</v>
      </c>
      <c r="F95" s="7">
        <f>VLOOKUP(C95,[3]report!$A$2:$R$406,5,FALSE)</f>
        <v>4120176892</v>
      </c>
      <c r="G95" s="12" t="str">
        <f>VLOOKUP(C95,[3]report!$A$2:$R$406,8,FALSE)</f>
        <v>Kota Makassar - Kota Baubau</v>
      </c>
      <c r="H95" s="12" t="str">
        <f>VLOOKUP(C95,[3]report!$A$2:$R$406,9,FALSE)</f>
        <v>28/07/2025 - 04/08/2025</v>
      </c>
      <c r="I95" s="13">
        <f>VLOOKUP(C95,[3]report!$A$2:$R$406,17,FALSE)</f>
        <v>809200</v>
      </c>
    </row>
    <row r="96" spans="2:9" s="5" customFormat="1" x14ac:dyDescent="0.25">
      <c r="B96" s="7">
        <v>91</v>
      </c>
      <c r="C96" s="11">
        <v>1271947881</v>
      </c>
      <c r="D96" s="12" t="str">
        <f>VLOOKUP(C96,[3]report!$A$2:$R$406,3,FALSE)</f>
        <v xml:space="preserve">ASRI </v>
      </c>
      <c r="E96" s="7">
        <f>VLOOKUP(C96,[3]report!$A$2:$R$406,4,FALSE)</f>
        <v>78027605</v>
      </c>
      <c r="F96" s="7">
        <f>VLOOKUP(C96,[3]report!$A$2:$R$406,5,FALSE)</f>
        <v>4120176894</v>
      </c>
      <c r="G96" s="12" t="str">
        <f>VLOOKUP(C96,[3]report!$A$2:$R$406,8,FALSE)</f>
        <v>Kota Makassar - Kota Baubau</v>
      </c>
      <c r="H96" s="12" t="str">
        <f>VLOOKUP(C96,[3]report!$A$2:$R$406,9,FALSE)</f>
        <v>28/07/2025 - 04/08/2025</v>
      </c>
      <c r="I96" s="13">
        <f>VLOOKUP(C96,[3]report!$A$2:$R$406,17,FALSE)</f>
        <v>809200</v>
      </c>
    </row>
    <row r="97" spans="2:9" s="5" customFormat="1" x14ac:dyDescent="0.25">
      <c r="B97" s="7">
        <v>92</v>
      </c>
      <c r="C97" s="11">
        <v>1271950417</v>
      </c>
      <c r="D97" s="12" t="str">
        <f>VLOOKUP(C97,[3]report!$A$2:$R$406,3,FALSE)</f>
        <v>M. LUKMAN HAKIM</v>
      </c>
      <c r="E97" s="7">
        <f>VLOOKUP(C97,[3]report!$A$2:$R$406,4,FALSE)</f>
        <v>87127603</v>
      </c>
      <c r="F97" s="7">
        <f>VLOOKUP(C97,[3]report!$A$2:$R$406,5,FALSE)</f>
        <v>4120176772</v>
      </c>
      <c r="G97" s="12" t="str">
        <f>VLOOKUP(C97,[3]report!$A$2:$R$406,8,FALSE)</f>
        <v>Kota Makassar - Kota Denpasar</v>
      </c>
      <c r="H97" s="12" t="str">
        <f>VLOOKUP(C97,[3]report!$A$2:$R$406,9,FALSE)</f>
        <v>23/07/2025 - 26/07/2025</v>
      </c>
      <c r="I97" s="13">
        <f>VLOOKUP(C97,[3]report!$A$2:$R$406,17,FALSE)</f>
        <v>910100</v>
      </c>
    </row>
    <row r="98" spans="2:9" s="5" customFormat="1" x14ac:dyDescent="0.25">
      <c r="B98" s="7">
        <v>93</v>
      </c>
      <c r="C98" s="11">
        <v>1272008209</v>
      </c>
      <c r="D98" s="12" t="str">
        <f>VLOOKUP(C98,[3]report!$A$2:$R$406,3,FALSE)</f>
        <v>MUHAMMAD SUSGANDINATA</v>
      </c>
      <c r="E98" s="7">
        <f>VLOOKUP(C98,[3]report!$A$2:$R$406,4,FALSE)</f>
        <v>86097601</v>
      </c>
      <c r="F98" s="7">
        <f>VLOOKUP(C98,[3]report!$A$2:$R$406,5,FALSE)</f>
        <v>4120176792</v>
      </c>
      <c r="G98" s="12" t="str">
        <f>VLOOKUP(C98,[3]report!$A$2:$R$406,8,FALSE)</f>
        <v>KotaMakassar-KotaDenpasar</v>
      </c>
      <c r="H98" s="12" t="str">
        <f>VLOOKUP(C98,[3]report!$A$2:$R$406,9,FALSE)</f>
        <v>23/07/2025 - 26/07/2025</v>
      </c>
      <c r="I98" s="13">
        <f>VLOOKUP(C98,[3]report!$A$2:$R$406,17,FALSE)</f>
        <v>910100</v>
      </c>
    </row>
    <row r="99" spans="2:9" s="5" customFormat="1" x14ac:dyDescent="0.25">
      <c r="B99" s="7">
        <v>94</v>
      </c>
      <c r="C99" s="11">
        <v>1271823688</v>
      </c>
      <c r="D99" s="12" t="str">
        <f>VLOOKUP(C99,[3]report!$A$2:$R$406,3,FALSE)</f>
        <v>M. LUKMAN HAKIM</v>
      </c>
      <c r="E99" s="7">
        <f>VLOOKUP(C99,[3]report!$A$2:$R$406,4,FALSE)</f>
        <v>87127603</v>
      </c>
      <c r="F99" s="7">
        <f>VLOOKUP(C99,[3]report!$A$2:$R$406,5,FALSE)</f>
        <v>4120176772</v>
      </c>
      <c r="G99" s="12" t="str">
        <f>VLOOKUP(C99,[3]report!$A$2:$R$406,8,FALSE)</f>
        <v>Kota Makassar - Kota Denpasar</v>
      </c>
      <c r="H99" s="12" t="str">
        <f>VLOOKUP(C99,[3]report!$A$2:$R$406,9,FALSE)</f>
        <v>23/07/2025 - 26/07/2025</v>
      </c>
      <c r="I99" s="13">
        <f>VLOOKUP(C99,[3]report!$A$2:$R$406,17,FALSE)</f>
        <v>945000</v>
      </c>
    </row>
    <row r="100" spans="2:9" s="5" customFormat="1" x14ac:dyDescent="0.25">
      <c r="B100" s="7">
        <v>95</v>
      </c>
      <c r="C100" s="11">
        <v>1272011587</v>
      </c>
      <c r="D100" s="12" t="str">
        <f>VLOOKUP(C100,[3]report!$A$2:$R$406,3,FALSE)</f>
        <v>IKRAM SAPRILLAH NATSIR</v>
      </c>
      <c r="E100" s="7">
        <f>VLOOKUP(C100,[3]report!$A$2:$R$406,4,FALSE)</f>
        <v>89087613</v>
      </c>
      <c r="F100" s="7">
        <f>VLOOKUP(C100,[3]report!$A$2:$R$406,5,FALSE)</f>
        <v>4120176858</v>
      </c>
      <c r="G100" s="12" t="str">
        <f>VLOOKUP(C100,[3]report!$A$2:$R$406,8,FALSE)</f>
        <v>Kab. Enrekang - Kota Makassar</v>
      </c>
      <c r="H100" s="12" t="str">
        <f>VLOOKUP(C100,[3]report!$A$2:$R$406,9,FALSE)</f>
        <v>27/07/2025 - 28/07/2025</v>
      </c>
      <c r="I100" s="13">
        <f>VLOOKUP(C100,[3]report!$A$2:$R$406,17,FALSE)</f>
        <v>965580</v>
      </c>
    </row>
    <row r="101" spans="2:9" s="5" customFormat="1" x14ac:dyDescent="0.25">
      <c r="B101" s="7">
        <v>96</v>
      </c>
      <c r="C101" s="11">
        <v>1271960455</v>
      </c>
      <c r="D101" s="12" t="str">
        <f>VLOOKUP(C101,[3]report!$A$2:$R$406,3,FALSE)</f>
        <v>KOMANG YEHUDA PRAWIRA</v>
      </c>
      <c r="E101" s="7">
        <f>VLOOKUP(C101,[3]report!$A$2:$R$406,4,FALSE)</f>
        <v>86098203</v>
      </c>
      <c r="F101" s="7">
        <f>VLOOKUP(C101,[3]report!$A$2:$R$406,5,FALSE)</f>
        <v>4120176902</v>
      </c>
      <c r="G101" s="12" t="str">
        <f>VLOOKUP(C101,[3]report!$A$2:$R$406,8,FALSE)</f>
        <v>Kota Makassar - Kota Surabaya</v>
      </c>
      <c r="H101" s="12" t="str">
        <f>VLOOKUP(C101,[3]report!$A$2:$R$406,9,FALSE)</f>
        <v>27/07/2025 - 02/08/2025</v>
      </c>
      <c r="I101" s="13">
        <f>VLOOKUP(C101,[3]report!$A$2:$R$406,17,FALSE)</f>
        <v>1057300</v>
      </c>
    </row>
    <row r="102" spans="2:9" s="5" customFormat="1" x14ac:dyDescent="0.25">
      <c r="B102" s="7">
        <v>97</v>
      </c>
      <c r="C102" s="11">
        <v>1271986781</v>
      </c>
      <c r="D102" s="12" t="str">
        <f>VLOOKUP(C102,[3]report!$A$2:$R$406,3,FALSE)</f>
        <v>ZULKIFLI SETIOK</v>
      </c>
      <c r="E102" s="7">
        <f>VLOOKUP(C102,[3]report!$A$2:$R$406,4,FALSE)</f>
        <v>89087622</v>
      </c>
      <c r="F102" s="7">
        <f>VLOOKUP(C102,[3]report!$A$2:$R$406,5,FALSE)</f>
        <v>4120176864</v>
      </c>
      <c r="G102" s="12" t="str">
        <f>VLOOKUP(C102,[3]report!$A$2:$R$406,8,FALSE)</f>
        <v>Kota Baubau - Kota Makassar</v>
      </c>
      <c r="H102" s="12" t="str">
        <f>VLOOKUP(C102,[3]report!$A$2:$R$406,9,FALSE)</f>
        <v>27/07/2025 - 29/07/2025</v>
      </c>
      <c r="I102" s="13">
        <f>VLOOKUP(C102,[3]report!$A$2:$R$406,17,FALSE)</f>
        <v>1630700</v>
      </c>
    </row>
    <row r="103" spans="2:9" s="5" customFormat="1" x14ac:dyDescent="0.25">
      <c r="B103" s="7">
        <v>98</v>
      </c>
      <c r="C103" s="11">
        <v>1271990636</v>
      </c>
      <c r="D103" s="12" t="str">
        <f>VLOOKUP(C103,[3]report!$A$2:$R$406,3,FALSE)</f>
        <v>ZULKIFLI SETIOK</v>
      </c>
      <c r="E103" s="7">
        <f>VLOOKUP(C103,[3]report!$A$2:$R$406,4,FALSE)</f>
        <v>89087622</v>
      </c>
      <c r="F103" s="7">
        <f>VLOOKUP(C103,[3]report!$A$2:$R$406,5,FALSE)</f>
        <v>4120176864</v>
      </c>
      <c r="G103" s="12" t="str">
        <f>VLOOKUP(C103,[3]report!$A$2:$R$406,8,FALSE)</f>
        <v>Kota Baubau - Kota Makassar</v>
      </c>
      <c r="H103" s="12" t="str">
        <f>VLOOKUP(C103,[3]report!$A$2:$R$406,9,FALSE)</f>
        <v>27/07/2025 - 29/07/2025</v>
      </c>
      <c r="I103" s="13">
        <f>VLOOKUP(C103,[3]report!$A$2:$R$406,17,FALSE)</f>
        <v>1780000</v>
      </c>
    </row>
    <row r="104" spans="2:9" s="5" customFormat="1" x14ac:dyDescent="0.25">
      <c r="B104" s="7">
        <v>99</v>
      </c>
      <c r="C104" s="11">
        <v>1271963537</v>
      </c>
      <c r="D104" s="12" t="str">
        <f>VLOOKUP(C104,[3]report!$A$2:$R$406,3,FALSE)</f>
        <v>KOMANG YEHUDA PRAWIRA</v>
      </c>
      <c r="E104" s="7">
        <f>VLOOKUP(C104,[3]report!$A$2:$R$406,4,FALSE)</f>
        <v>86098203</v>
      </c>
      <c r="F104" s="7">
        <f>VLOOKUP(C104,[3]report!$A$2:$R$406,5,FALSE)</f>
        <v>4120176902</v>
      </c>
      <c r="G104" s="12" t="str">
        <f>VLOOKUP(C104,[3]report!$A$2:$R$406,8,FALSE)</f>
        <v>Kota Makassar - Kota Surabaya</v>
      </c>
      <c r="H104" s="12" t="str">
        <f>VLOOKUP(C104,[3]report!$A$2:$R$406,9,FALSE)</f>
        <v>27/07/2025 - 02/08/2025</v>
      </c>
      <c r="I104" s="13">
        <f>VLOOKUP(C104,[3]report!$A$2:$R$406,17,FALSE)</f>
        <v>1980000</v>
      </c>
    </row>
    <row r="105" spans="2:9" s="5" customFormat="1" x14ac:dyDescent="0.25">
      <c r="B105" s="7">
        <v>100</v>
      </c>
      <c r="C105" s="11">
        <v>1271901257</v>
      </c>
      <c r="D105" s="12" t="str">
        <f>VLOOKUP(C105,[3]report!$A$2:$R$406,3,FALSE)</f>
        <v>JONI ALEXANDER HEYT SITORUS</v>
      </c>
      <c r="E105" s="7">
        <f>VLOOKUP(C105,[3]report!$A$2:$R$406,4,FALSE)</f>
        <v>83075800</v>
      </c>
      <c r="F105" s="7">
        <f>VLOOKUP(C105,[3]report!$A$2:$R$406,5,FALSE)</f>
        <v>4120176881</v>
      </c>
      <c r="G105" s="12" t="str">
        <f>VLOOKUP(C105,[3]report!$A$2:$R$406,8,FALSE)</f>
        <v>Kota Kendari - Kota Makassar</v>
      </c>
      <c r="H105" s="12" t="str">
        <f>VLOOKUP(C105,[3]report!$A$2:$R$406,9,FALSE)</f>
        <v>27/07/2025 - 29/07/2025</v>
      </c>
      <c r="I105" s="13">
        <f>VLOOKUP(C105,[3]report!$A$2:$R$406,17,FALSE)</f>
        <v>2056250</v>
      </c>
    </row>
    <row r="106" spans="2:9" s="5" customFormat="1" x14ac:dyDescent="0.25">
      <c r="B106" s="7">
        <v>101</v>
      </c>
      <c r="C106" s="11">
        <v>1271907178</v>
      </c>
      <c r="D106" s="12" t="str">
        <f>VLOOKUP(C106,[3]report!$A$2:$R$406,3,FALSE)</f>
        <v>BAGUS ALBARANU YULIATMOKO</v>
      </c>
      <c r="E106" s="7">
        <f>VLOOKUP(C106,[3]report!$A$2:$R$406,4,FALSE)</f>
        <v>96207604</v>
      </c>
      <c r="F106" s="7">
        <f>VLOOKUP(C106,[3]report!$A$2:$R$406,5,FALSE)</f>
        <v>4120176771</v>
      </c>
      <c r="G106" s="12" t="str">
        <f>VLOOKUP(C106,[3]report!$A$2:$R$406,8,FALSE)</f>
        <v>KotaMakassar-KotaBogor</v>
      </c>
      <c r="H106" s="12" t="str">
        <f>VLOOKUP(C106,[3]report!$A$2:$R$406,9,FALSE)</f>
        <v>22/07/2025 - 26/07/2025</v>
      </c>
      <c r="I106" s="13">
        <f>VLOOKUP(C106,[3]report!$A$2:$R$406,17,FALSE)</f>
        <v>2194600</v>
      </c>
    </row>
    <row r="107" spans="2:9" s="5" customFormat="1" x14ac:dyDescent="0.25">
      <c r="B107" s="7">
        <v>102</v>
      </c>
      <c r="C107" s="11">
        <v>1271883017</v>
      </c>
      <c r="D107" s="12" t="str">
        <f>VLOOKUP(C107,[3]report!$A$2:$R$406,3,FALSE)</f>
        <v>ASDARIA</v>
      </c>
      <c r="E107" s="7">
        <f>VLOOKUP(C107,[3]report!$A$2:$R$406,4,FALSE)</f>
        <v>93167609</v>
      </c>
      <c r="F107" s="7">
        <f>VLOOKUP(C107,[3]report!$A$2:$R$406,5,FALSE)</f>
        <v>4120176800</v>
      </c>
      <c r="G107" s="12" t="str">
        <f>VLOOKUP(C107,[3]report!$A$2:$R$406,8,FALSE)</f>
        <v>KotaMakassar-KotaBogor</v>
      </c>
      <c r="H107" s="12" t="str">
        <f>VLOOKUP(C107,[3]report!$A$2:$R$406,9,FALSE)</f>
        <v>22/07/2025 - 26/07/2025</v>
      </c>
      <c r="I107" s="13">
        <f>VLOOKUP(C107,[3]report!$A$2:$R$406,17,FALSE)</f>
        <v>2194600</v>
      </c>
    </row>
    <row r="108" spans="2:9" s="5" customFormat="1" x14ac:dyDescent="0.25">
      <c r="B108" s="7">
        <v>103</v>
      </c>
      <c r="C108" s="11">
        <v>1271950256</v>
      </c>
      <c r="D108" s="12" t="str">
        <f>VLOOKUP(C108,[3]report!$A$2:$R$406,3,FALSE)</f>
        <v>EDDY TANDILINO</v>
      </c>
      <c r="E108" s="7">
        <f>VLOOKUP(C108,[3]report!$A$2:$R$406,4,FALSE)</f>
        <v>89168000</v>
      </c>
      <c r="F108" s="7">
        <f>VLOOKUP(C108,[3]report!$A$2:$R$406,5,FALSE)</f>
        <v>4120176878</v>
      </c>
      <c r="G108" s="12" t="str">
        <f>VLOOKUP(C108,[3]report!$A$2:$R$406,8,FALSE)</f>
        <v>Kota Makassar - Kota Surabaya</v>
      </c>
      <c r="H108" s="12" t="str">
        <f>VLOOKUP(C108,[3]report!$A$2:$R$406,9,FALSE)</f>
        <v>27/07/2025 - 02/08/2025</v>
      </c>
      <c r="I108" s="13">
        <f>VLOOKUP(C108,[3]report!$A$2:$R$406,17,FALSE)</f>
        <v>2382400</v>
      </c>
    </row>
    <row r="109" spans="2:9" s="5" customFormat="1" x14ac:dyDescent="0.25">
      <c r="B109" s="7">
        <v>104</v>
      </c>
      <c r="C109" s="11">
        <v>1271967798</v>
      </c>
      <c r="D109" s="12" t="str">
        <f>VLOOKUP(C109,[3]report!$A$2:$R$406,3,FALSE)</f>
        <v>EDDY TANDILINO</v>
      </c>
      <c r="E109" s="7">
        <f>VLOOKUP(C109,[3]report!$A$2:$R$406,4,FALSE)</f>
        <v>89168000</v>
      </c>
      <c r="F109" s="7">
        <f>VLOOKUP(C109,[3]report!$A$2:$R$406,5,FALSE)</f>
        <v>4120176878</v>
      </c>
      <c r="G109" s="12" t="str">
        <f>VLOOKUP(C109,[3]report!$A$2:$R$406,8,FALSE)</f>
        <v>Kota Makassar - Kota Surabaya</v>
      </c>
      <c r="H109" s="12" t="str">
        <f>VLOOKUP(C109,[3]report!$A$2:$R$406,9,FALSE)</f>
        <v>27/07/2025 - 02/08/2025</v>
      </c>
      <c r="I109" s="13">
        <f>VLOOKUP(C109,[3]report!$A$2:$R$406,17,FALSE)</f>
        <v>2874999</v>
      </c>
    </row>
    <row r="110" spans="2:9" s="5" customFormat="1" x14ac:dyDescent="0.25">
      <c r="B110" s="7">
        <v>105</v>
      </c>
      <c r="C110" s="11">
        <v>1272026631</v>
      </c>
      <c r="D110" s="12" t="str">
        <f>VLOOKUP(C110,[3]report!$A$2:$R$406,3,FALSE)</f>
        <v>FRANZ TRYWANDI SARAGI NAPITU</v>
      </c>
      <c r="E110" s="7">
        <f>VLOOKUP(C110,[3]report!$A$2:$R$406,4,FALSE)</f>
        <v>95207602</v>
      </c>
      <c r="F110" s="7">
        <f>VLOOKUP(C110,[3]report!$A$2:$R$406,5,FALSE)</f>
        <v>4120176867</v>
      </c>
      <c r="G110" s="12" t="str">
        <f>VLOOKUP(C110,[3]report!$A$2:$R$406,8,FALSE)</f>
        <v>Kab. Wakatobi - Kab. Bandung</v>
      </c>
      <c r="H110" s="12" t="str">
        <f>VLOOKUP(C110,[3]report!$A$2:$R$406,9,FALSE)</f>
        <v>27/07/2025 - 02/08/2025</v>
      </c>
      <c r="I110" s="13">
        <f>VLOOKUP(C110,[3]report!$A$2:$R$406,17,FALSE)</f>
        <v>3824238</v>
      </c>
    </row>
    <row r="111" spans="2:9" s="5" customFormat="1" x14ac:dyDescent="0.25">
      <c r="B111" s="7">
        <v>106</v>
      </c>
      <c r="C111" s="11">
        <v>1272169642</v>
      </c>
      <c r="D111" s="12" t="str">
        <f>VLOOKUP(C111,[3]report!$A$2:$R$406,3,FALSE)</f>
        <v>GALIH RHENDRA PUTRA</v>
      </c>
      <c r="E111" s="7">
        <f>VLOOKUP(C111,[3]report!$A$2:$R$406,4,FALSE)</f>
        <v>92167612</v>
      </c>
      <c r="F111" s="7">
        <f>VLOOKUP(C111,[3]report!$A$2:$R$406,5,FALSE)</f>
        <v>4120176890</v>
      </c>
      <c r="G111" s="12" t="str">
        <f>VLOOKUP(C111,[3]report!$A$2:$R$406,8,FALSE)</f>
        <v>Kota Makassar - Kota Baubau</v>
      </c>
      <c r="H111" s="12" t="str">
        <f>VLOOKUP(C111,[3]report!$A$2:$R$406,9,FALSE)</f>
        <v>28/07/2025 - 04/08/2025</v>
      </c>
      <c r="I111" s="13">
        <f>VLOOKUP(C111,[3]report!$A$2:$R$406,17,FALSE)</f>
        <v>694100</v>
      </c>
    </row>
    <row r="112" spans="2:9" s="5" customFormat="1" x14ac:dyDescent="0.25">
      <c r="B112" s="7">
        <v>107</v>
      </c>
      <c r="C112" s="11">
        <v>1272069264</v>
      </c>
      <c r="D112" s="12" t="str">
        <f>VLOOKUP(C112,[3]report!$A$2:$R$406,3,FALSE)</f>
        <v>RYAN HARYANTO</v>
      </c>
      <c r="E112" s="7">
        <f>VLOOKUP(C112,[3]report!$A$2:$R$406,4,FALSE)</f>
        <v>96167866</v>
      </c>
      <c r="F112" s="7">
        <f>VLOOKUP(C112,[3]report!$A$2:$R$406,5,FALSE)</f>
        <v>4120176884</v>
      </c>
      <c r="G112" s="12" t="str">
        <f>VLOOKUP(C112,[3]report!$A$2:$R$406,8,FALSE)</f>
        <v>Kab. Wakatobi - Kota Makassar</v>
      </c>
      <c r="H112" s="12" t="str">
        <f>VLOOKUP(C112,[3]report!$A$2:$R$406,9,FALSE)</f>
        <v>27/07/2025 - 30/07/2025</v>
      </c>
      <c r="I112" s="13">
        <f>VLOOKUP(C112,[3]report!$A$2:$R$406,17,FALSE)</f>
        <v>705300</v>
      </c>
    </row>
    <row r="113" spans="2:9" s="5" customFormat="1" x14ac:dyDescent="0.25">
      <c r="B113" s="7">
        <v>108</v>
      </c>
      <c r="C113" s="11">
        <v>1272118370</v>
      </c>
      <c r="D113" s="12" t="str">
        <f>VLOOKUP(C113,[3]report!$A$2:$R$406,3,FALSE)</f>
        <v>DALMASIUS NUGROHO ADI PUTRANTO</v>
      </c>
      <c r="E113" s="7">
        <f>VLOOKUP(C113,[3]report!$A$2:$R$406,4,FALSE)</f>
        <v>80077601</v>
      </c>
      <c r="F113" s="7">
        <f>VLOOKUP(C113,[3]report!$A$2:$R$406,5,FALSE)</f>
        <v>4120176860</v>
      </c>
      <c r="G113" s="12" t="str">
        <f>VLOOKUP(C113,[3]report!$A$2:$R$406,8,FALSE)</f>
        <v>Kota Makassar - Kota Bandung - Kota Surabaya</v>
      </c>
      <c r="H113" s="12" t="str">
        <f>VLOOKUP(C113,[3]report!$A$2:$R$406,9,FALSE)</f>
        <v>24/07/2025 - 02/08/2025</v>
      </c>
      <c r="I113" s="13">
        <f>VLOOKUP(C113,[3]report!$A$2:$R$406,17,FALSE)</f>
        <v>795000</v>
      </c>
    </row>
    <row r="114" spans="2:9" s="5" customFormat="1" x14ac:dyDescent="0.25">
      <c r="B114" s="7">
        <v>109</v>
      </c>
      <c r="C114" s="11">
        <v>1272092036</v>
      </c>
      <c r="D114" s="12" t="str">
        <f>VLOOKUP(C114,[3]report!$A$2:$R$406,3,FALSE)</f>
        <v>RYAN HARYANTO</v>
      </c>
      <c r="E114" s="7">
        <f>VLOOKUP(C114,[3]report!$A$2:$R$406,4,FALSE)</f>
        <v>96167866</v>
      </c>
      <c r="F114" s="7">
        <f>VLOOKUP(C114,[3]report!$A$2:$R$406,5,FALSE)</f>
        <v>4120176884</v>
      </c>
      <c r="G114" s="12" t="str">
        <f>VLOOKUP(C114,[3]report!$A$2:$R$406,8,FALSE)</f>
        <v>Kab. Wakatobi - Kota Makassar</v>
      </c>
      <c r="H114" s="12" t="str">
        <f>VLOOKUP(C114,[3]report!$A$2:$R$406,9,FALSE)</f>
        <v>27/07/2025 - 30/07/2025</v>
      </c>
      <c r="I114" s="13">
        <f>VLOOKUP(C114,[3]report!$A$2:$R$406,17,FALSE)</f>
        <v>805200</v>
      </c>
    </row>
    <row r="115" spans="2:9" s="5" customFormat="1" x14ac:dyDescent="0.25">
      <c r="B115" s="7">
        <v>110</v>
      </c>
      <c r="C115" s="11">
        <v>1272291716</v>
      </c>
      <c r="D115" s="12" t="str">
        <f>VLOOKUP(C115,[3]report!$A$2:$R$406,3,FALSE)</f>
        <v xml:space="preserve">ANGRIAWAN </v>
      </c>
      <c r="E115" s="7">
        <f>VLOOKUP(C115,[3]report!$A$2:$R$406,4,FALSE)</f>
        <v>91167609</v>
      </c>
      <c r="F115" s="7">
        <f>VLOOKUP(C115,[3]report!$A$2:$R$406,5,FALSE)</f>
        <v>4120176845</v>
      </c>
      <c r="G115" s="12" t="str">
        <f>VLOOKUP(C115,[3]report!$A$2:$R$406,8,FALSE)</f>
        <v>Kab. Pinrang - Kota Makassar</v>
      </c>
      <c r="H115" s="12" t="str">
        <f>VLOOKUP(C115,[3]report!$A$2:$R$406,9,FALSE)</f>
        <v>27/07/2025 - 28/07/2025</v>
      </c>
      <c r="I115" s="13">
        <f>VLOOKUP(C115,[3]report!$A$2:$R$406,17,FALSE)</f>
        <v>999999</v>
      </c>
    </row>
    <row r="116" spans="2:9" s="5" customFormat="1" x14ac:dyDescent="0.25">
      <c r="B116" s="7">
        <v>111</v>
      </c>
      <c r="C116" s="11">
        <v>1272182422</v>
      </c>
      <c r="D116" s="12" t="str">
        <f>VLOOKUP(C116,[3]report!$A$2:$R$406,3,FALSE)</f>
        <v>DALMASIUS NUGROHO ADI PUTRANTO</v>
      </c>
      <c r="E116" s="7">
        <f>VLOOKUP(C116,[3]report!$A$2:$R$406,4,FALSE)</f>
        <v>80077601</v>
      </c>
      <c r="F116" s="7">
        <f>VLOOKUP(C116,[3]report!$A$2:$R$406,5,FALSE)</f>
        <v>4120176860</v>
      </c>
      <c r="G116" s="12" t="str">
        <f>VLOOKUP(C116,[3]report!$A$2:$R$406,8,FALSE)</f>
        <v>Kota Makassar - Kota Bandung - Kota Surabaya</v>
      </c>
      <c r="H116" s="12" t="str">
        <f>VLOOKUP(C116,[3]report!$A$2:$R$406,9,FALSE)</f>
        <v>24/07/2025 - 02/08/2025</v>
      </c>
      <c r="I116" s="13">
        <f>VLOOKUP(C116,[3]report!$A$2:$R$406,17,FALSE)</f>
        <v>1123800</v>
      </c>
    </row>
    <row r="117" spans="2:9" s="5" customFormat="1" x14ac:dyDescent="0.25">
      <c r="B117" s="7">
        <v>112</v>
      </c>
      <c r="C117" s="11">
        <v>1272173360</v>
      </c>
      <c r="D117" s="12" t="str">
        <f>VLOOKUP(C117,[3]report!$A$2:$R$406,3,FALSE)</f>
        <v>GALIH RHENDRA PUTRA</v>
      </c>
      <c r="E117" s="7">
        <f>VLOOKUP(C117,[3]report!$A$2:$R$406,4,FALSE)</f>
        <v>92167612</v>
      </c>
      <c r="F117" s="7">
        <f>VLOOKUP(C117,[3]report!$A$2:$R$406,5,FALSE)</f>
        <v>4120176890</v>
      </c>
      <c r="G117" s="12" t="str">
        <f>VLOOKUP(C117,[3]report!$A$2:$R$406,8,FALSE)</f>
        <v>Kota Makassar - Kota Baubau</v>
      </c>
      <c r="H117" s="12" t="str">
        <f>VLOOKUP(C117,[3]report!$A$2:$R$406,9,FALSE)</f>
        <v>28/07/2025 - 04/08/2025</v>
      </c>
      <c r="I117" s="13">
        <f>VLOOKUP(C117,[3]report!$A$2:$R$406,17,FALSE)</f>
        <v>1479700</v>
      </c>
    </row>
    <row r="118" spans="2:9" s="5" customFormat="1" x14ac:dyDescent="0.25">
      <c r="B118" s="7">
        <v>113</v>
      </c>
      <c r="C118" s="11">
        <v>1272279442</v>
      </c>
      <c r="D118" s="12" t="str">
        <f>VLOOKUP(C118,[3]report!$A$2:$R$406,3,FALSE)</f>
        <v xml:space="preserve">RISMAN </v>
      </c>
      <c r="E118" s="7">
        <f>VLOOKUP(C118,[3]report!$A$2:$R$406,4,FALSE)</f>
        <v>88137601</v>
      </c>
      <c r="F118" s="7">
        <f>VLOOKUP(C118,[3]report!$A$2:$R$406,5,FALSE)</f>
        <v>4120176905</v>
      </c>
      <c r="G118" s="12" t="str">
        <f>VLOOKUP(C118,[3]report!$A$2:$R$406,8,FALSE)</f>
        <v>Kab. Mamuju - Kota Makassar</v>
      </c>
      <c r="H118" s="12" t="str">
        <f>VLOOKUP(C118,[3]report!$A$2:$R$406,9,FALSE)</f>
        <v>27/07/2025 - 29/07/2025</v>
      </c>
      <c r="I118" s="13">
        <f>VLOOKUP(C118,[3]report!$A$2:$R$406,17,FALSE)</f>
        <v>1739686</v>
      </c>
    </row>
    <row r="119" spans="2:9" s="5" customFormat="1" x14ac:dyDescent="0.25">
      <c r="B119" s="7">
        <v>114</v>
      </c>
      <c r="C119" s="11">
        <v>1272118760</v>
      </c>
      <c r="D119" s="12" t="str">
        <f>VLOOKUP(C119,[3]report!$A$2:$R$406,3,FALSE)</f>
        <v>M. FAUZAN</v>
      </c>
      <c r="E119" s="7">
        <f>VLOOKUP(C119,[3]report!$A$2:$R$406,4,FALSE)</f>
        <v>80065602</v>
      </c>
      <c r="F119" s="7">
        <f>VLOOKUP(C119,[3]report!$A$2:$R$406,5,FALSE)</f>
        <v>4120176868</v>
      </c>
      <c r="G119" s="12" t="str">
        <f>VLOOKUP(C119,[3]report!$A$2:$R$406,8,FALSE)</f>
        <v>Kab. Mamuju - Kota Makassar</v>
      </c>
      <c r="H119" s="12" t="str">
        <f>VLOOKUP(C119,[3]report!$A$2:$R$406,9,FALSE)</f>
        <v>27/07/2025 - 29/07/2025</v>
      </c>
      <c r="I119" s="13">
        <f>VLOOKUP(C119,[3]report!$A$2:$R$406,17,FALSE)</f>
        <v>2420000</v>
      </c>
    </row>
    <row r="120" spans="2:9" s="5" customFormat="1" x14ac:dyDescent="0.25">
      <c r="B120" s="7">
        <v>115</v>
      </c>
      <c r="C120" s="11">
        <v>1272355232</v>
      </c>
      <c r="D120" s="12" t="str">
        <f>VLOOKUP(C120,[3]report!$A$2:$R$406,3,FALSE)</f>
        <v>JULYANZAH PERDANA PUTRA</v>
      </c>
      <c r="E120" s="7">
        <f>VLOOKUP(C120,[3]report!$A$2:$R$406,4,FALSE)</f>
        <v>88128002</v>
      </c>
      <c r="F120" s="7">
        <f>VLOOKUP(C120,[3]report!$A$2:$R$406,5,FALSE)</f>
        <v>4120176859</v>
      </c>
      <c r="G120" s="12" t="str">
        <f>VLOOKUP(C120,[3]report!$A$2:$R$406,8,FALSE)</f>
        <v>Kota Makassar - Kota Bandung</v>
      </c>
      <c r="H120" s="12" t="str">
        <f>VLOOKUP(C120,[3]report!$A$2:$R$406,9,FALSE)</f>
        <v>24/07/2025 - 28/07/2025</v>
      </c>
      <c r="I120" s="13">
        <f>VLOOKUP(C120,[3]report!$A$2:$R$406,17,FALSE)</f>
        <v>875000</v>
      </c>
    </row>
    <row r="121" spans="2:9" s="5" customFormat="1" x14ac:dyDescent="0.25">
      <c r="B121" s="7">
        <v>116</v>
      </c>
      <c r="C121" s="11">
        <v>1272409234</v>
      </c>
      <c r="D121" s="12" t="str">
        <f>VLOOKUP(C121,[3]report!$A$2:$R$406,3,FALSE)</f>
        <v>DALMASIUS NUGROHO ADI PUTRANTO</v>
      </c>
      <c r="E121" s="7">
        <f>VLOOKUP(C121,[3]report!$A$2:$R$406,4,FALSE)</f>
        <v>80077601</v>
      </c>
      <c r="F121" s="7">
        <f>VLOOKUP(C121,[3]report!$A$2:$R$406,5,FALSE)</f>
        <v>4120176860</v>
      </c>
      <c r="G121" s="12" t="str">
        <f>VLOOKUP(C121,[3]report!$A$2:$R$406,8,FALSE)</f>
        <v>Kota Makassar - Kota Bandung - Kota Surabaya</v>
      </c>
      <c r="H121" s="12" t="str">
        <f>VLOOKUP(C121,[3]report!$A$2:$R$406,9,FALSE)</f>
        <v>24/07/2025 - 02/08/2025</v>
      </c>
      <c r="I121" s="13">
        <f>VLOOKUP(C121,[3]report!$A$2:$R$406,17,FALSE)</f>
        <v>974999</v>
      </c>
    </row>
    <row r="122" spans="2:9" s="5" customFormat="1" x14ac:dyDescent="0.25">
      <c r="B122" s="7">
        <v>117</v>
      </c>
      <c r="C122" s="16">
        <v>1272118349</v>
      </c>
      <c r="D122" s="12" t="str">
        <f>VLOOKUP(C122,[3]report!$A$2:$R$406,3,FALSE)</f>
        <v>JULYANZAH PERDANA PUTRA</v>
      </c>
      <c r="E122" s="7">
        <f>VLOOKUP(C122,[3]report!$A$2:$R$406,4,FALSE)</f>
        <v>88128002</v>
      </c>
      <c r="F122" s="7">
        <f>VLOOKUP(C122,[3]report!$A$2:$R$406,5,FALSE)</f>
        <v>4120176859</v>
      </c>
      <c r="G122" s="12" t="str">
        <f>VLOOKUP(C122,[3]report!$A$2:$R$406,8,FALSE)</f>
        <v>Kota Makassar - Kota Bandung</v>
      </c>
      <c r="H122" s="12" t="str">
        <f>VLOOKUP(C122,[3]report!$A$2:$R$406,9,FALSE)</f>
        <v>24/07/2025 - 28/07/2025</v>
      </c>
      <c r="I122" s="13">
        <f>VLOOKUP(C122,[3]report!$A$2:$R$406,17,FALSE)</f>
        <v>795000</v>
      </c>
    </row>
    <row r="123" spans="2:9" s="5" customFormat="1" x14ac:dyDescent="0.25">
      <c r="B123" s="7">
        <v>118</v>
      </c>
      <c r="C123" s="11">
        <v>1272384541</v>
      </c>
      <c r="D123" s="12" t="str">
        <f>VLOOKUP(C123,[3]report!$A$2:$R$406,3,FALSE)</f>
        <v xml:space="preserve">MIRSAN </v>
      </c>
      <c r="E123" s="7">
        <f>VLOOKUP(C123,[3]report!$A$2:$R$406,4,FALSE)</f>
        <v>84087802</v>
      </c>
      <c r="F123" s="7">
        <f>VLOOKUP(C123,[3]report!$A$2:$R$406,5,FALSE)</f>
        <v>4120176903</v>
      </c>
      <c r="G123" s="12" t="str">
        <f>VLOOKUP(C123,[3]report!$A$2:$R$406,8,FALSE)</f>
        <v>Kota Makassar - Kota Bandung</v>
      </c>
      <c r="H123" s="12" t="str">
        <f>VLOOKUP(C123,[3]report!$A$2:$R$406,9,FALSE)</f>
        <v>28/07/2025 - 30/07/2025</v>
      </c>
      <c r="I123" s="13">
        <f>VLOOKUP(C123,[3]report!$A$2:$R$406,17,FALSE)</f>
        <v>1277800</v>
      </c>
    </row>
    <row r="124" spans="2:9" s="5" customFormat="1" x14ac:dyDescent="0.25">
      <c r="B124" s="7">
        <v>119</v>
      </c>
      <c r="C124" s="11">
        <v>1272416013</v>
      </c>
      <c r="D124" s="12" t="str">
        <f>VLOOKUP(C124,[3]report!$A$2:$R$406,3,FALSE)</f>
        <v>AHMAD AMIRUL SYARIF</v>
      </c>
      <c r="E124" s="7">
        <f>VLOOKUP(C124,[3]report!$A$2:$R$406,4,FALSE)</f>
        <v>87108002</v>
      </c>
      <c r="F124" s="7">
        <f>VLOOKUP(C124,[3]report!$A$2:$R$406,5,FALSE)</f>
        <v>4120176908</v>
      </c>
      <c r="G124" s="12" t="str">
        <f>VLOOKUP(C124,[3]report!$A$2:$R$406,8,FALSE)</f>
        <v>Kota Makassar - Jakarta Pusat</v>
      </c>
      <c r="H124" s="12" t="str">
        <f>VLOOKUP(C124,[3]report!$A$2:$R$406,9,FALSE)</f>
        <v>28/07/2025 - 31/07/2025</v>
      </c>
      <c r="I124" s="13">
        <f>VLOOKUP(C124,[3]report!$A$2:$R$406,17,FALSE)</f>
        <v>1293700</v>
      </c>
    </row>
    <row r="125" spans="2:9" s="5" customFormat="1" x14ac:dyDescent="0.25">
      <c r="B125" s="7">
        <v>120</v>
      </c>
      <c r="C125" s="11">
        <v>1272416483</v>
      </c>
      <c r="D125" s="12" t="str">
        <f>VLOOKUP(C125,[3]report!$A$2:$R$406,3,FALSE)</f>
        <v>RATHY SHINTA UTAMI</v>
      </c>
      <c r="E125" s="7">
        <f>VLOOKUP(C125,[3]report!$A$2:$R$406,4,FALSE)</f>
        <v>86093800</v>
      </c>
      <c r="F125" s="7">
        <f>VLOOKUP(C125,[3]report!$A$2:$R$406,5,FALSE)</f>
        <v>4120176909</v>
      </c>
      <c r="G125" s="12" t="str">
        <f>VLOOKUP(C125,[3]report!$A$2:$R$406,8,FALSE)</f>
        <v>Kota Makassar - Jakarta Selatan</v>
      </c>
      <c r="H125" s="12" t="str">
        <f>VLOOKUP(C125,[3]report!$A$2:$R$406,9,FALSE)</f>
        <v>28/07/2025 - 31/07/2025</v>
      </c>
      <c r="I125" s="13">
        <f>VLOOKUP(C125,[3]report!$A$2:$R$406,17,FALSE)</f>
        <v>1293700</v>
      </c>
    </row>
    <row r="126" spans="2:9" s="5" customFormat="1" x14ac:dyDescent="0.25">
      <c r="B126" s="7">
        <v>121</v>
      </c>
      <c r="C126" s="11">
        <v>1272319246</v>
      </c>
      <c r="D126" s="12" t="str">
        <f>VLOOKUP(C126,[3]report!$A$2:$R$406,3,FALSE)</f>
        <v>INCE ZULKIFLI Z. MA'MUR</v>
      </c>
      <c r="E126" s="7">
        <f>VLOOKUP(C126,[3]report!$A$2:$R$406,4,FALSE)</f>
        <v>89097600</v>
      </c>
      <c r="F126" s="7">
        <f>VLOOKUP(C126,[3]report!$A$2:$R$406,5,FALSE)</f>
        <v>4120176891</v>
      </c>
      <c r="G126" s="12" t="str">
        <f>VLOOKUP(C126,[3]report!$A$2:$R$406,8,FALSE)</f>
        <v>Kab. Pasangkayu - Kota Makassar</v>
      </c>
      <c r="H126" s="12" t="str">
        <f>VLOOKUP(C126,[3]report!$A$2:$R$406,9,FALSE)</f>
        <v>27/07/2025 - 30/07/2025</v>
      </c>
      <c r="I126" s="13">
        <f>VLOOKUP(C126,[3]report!$A$2:$R$406,17,FALSE)</f>
        <v>2609529</v>
      </c>
    </row>
    <row r="127" spans="2:9" s="5" customFormat="1" x14ac:dyDescent="0.25">
      <c r="B127" s="7">
        <v>122</v>
      </c>
      <c r="C127" s="11">
        <v>1272423392</v>
      </c>
      <c r="D127" s="12" t="str">
        <f>VLOOKUP(C127,[3]report!$A$2:$R$406,3,FALSE)</f>
        <v>EKA MAYASARI RACHMAN</v>
      </c>
      <c r="E127" s="7">
        <f>VLOOKUP(C127,[3]report!$A$2:$R$406,4,FALSE)</f>
        <v>88117600</v>
      </c>
      <c r="F127" s="7">
        <f>VLOOKUP(C127,[3]report!$A$2:$R$406,5,FALSE)</f>
        <v>4120176912</v>
      </c>
      <c r="G127" s="12" t="str">
        <f>VLOOKUP(C127,[3]report!$A$2:$R$406,8,FALSE)</f>
        <v>Kota Makassar - Jakarta Selatan</v>
      </c>
      <c r="H127" s="12" t="str">
        <f>VLOOKUP(C127,[3]report!$A$2:$R$406,9,FALSE)</f>
        <v>28/07/2025 - 31/07/2025</v>
      </c>
      <c r="I127" s="13">
        <f>VLOOKUP(C127,[3]report!$A$2:$R$406,17,FALSE)</f>
        <v>1293700</v>
      </c>
    </row>
    <row r="128" spans="2:9" s="5" customFormat="1" x14ac:dyDescent="0.25">
      <c r="B128" s="7">
        <v>123</v>
      </c>
      <c r="C128" s="11">
        <v>1273083788</v>
      </c>
      <c r="D128" s="12" t="str">
        <f>VLOOKUP(C128,[3]report!$A$2:$R$406,3,FALSE)</f>
        <v>GALIH RHENDRA PUTRA</v>
      </c>
      <c r="E128" s="7">
        <f>VLOOKUP(C128,[3]report!$A$2:$R$406,4,FALSE)</f>
        <v>92167612</v>
      </c>
      <c r="F128" s="7">
        <f>VLOOKUP(C128,[3]report!$A$2:$R$406,5,FALSE)</f>
        <v>4120176890</v>
      </c>
      <c r="G128" s="12" t="str">
        <f>VLOOKUP(C128,[3]report!$A$2:$R$406,8,FALSE)</f>
        <v>Kota Makassar - Kota Baubau</v>
      </c>
      <c r="H128" s="12" t="str">
        <f>VLOOKUP(C128,[3]report!$A$2:$R$406,9,FALSE)</f>
        <v>28/07/2025 - 04/08/2025</v>
      </c>
      <c r="I128" s="13">
        <f>VLOOKUP(C128,[3]report!$A$2:$R$406,17,FALSE)</f>
        <v>694100</v>
      </c>
    </row>
    <row r="129" spans="2:9" s="5" customFormat="1" x14ac:dyDescent="0.25">
      <c r="B129" s="7">
        <v>124</v>
      </c>
      <c r="C129" s="11">
        <v>1273064329</v>
      </c>
      <c r="D129" s="12" t="str">
        <f>VLOOKUP(C129,[3]report!$A$2:$R$406,3,FALSE)</f>
        <v>YUDHA BYATARA SWANIDA</v>
      </c>
      <c r="E129" s="7">
        <f>VLOOKUP(C129,[3]report!$A$2:$R$406,4,FALSE)</f>
        <v>97167851</v>
      </c>
      <c r="F129" s="7">
        <f>VLOOKUP(C129,[3]report!$A$2:$R$406,5,FALSE)</f>
        <v>4120176871</v>
      </c>
      <c r="G129" s="12" t="str">
        <f>VLOOKUP(C129,[3]report!$A$2:$R$406,8,FALSE)</f>
        <v>Kab. Maros - Kota Banjarbaru</v>
      </c>
      <c r="H129" s="12" t="str">
        <f>VLOOKUP(C129,[3]report!$A$2:$R$406,9,FALSE)</f>
        <v>27/07/2025 - 02/08/2025</v>
      </c>
      <c r="I129" s="13">
        <f>VLOOKUP(C129,[3]report!$A$2:$R$406,17,FALSE)</f>
        <v>1269000</v>
      </c>
    </row>
    <row r="130" spans="2:9" s="5" customFormat="1" x14ac:dyDescent="0.25">
      <c r="B130" s="7">
        <v>125</v>
      </c>
      <c r="C130" s="11">
        <v>1273111494</v>
      </c>
      <c r="D130" s="12" t="str">
        <f>VLOOKUP(C130,[3]report!$A$2:$R$406,3,FALSE)</f>
        <v>AHMAD AMIRUL SYARIF</v>
      </c>
      <c r="E130" s="7">
        <f>VLOOKUP(C130,[3]report!$A$2:$R$406,4,FALSE)</f>
        <v>87108002</v>
      </c>
      <c r="F130" s="7">
        <f>VLOOKUP(C130,[3]report!$A$2:$R$406,5,FALSE)</f>
        <v>4120176908</v>
      </c>
      <c r="G130" s="12" t="str">
        <f>VLOOKUP(C130,[3]report!$A$2:$R$406,8,FALSE)</f>
        <v>Kota Makassar - Jakarta Pusat</v>
      </c>
      <c r="H130" s="12" t="str">
        <f>VLOOKUP(C130,[3]report!$A$2:$R$406,9,FALSE)</f>
        <v>29/07/2025 - 01/08/2025</v>
      </c>
      <c r="I130" s="13">
        <f>VLOOKUP(C130,[3]report!$A$2:$R$406,17,FALSE)</f>
        <v>1629200</v>
      </c>
    </row>
    <row r="131" spans="2:9" s="5" customFormat="1" x14ac:dyDescent="0.25">
      <c r="B131" s="7">
        <v>126</v>
      </c>
      <c r="C131" s="11">
        <v>1273111413</v>
      </c>
      <c r="D131" s="12" t="str">
        <f>VLOOKUP(C131,[3]report!$A$2:$R$406,3,FALSE)</f>
        <v>RATHY SHINTA UTAMI</v>
      </c>
      <c r="E131" s="7">
        <f>VLOOKUP(C131,[3]report!$A$2:$R$406,4,FALSE)</f>
        <v>86093800</v>
      </c>
      <c r="F131" s="7">
        <f>VLOOKUP(C131,[3]report!$A$2:$R$406,5,FALSE)</f>
        <v>4120176909</v>
      </c>
      <c r="G131" s="12" t="str">
        <f>VLOOKUP(C131,[3]report!$A$2:$R$406,8,FALSE)</f>
        <v>Kota Makassar - Jakarta Selatan</v>
      </c>
      <c r="H131" s="12" t="str">
        <f>VLOOKUP(C131,[3]report!$A$2:$R$406,9,FALSE)</f>
        <v>29/07/2025 - 01/08/2025</v>
      </c>
      <c r="I131" s="13">
        <f>VLOOKUP(C131,[3]report!$A$2:$R$406,17,FALSE)</f>
        <v>1629200</v>
      </c>
    </row>
    <row r="132" spans="2:9" s="5" customFormat="1" x14ac:dyDescent="0.25">
      <c r="B132" s="7">
        <v>127</v>
      </c>
      <c r="C132" s="11">
        <v>1273112842</v>
      </c>
      <c r="D132" s="12" t="str">
        <f>VLOOKUP(C132,[3]report!$A$2:$R$406,3,FALSE)</f>
        <v>EKA MAYASARI RACHMAN</v>
      </c>
      <c r="E132" s="7">
        <f>VLOOKUP(C132,[3]report!$A$2:$R$406,4,FALSE)</f>
        <v>88117600</v>
      </c>
      <c r="F132" s="7">
        <f>VLOOKUP(C132,[3]report!$A$2:$R$406,5,FALSE)</f>
        <v>4120176912</v>
      </c>
      <c r="G132" s="12" t="str">
        <f>VLOOKUP(C132,[3]report!$A$2:$R$406,8,FALSE)</f>
        <v>Kota Makassar - Jakarta Selatan</v>
      </c>
      <c r="H132" s="12" t="str">
        <f>VLOOKUP(C132,[3]report!$A$2:$R$406,9,FALSE)</f>
        <v>29/07/2025 - 01/08/2025</v>
      </c>
      <c r="I132" s="13">
        <f>VLOOKUP(C132,[3]report!$A$2:$R$406,17,FALSE)</f>
        <v>1890500</v>
      </c>
    </row>
    <row r="133" spans="2:9" s="5" customFormat="1" x14ac:dyDescent="0.25">
      <c r="B133" s="7">
        <v>128</v>
      </c>
      <c r="C133" s="11">
        <v>1273078329</v>
      </c>
      <c r="D133" s="12" t="str">
        <f>VLOOKUP(C133,[3]report!$A$2:$R$406,3,FALSE)</f>
        <v>ANDI ARLANGGA BUSPADI</v>
      </c>
      <c r="E133" s="7">
        <f>VLOOKUP(C133,[3]report!$A$2:$R$406,4,FALSE)</f>
        <v>98177607</v>
      </c>
      <c r="F133" s="7">
        <f>VLOOKUP(C133,[3]report!$A$2:$R$406,5,FALSE)</f>
        <v>4120176700</v>
      </c>
      <c r="G133" s="12" t="str">
        <f>VLOOKUP(C133,[3]report!$A$2:$R$406,8,FALSE)</f>
        <v>Kab. Bone - Jakarta Barat</v>
      </c>
      <c r="H133" s="12" t="str">
        <f>VLOOKUP(C133,[3]report!$A$2:$R$406,9,FALSE)</f>
        <v>27/07/2025 - 31/07/2025</v>
      </c>
      <c r="I133" s="13">
        <f>VLOOKUP(C133,[3]report!$A$2:$R$406,17,FALSE)</f>
        <v>2395400</v>
      </c>
    </row>
    <row r="134" spans="2:9" x14ac:dyDescent="0.25">
      <c r="B134" s="7">
        <v>129</v>
      </c>
      <c r="C134" s="11">
        <v>1273181983</v>
      </c>
      <c r="D134" s="12" t="str">
        <f>VLOOKUP(C134,[3]report!$A$2:$R$406,3,FALSE)</f>
        <v>DALMASIUS NUGROHO ADI PUTRANTO</v>
      </c>
      <c r="E134" s="7">
        <f>VLOOKUP(C134,[3]report!$A$2:$R$406,4,FALSE)</f>
        <v>80077601</v>
      </c>
      <c r="F134" s="7">
        <f>VLOOKUP(C134,[3]report!$A$2:$R$406,5,FALSE)</f>
        <v>4120176860</v>
      </c>
      <c r="G134" s="12" t="str">
        <f>VLOOKUP(C134,[3]report!$A$2:$R$406,8,FALSE)</f>
        <v>Kota Makassar - Kota Bandung - Kota Surabaya</v>
      </c>
      <c r="H134" s="12" t="str">
        <f>VLOOKUP(C134,[3]report!$A$2:$R$406,9,FALSE)</f>
        <v>24/07/2025 - 02/08/2025</v>
      </c>
      <c r="I134" s="13">
        <f>VLOOKUP(C134,[3]report!$A$2:$R$406,17,FALSE)</f>
        <v>475000</v>
      </c>
    </row>
    <row r="135" spans="2:9" s="5" customFormat="1" x14ac:dyDescent="0.25">
      <c r="B135" s="7">
        <v>130</v>
      </c>
      <c r="C135" s="11">
        <v>1273172842</v>
      </c>
      <c r="D135" s="12" t="str">
        <f>VLOOKUP(C135,[3]report!$A$2:$R$406,3,FALSE)</f>
        <v>AMSAR SAPUTRA</v>
      </c>
      <c r="E135" s="7">
        <f>VLOOKUP(C135,[3]report!$A$2:$R$406,4,FALSE)</f>
        <v>84098001</v>
      </c>
      <c r="F135" s="7">
        <f>VLOOKUP(C135,[3]report!$A$2:$R$406,5,FALSE)</f>
        <v>4120176893</v>
      </c>
      <c r="G135" s="12" t="str">
        <f>VLOOKUP(C135,[3]report!$A$2:$R$406,8,FALSE)</f>
        <v>Kota Baubau - Kota Baubau</v>
      </c>
      <c r="H135" s="12" t="str">
        <f>VLOOKUP(C135,[3]report!$A$2:$R$406,9,FALSE)</f>
        <v>28/07/2025 - 04/08/2025</v>
      </c>
      <c r="I135" s="13">
        <f>VLOOKUP(C135,[3]report!$A$2:$R$406,17,FALSE)</f>
        <v>693150</v>
      </c>
    </row>
    <row r="136" spans="2:9" s="5" customFormat="1" x14ac:dyDescent="0.25">
      <c r="B136" s="7">
        <v>131</v>
      </c>
      <c r="C136" s="11">
        <v>1273148036</v>
      </c>
      <c r="D136" s="12" t="str">
        <f>VLOOKUP(C136,[3]report!$A$2:$R$406,3,FALSE)</f>
        <v>GALIH RHENDRA PUTRA</v>
      </c>
      <c r="E136" s="7">
        <f>VLOOKUP(C136,[3]report!$A$2:$R$406,4,FALSE)</f>
        <v>92167612</v>
      </c>
      <c r="F136" s="7">
        <f>VLOOKUP(C136,[3]report!$A$2:$R$406,5,FALSE)</f>
        <v>4120176890</v>
      </c>
      <c r="G136" s="12" t="str">
        <f>VLOOKUP(C136,[3]report!$A$2:$R$406,8,FALSE)</f>
        <v>Kota Makassar - Kota Baubau</v>
      </c>
      <c r="H136" s="12" t="str">
        <f>VLOOKUP(C136,[3]report!$A$2:$R$406,9,FALSE)</f>
        <v>28/07/2025 - 04/08/2025</v>
      </c>
      <c r="I136" s="13">
        <f>VLOOKUP(C136,[3]report!$A$2:$R$406,17,FALSE)</f>
        <v>693150</v>
      </c>
    </row>
    <row r="137" spans="2:9" s="5" customFormat="1" x14ac:dyDescent="0.25">
      <c r="B137" s="7">
        <v>132</v>
      </c>
      <c r="C137" s="11">
        <v>1273172636</v>
      </c>
      <c r="D137" s="12" t="str">
        <f>VLOOKUP(C137,[3]report!$A$2:$R$406,3,FALSE)</f>
        <v xml:space="preserve">ASRI </v>
      </c>
      <c r="E137" s="7">
        <f>VLOOKUP(C137,[3]report!$A$2:$R$406,4,FALSE)</f>
        <v>78027605</v>
      </c>
      <c r="F137" s="7">
        <f>VLOOKUP(C137,[3]report!$A$2:$R$406,5,FALSE)</f>
        <v>4120176894</v>
      </c>
      <c r="G137" s="12" t="str">
        <f>VLOOKUP(C137,[3]report!$A$2:$R$406,8,FALSE)</f>
        <v>Kota Makassar - Kota Baubau</v>
      </c>
      <c r="H137" s="12" t="str">
        <f>VLOOKUP(C137,[3]report!$A$2:$R$406,9,FALSE)</f>
        <v>28/07/2025 - 04/08/2025</v>
      </c>
      <c r="I137" s="13">
        <f>VLOOKUP(C137,[3]report!$A$2:$R$406,17,FALSE)</f>
        <v>744200</v>
      </c>
    </row>
    <row r="138" spans="2:9" s="5" customFormat="1" x14ac:dyDescent="0.25">
      <c r="B138" s="7">
        <v>133</v>
      </c>
      <c r="C138" s="11">
        <v>1273142405</v>
      </c>
      <c r="D138" s="12" t="str">
        <f>VLOOKUP(C138,[3]report!$A$2:$R$406,3,FALSE)</f>
        <v>GALIH RHENDRA PUTRA</v>
      </c>
      <c r="E138" s="7">
        <f>VLOOKUP(C138,[3]report!$A$2:$R$406,4,FALSE)</f>
        <v>92167612</v>
      </c>
      <c r="F138" s="7">
        <f>VLOOKUP(C138,[3]report!$A$2:$R$406,5,FALSE)</f>
        <v>4120176890</v>
      </c>
      <c r="G138" s="12" t="str">
        <f>VLOOKUP(C138,[3]report!$A$2:$R$406,8,FALSE)</f>
        <v>Kota Makassar - Kota Baubau</v>
      </c>
      <c r="H138" s="12" t="str">
        <f>VLOOKUP(C138,[3]report!$A$2:$R$406,9,FALSE)</f>
        <v>28/07/2025 - 04/08/2025</v>
      </c>
      <c r="I138" s="13">
        <f>VLOOKUP(C138,[3]report!$A$2:$R$406,17,FALSE)</f>
        <v>744200</v>
      </c>
    </row>
    <row r="139" spans="2:9" s="5" customFormat="1" x14ac:dyDescent="0.25">
      <c r="B139" s="7">
        <v>134</v>
      </c>
      <c r="C139" s="11">
        <v>1273173334</v>
      </c>
      <c r="D139" s="12" t="str">
        <f>VLOOKUP(C139,[3]report!$A$2:$R$406,3,FALSE)</f>
        <v xml:space="preserve">FIRMANSYAH </v>
      </c>
      <c r="E139" s="7">
        <f>VLOOKUP(C139,[3]report!$A$2:$R$406,4,FALSE)</f>
        <v>82067606</v>
      </c>
      <c r="F139" s="7">
        <f>VLOOKUP(C139,[3]report!$A$2:$R$406,5,FALSE)</f>
        <v>4120176899</v>
      </c>
      <c r="G139" s="12" t="str">
        <f>VLOOKUP(C139,[3]report!$A$2:$R$406,8,FALSE)</f>
        <v>Kota Makassar - Kota Baubau</v>
      </c>
      <c r="H139" s="12" t="str">
        <f>VLOOKUP(C139,[3]report!$A$2:$R$406,9,FALSE)</f>
        <v>28/07/2025 - 04/08/2025</v>
      </c>
      <c r="I139" s="13">
        <f>VLOOKUP(C139,[3]report!$A$2:$R$406,17,FALSE)</f>
        <v>744200</v>
      </c>
    </row>
    <row r="140" spans="2:9" s="5" customFormat="1" x14ac:dyDescent="0.25">
      <c r="B140" s="7">
        <v>135</v>
      </c>
      <c r="C140" s="11">
        <v>1273173437</v>
      </c>
      <c r="D140" s="12" t="str">
        <f>VLOOKUP(C140,[3]report!$A$2:$R$406,3,FALSE)</f>
        <v>HAYAT MAKMUR</v>
      </c>
      <c r="E140" s="7">
        <f>VLOOKUP(C140,[3]report!$A$2:$R$406,4,FALSE)</f>
        <v>73937618</v>
      </c>
      <c r="F140" s="7">
        <f>VLOOKUP(C140,[3]report!$A$2:$R$406,5,FALSE)</f>
        <v>4120176892</v>
      </c>
      <c r="G140" s="12" t="str">
        <f>VLOOKUP(C140,[3]report!$A$2:$R$406,8,FALSE)</f>
        <v>Kota Makassar - Kota Baubau</v>
      </c>
      <c r="H140" s="12" t="str">
        <f>VLOOKUP(C140,[3]report!$A$2:$R$406,9,FALSE)</f>
        <v>28/07/2025 - 04/08/2025</v>
      </c>
      <c r="I140" s="13">
        <f>VLOOKUP(C140,[3]report!$A$2:$R$406,17,FALSE)</f>
        <v>744200</v>
      </c>
    </row>
    <row r="141" spans="2:9" s="5" customFormat="1" x14ac:dyDescent="0.25">
      <c r="B141" s="7">
        <v>136</v>
      </c>
      <c r="C141" s="11">
        <v>1273174059</v>
      </c>
      <c r="D141" s="12" t="str">
        <f>VLOOKUP(C141,[3]report!$A$2:$R$406,3,FALSE)</f>
        <v>AMSAR SAPUTRA</v>
      </c>
      <c r="E141" s="7">
        <f>VLOOKUP(C141,[3]report!$A$2:$R$406,4,FALSE)</f>
        <v>84098001</v>
      </c>
      <c r="F141" s="7">
        <f>VLOOKUP(C141,[3]report!$A$2:$R$406,5,FALSE)</f>
        <v>4120176893</v>
      </c>
      <c r="G141" s="12" t="str">
        <f>VLOOKUP(C141,[3]report!$A$2:$R$406,8,FALSE)</f>
        <v>Kota Baubau - Kota Baubau</v>
      </c>
      <c r="H141" s="12" t="str">
        <f>VLOOKUP(C141,[3]report!$A$2:$R$406,9,FALSE)</f>
        <v>28/07/2025 - 04/08/2025</v>
      </c>
      <c r="I141" s="13">
        <f>VLOOKUP(C141,[3]report!$A$2:$R$406,17,FALSE)</f>
        <v>744200</v>
      </c>
    </row>
    <row r="142" spans="2:9" s="5" customFormat="1" x14ac:dyDescent="0.25">
      <c r="B142" s="7">
        <v>137</v>
      </c>
      <c r="C142" s="11">
        <v>1273145526</v>
      </c>
      <c r="D142" s="12" t="str">
        <f>VLOOKUP(C142,[3]report!$A$2:$R$406,3,FALSE)</f>
        <v>AMSAR SAPUTRA</v>
      </c>
      <c r="E142" s="7">
        <f>VLOOKUP(C142,[3]report!$A$2:$R$406,4,FALSE)</f>
        <v>84098001</v>
      </c>
      <c r="F142" s="7">
        <f>VLOOKUP(C142,[3]report!$A$2:$R$406,5,FALSE)</f>
        <v>4120176893</v>
      </c>
      <c r="G142" s="12" t="str">
        <f>VLOOKUP(C142,[3]report!$A$2:$R$406,8,FALSE)</f>
        <v>Kota Baubau - Kota Baubau</v>
      </c>
      <c r="H142" s="12" t="str">
        <f>VLOOKUP(C142,[3]report!$A$2:$R$406,9,FALSE)</f>
        <v>28/07/2025 - 04/08/2025</v>
      </c>
      <c r="I142" s="13">
        <f>VLOOKUP(C142,[3]report!$A$2:$R$406,17,FALSE)</f>
        <v>809200</v>
      </c>
    </row>
    <row r="143" spans="2:9" s="5" customFormat="1" x14ac:dyDescent="0.25">
      <c r="B143" s="7">
        <v>138</v>
      </c>
      <c r="C143" s="11">
        <v>1273139224</v>
      </c>
      <c r="D143" s="12" t="str">
        <f>VLOOKUP(C143,[3]report!$A$2:$R$406,3,FALSE)</f>
        <v xml:space="preserve">ASRI </v>
      </c>
      <c r="E143" s="7">
        <f>VLOOKUP(C143,[3]report!$A$2:$R$406,4,FALSE)</f>
        <v>78027605</v>
      </c>
      <c r="F143" s="7">
        <f>VLOOKUP(C143,[3]report!$A$2:$R$406,5,FALSE)</f>
        <v>4120176894</v>
      </c>
      <c r="G143" s="12" t="str">
        <f>VLOOKUP(C143,[3]report!$A$2:$R$406,8,FALSE)</f>
        <v>Kota Makassar - Kota Baubau</v>
      </c>
      <c r="H143" s="12" t="str">
        <f>VLOOKUP(C143,[3]report!$A$2:$R$406,9,FALSE)</f>
        <v>28/07/2025 - 04/08/2025</v>
      </c>
      <c r="I143" s="13">
        <f>VLOOKUP(C143,[3]report!$A$2:$R$406,17,FALSE)</f>
        <v>809200</v>
      </c>
    </row>
    <row r="144" spans="2:9" s="5" customFormat="1" x14ac:dyDescent="0.25">
      <c r="B144" s="7">
        <v>139</v>
      </c>
      <c r="C144" s="11">
        <v>1273170749</v>
      </c>
      <c r="D144" s="12" t="str">
        <f>VLOOKUP(C144,[3]report!$A$2:$R$406,3,FALSE)</f>
        <v xml:space="preserve">ASRI </v>
      </c>
      <c r="E144" s="7">
        <f>VLOOKUP(C144,[3]report!$A$2:$R$406,4,FALSE)</f>
        <v>78027605</v>
      </c>
      <c r="F144" s="7">
        <f>VLOOKUP(C144,[3]report!$A$2:$R$406,5,FALSE)</f>
        <v>4120176894</v>
      </c>
      <c r="G144" s="12" t="str">
        <f>VLOOKUP(C144,[3]report!$A$2:$R$406,8,FALSE)</f>
        <v>Kota Makassar - Kota Baubau</v>
      </c>
      <c r="H144" s="12" t="str">
        <f>VLOOKUP(C144,[3]report!$A$2:$R$406,9,FALSE)</f>
        <v>28/07/2025 - 04/08/2025</v>
      </c>
      <c r="I144" s="13">
        <f>VLOOKUP(C144,[3]report!$A$2:$R$406,17,FALSE)</f>
        <v>820150</v>
      </c>
    </row>
    <row r="145" spans="2:9" s="5" customFormat="1" x14ac:dyDescent="0.25">
      <c r="B145" s="7">
        <v>140</v>
      </c>
      <c r="C145" s="11">
        <v>1273171814</v>
      </c>
      <c r="D145" s="12" t="str">
        <f>VLOOKUP(C145,[3]report!$A$2:$R$406,3,FALSE)</f>
        <v xml:space="preserve">FIRMANSYAH </v>
      </c>
      <c r="E145" s="7">
        <f>VLOOKUP(C145,[3]report!$A$2:$R$406,4,FALSE)</f>
        <v>82067606</v>
      </c>
      <c r="F145" s="7">
        <f>VLOOKUP(C145,[3]report!$A$2:$R$406,5,FALSE)</f>
        <v>4120176899</v>
      </c>
      <c r="G145" s="12" t="str">
        <f>VLOOKUP(C145,[3]report!$A$2:$R$406,8,FALSE)</f>
        <v>Kota Makassar - Kota Baubau</v>
      </c>
      <c r="H145" s="12" t="str">
        <f>VLOOKUP(C145,[3]report!$A$2:$R$406,9,FALSE)</f>
        <v>28/07/2025 - 04/08/2025</v>
      </c>
      <c r="I145" s="13">
        <f>VLOOKUP(C145,[3]report!$A$2:$R$406,17,FALSE)</f>
        <v>1629350</v>
      </c>
    </row>
    <row r="146" spans="2:9" s="5" customFormat="1" x14ac:dyDescent="0.25">
      <c r="B146" s="7">
        <v>141</v>
      </c>
      <c r="C146" s="11">
        <v>1273146450</v>
      </c>
      <c r="D146" s="12" t="str">
        <f>VLOOKUP(C146,[3]report!$A$2:$R$406,3,FALSE)</f>
        <v>HAYAT MAKMUR</v>
      </c>
      <c r="E146" s="7">
        <f>VLOOKUP(C146,[3]report!$A$2:$R$406,4,FALSE)</f>
        <v>73937618</v>
      </c>
      <c r="F146" s="7">
        <f>VLOOKUP(C146,[3]report!$A$2:$R$406,5,FALSE)</f>
        <v>4120176892</v>
      </c>
      <c r="G146" s="12" t="str">
        <f>VLOOKUP(C146,[3]report!$A$2:$R$406,8,FALSE)</f>
        <v>Kota Makassar - Kota Baubau</v>
      </c>
      <c r="H146" s="12" t="str">
        <f>VLOOKUP(C146,[3]report!$A$2:$R$406,9,FALSE)</f>
        <v>28/07/2025 - 04/08/2025</v>
      </c>
      <c r="I146" s="13">
        <f>VLOOKUP(C146,[3]report!$A$2:$R$406,17,FALSE)</f>
        <v>1629350</v>
      </c>
    </row>
    <row r="147" spans="2:9" s="5" customFormat="1" x14ac:dyDescent="0.25">
      <c r="B147" s="7">
        <v>142</v>
      </c>
      <c r="C147" s="11">
        <v>1273354027</v>
      </c>
      <c r="D147" s="12" t="str">
        <f>VLOOKUP(C147,[3]report!$A$2:$R$406,3,FALSE)</f>
        <v>AHMAD AMIRUL SYARIF</v>
      </c>
      <c r="E147" s="7">
        <f>VLOOKUP(C147,[3]report!$A$2:$R$406,4,FALSE)</f>
        <v>87108002</v>
      </c>
      <c r="F147" s="7">
        <f>VLOOKUP(C147,[3]report!$A$2:$R$406,5,FALSE)</f>
        <v>4120176908</v>
      </c>
      <c r="G147" s="12" t="str">
        <f>VLOOKUP(C147,[3]report!$A$2:$R$406,8,FALSE)</f>
        <v>Kota Makassar - Jakarta Pusat</v>
      </c>
      <c r="H147" s="12" t="str">
        <f>VLOOKUP(C147,[3]report!$A$2:$R$406,9,FALSE)</f>
        <v>29/07/2025 - 01/08/2025</v>
      </c>
      <c r="I147" s="13">
        <f>VLOOKUP(C147,[3]report!$A$2:$R$406,17,FALSE)</f>
        <v>1291500</v>
      </c>
    </row>
    <row r="148" spans="2:9" s="5" customFormat="1" x14ac:dyDescent="0.25">
      <c r="B148" s="7">
        <v>143</v>
      </c>
      <c r="C148" s="11">
        <v>1273429727</v>
      </c>
      <c r="D148" s="12" t="str">
        <f>VLOOKUP(C148,[3]report!$A$2:$R$406,3,FALSE)</f>
        <v xml:space="preserve">FIRMANSYAH </v>
      </c>
      <c r="E148" s="7">
        <f>VLOOKUP(C148,[3]report!$A$2:$R$406,4,FALSE)</f>
        <v>82067606</v>
      </c>
      <c r="F148" s="7">
        <f>VLOOKUP(C148,[3]report!$A$2:$R$406,5,FALSE)</f>
        <v>4120176899</v>
      </c>
      <c r="G148" s="12" t="str">
        <f>VLOOKUP(C148,[3]report!$A$2:$R$406,8,FALSE)</f>
        <v>Kota Makassar - Kota Baubau</v>
      </c>
      <c r="H148" s="12" t="str">
        <f>VLOOKUP(C148,[3]report!$A$2:$R$406,9,FALSE)</f>
        <v>28/07/2025 - 04/08/2025</v>
      </c>
      <c r="I148" s="13">
        <f>VLOOKUP(C148,[3]report!$A$2:$R$406,17,FALSE)</f>
        <v>1386300</v>
      </c>
    </row>
    <row r="149" spans="2:9" s="5" customFormat="1" x14ac:dyDescent="0.25">
      <c r="B149" s="7">
        <v>144</v>
      </c>
      <c r="C149" s="11">
        <v>1273422442</v>
      </c>
      <c r="D149" s="12" t="str">
        <f>VLOOKUP(C149,[3]report!$A$2:$R$406,3,FALSE)</f>
        <v>AMSAR SAPUTRA</v>
      </c>
      <c r="E149" s="7">
        <f>VLOOKUP(C149,[3]report!$A$2:$R$406,4,FALSE)</f>
        <v>84098001</v>
      </c>
      <c r="F149" s="7">
        <f>VLOOKUP(C149,[3]report!$A$2:$R$406,5,FALSE)</f>
        <v>4120176893</v>
      </c>
      <c r="G149" s="12" t="str">
        <f>VLOOKUP(C149,[3]report!$A$2:$R$406,8,FALSE)</f>
        <v>Kota Baubau - Kota Baubau</v>
      </c>
      <c r="H149" s="12" t="str">
        <f>VLOOKUP(C149,[3]report!$A$2:$R$406,9,FALSE)</f>
        <v>28/07/2025 - 04/08/2025</v>
      </c>
      <c r="I149" s="13">
        <f>VLOOKUP(C149,[3]report!$A$2:$R$406,17,FALSE)</f>
        <v>1640300</v>
      </c>
    </row>
    <row r="150" spans="2:9" s="5" customFormat="1" x14ac:dyDescent="0.25">
      <c r="B150" s="7">
        <v>145</v>
      </c>
      <c r="C150" s="11">
        <v>1273416146</v>
      </c>
      <c r="D150" s="12" t="str">
        <f>VLOOKUP(C150,[3]report!$A$2:$R$406,3,FALSE)</f>
        <v xml:space="preserve">ASRI </v>
      </c>
      <c r="E150" s="7">
        <f>VLOOKUP(C150,[3]report!$A$2:$R$406,4,FALSE)</f>
        <v>78027605</v>
      </c>
      <c r="F150" s="7">
        <f>VLOOKUP(C150,[3]report!$A$2:$R$406,5,FALSE)</f>
        <v>4120176894</v>
      </c>
      <c r="G150" s="12" t="str">
        <f>VLOOKUP(C150,[3]report!$A$2:$R$406,8,FALSE)</f>
        <v>Kota Makassar - Kota Baubau</v>
      </c>
      <c r="H150" s="12" t="str">
        <f>VLOOKUP(C150,[3]report!$A$2:$R$406,9,FALSE)</f>
        <v>28/07/2025 - 04/08/2025</v>
      </c>
      <c r="I150" s="13">
        <f>VLOOKUP(C150,[3]report!$A$2:$R$406,17,FALSE)</f>
        <v>1640300</v>
      </c>
    </row>
    <row r="151" spans="2:9" s="5" customFormat="1" x14ac:dyDescent="0.25">
      <c r="B151" s="7">
        <v>146</v>
      </c>
      <c r="C151" s="11">
        <v>1273560318</v>
      </c>
      <c r="D151" s="12" t="str">
        <f>VLOOKUP(C151,[3]report!$A$2:$R$406,3,FALSE)</f>
        <v xml:space="preserve">SUNARTI </v>
      </c>
      <c r="E151" s="7">
        <f>VLOOKUP(C151,[3]report!$A$2:$R$406,4,FALSE)</f>
        <v>92168019</v>
      </c>
      <c r="F151" s="7">
        <f>VLOOKUP(C151,[3]report!$A$2:$R$406,5,FALSE)</f>
        <v>4120176941</v>
      </c>
      <c r="G151" s="12" t="str">
        <f>VLOOKUP(C151,[3]report!$A$2:$R$406,8,FALSE)</f>
        <v>Kota Makassar - Kota Baubau</v>
      </c>
      <c r="H151" s="12" t="str">
        <f>VLOOKUP(C151,[3]report!$A$2:$R$406,9,FALSE)</f>
        <v>03/08/2025 - 05/08/2025</v>
      </c>
      <c r="I151" s="13">
        <f>VLOOKUP(C151,[3]report!$A$2:$R$406,17,FALSE)</f>
        <v>744200</v>
      </c>
    </row>
    <row r="152" spans="2:9" s="5" customFormat="1" x14ac:dyDescent="0.25">
      <c r="B152" s="7">
        <v>147</v>
      </c>
      <c r="C152" s="16">
        <v>1273683047</v>
      </c>
      <c r="D152" s="12" t="str">
        <f>VLOOKUP(C152,[3]report!$A$2:$R$406,3,FALSE)</f>
        <v>IKHWANUL AKBAR AS'AD</v>
      </c>
      <c r="E152" s="7">
        <f>VLOOKUP(C152,[3]report!$A$2:$R$406,4,FALSE)</f>
        <v>89087621</v>
      </c>
      <c r="F152" s="7">
        <f>VLOOKUP(C152,[3]report!$A$2:$R$406,5,FALSE)</f>
        <v>4120176996</v>
      </c>
      <c r="G152" s="12" t="str">
        <f>VLOOKUP(C152,[3]report!$A$2:$R$406,8,FALSE)</f>
        <v>Kota Baubau - Kota Makassar</v>
      </c>
      <c r="H152" s="12" t="str">
        <f>VLOOKUP(C152,[3]report!$A$2:$R$406,9,FALSE)</f>
        <v>03/08/2025 - 05/08/2025</v>
      </c>
      <c r="I152" s="13">
        <f>VLOOKUP(C152,[3]report!$A$2:$R$406,17,FALSE)</f>
        <v>744200</v>
      </c>
    </row>
    <row r="153" spans="2:9" s="5" customFormat="1" x14ac:dyDescent="0.25">
      <c r="B153" s="7">
        <v>148</v>
      </c>
      <c r="C153" s="11">
        <v>1273556097</v>
      </c>
      <c r="D153" s="12" t="str">
        <f>VLOOKUP(C153,[3]report!$A$2:$R$406,3,FALSE)</f>
        <v xml:space="preserve">SUNARTI </v>
      </c>
      <c r="E153" s="7">
        <f>VLOOKUP(C153,[3]report!$A$2:$R$406,4,FALSE)</f>
        <v>92168019</v>
      </c>
      <c r="F153" s="7">
        <f>VLOOKUP(C153,[3]report!$A$2:$R$406,5,FALSE)</f>
        <v>4120176941</v>
      </c>
      <c r="G153" s="12" t="str">
        <f>VLOOKUP(C153,[3]report!$A$2:$R$406,8,FALSE)</f>
        <v>Kota Makassar - Kota Baubau</v>
      </c>
      <c r="H153" s="12" t="str">
        <f>VLOOKUP(C153,[3]report!$A$2:$R$406,9,FALSE)</f>
        <v>03/08/2025 - 05/08/2025</v>
      </c>
      <c r="I153" s="13">
        <f>VLOOKUP(C153,[3]report!$A$2:$R$406,17,FALSE)</f>
        <v>844100</v>
      </c>
    </row>
    <row r="154" spans="2:9" s="5" customFormat="1" x14ac:dyDescent="0.25">
      <c r="B154" s="7">
        <v>149</v>
      </c>
      <c r="C154" s="11">
        <v>1273548554</v>
      </c>
      <c r="D154" s="12" t="str">
        <f>VLOOKUP(C154,[3]report!$A$2:$R$406,3,FALSE)</f>
        <v>DIAN VERONICA</v>
      </c>
      <c r="E154" s="7">
        <f>VLOOKUP(C154,[3]report!$A$2:$R$406,4,FALSE)</f>
        <v>94196205</v>
      </c>
      <c r="F154" s="7">
        <f>VLOOKUP(C154,[3]report!$A$2:$R$406,5,FALSE)</f>
        <v>4120176956</v>
      </c>
      <c r="G154" s="12" t="str">
        <f>VLOOKUP(C154,[3]report!$A$2:$R$406,8,FALSE)</f>
        <v>Kota Kendari - Kota Makassar</v>
      </c>
      <c r="H154" s="12" t="str">
        <f>VLOOKUP(C154,[3]report!$A$2:$R$406,9,FALSE)</f>
        <v>03/08/2025 - 05/08/2025</v>
      </c>
      <c r="I154" s="13">
        <f>VLOOKUP(C154,[3]report!$A$2:$R$406,17,FALSE)</f>
        <v>857400</v>
      </c>
    </row>
    <row r="155" spans="2:9" s="5" customFormat="1" x14ac:dyDescent="0.25">
      <c r="B155" s="7">
        <v>150</v>
      </c>
      <c r="C155" s="11">
        <v>1273484458</v>
      </c>
      <c r="D155" s="12" t="str">
        <f>VLOOKUP(C155,[3]report!$A$2:$R$406,3,FALSE)</f>
        <v>GALIH RHENDRA PUTRA</v>
      </c>
      <c r="E155" s="7">
        <f>VLOOKUP(C155,[3]report!$A$2:$R$406,4,FALSE)</f>
        <v>92167612</v>
      </c>
      <c r="F155" s="7">
        <f>VLOOKUP(C155,[3]report!$A$2:$R$406,5,FALSE)</f>
        <v>4120176890</v>
      </c>
      <c r="G155" s="12" t="str">
        <f>VLOOKUP(C155,[3]report!$A$2:$R$406,8,FALSE)</f>
        <v>Kota Makassar - Kota Baubau</v>
      </c>
      <c r="H155" s="12" t="str">
        <f>VLOOKUP(C155,[3]report!$A$2:$R$406,9,FALSE)</f>
        <v>28/07/2025 - 04/08/2025</v>
      </c>
      <c r="I155" s="13">
        <f>VLOOKUP(C155,[3]report!$A$2:$R$406,17,FALSE)</f>
        <v>1386300</v>
      </c>
    </row>
    <row r="156" spans="2:9" s="5" customFormat="1" x14ac:dyDescent="0.25">
      <c r="B156" s="7">
        <v>151</v>
      </c>
      <c r="C156" s="11">
        <v>1273558162</v>
      </c>
      <c r="D156" s="12" t="str">
        <f>VLOOKUP(C156,[3]report!$A$2:$R$406,3,FALSE)</f>
        <v xml:space="preserve">SUNARTI </v>
      </c>
      <c r="E156" s="7">
        <f>VLOOKUP(C156,[3]report!$A$2:$R$406,4,FALSE)</f>
        <v>92168019</v>
      </c>
      <c r="F156" s="7">
        <f>VLOOKUP(C156,[3]report!$A$2:$R$406,5,FALSE)</f>
        <v>4120176941</v>
      </c>
      <c r="G156" s="12" t="str">
        <f>VLOOKUP(C156,[3]report!$A$2:$R$406,8,FALSE)</f>
        <v>Kota Makassar - Kota Baubau</v>
      </c>
      <c r="H156" s="12" t="str">
        <f>VLOOKUP(C156,[3]report!$A$2:$R$406,9,FALSE)</f>
        <v>03/08/2025 - 05/08/2025</v>
      </c>
      <c r="I156" s="13">
        <f>VLOOKUP(C156,[3]report!$A$2:$R$406,17,FALSE)</f>
        <v>1386300</v>
      </c>
    </row>
    <row r="157" spans="2:9" s="5" customFormat="1" x14ac:dyDescent="0.25">
      <c r="B157" s="7">
        <v>152</v>
      </c>
      <c r="C157" s="11">
        <v>1273688943</v>
      </c>
      <c r="D157" s="12" t="str">
        <f>VLOOKUP(C157,[3]report!$A$2:$R$406,3,FALSE)</f>
        <v>RAFAEL PAERENGAN</v>
      </c>
      <c r="E157" s="7">
        <f>VLOOKUP(C157,[3]report!$A$2:$R$406,4,FALSE)</f>
        <v>92127605</v>
      </c>
      <c r="F157" s="7">
        <f>VLOOKUP(C157,[3]report!$A$2:$R$406,5,FALSE)</f>
        <v>4120176414</v>
      </c>
      <c r="G157" s="12" t="str">
        <f>VLOOKUP(C157,[3]report!$A$2:$R$406,8,FALSE)</f>
        <v>Kab.Mamuju-KotaSemarang</v>
      </c>
      <c r="H157" s="12" t="str">
        <f>VLOOKUP(C157,[3]report!$A$2:$R$406,9,FALSE)</f>
        <v>06/07/2025 - 28/08/2025</v>
      </c>
      <c r="I157" s="13">
        <f>VLOOKUP(C157,[3]report!$A$2:$R$406,17,FALSE)</f>
        <v>1387300</v>
      </c>
    </row>
    <row r="158" spans="2:9" s="5" customFormat="1" x14ac:dyDescent="0.25">
      <c r="B158" s="7">
        <v>153</v>
      </c>
      <c r="C158" s="11">
        <v>1273710954</v>
      </c>
      <c r="D158" s="12" t="str">
        <f>VLOOKUP(C158,[3]report!$A$2:$R$406,3,FALSE)</f>
        <v>IKHWANUL AKBAR AS'AD</v>
      </c>
      <c r="E158" s="7">
        <f>VLOOKUP(C158,[3]report!$A$2:$R$406,4,FALSE)</f>
        <v>89087621</v>
      </c>
      <c r="F158" s="7">
        <f>VLOOKUP(C158,[3]report!$A$2:$R$406,5,FALSE)</f>
        <v>4120176996</v>
      </c>
      <c r="G158" s="12" t="str">
        <f>VLOOKUP(C158,[3]report!$A$2:$R$406,8,FALSE)</f>
        <v>Kota Baubau - Kota Makassar</v>
      </c>
      <c r="H158" s="12" t="str">
        <f>VLOOKUP(C158,[3]report!$A$2:$R$406,9,FALSE)</f>
        <v>03/08/2025 - 05/08/2025</v>
      </c>
      <c r="I158" s="13">
        <f>VLOOKUP(C158,[3]report!$A$2:$R$406,17,FALSE)</f>
        <v>1400000</v>
      </c>
    </row>
    <row r="159" spans="2:9" s="5" customFormat="1" x14ac:dyDescent="0.25">
      <c r="B159" s="7">
        <v>154</v>
      </c>
      <c r="C159" s="11">
        <v>1273481940</v>
      </c>
      <c r="D159" s="12" t="str">
        <f>VLOOKUP(C159,[3]report!$A$2:$R$406,3,FALSE)</f>
        <v xml:space="preserve">ARDIANTO </v>
      </c>
      <c r="E159" s="7">
        <f>VLOOKUP(C159,[3]report!$A$2:$R$406,4,FALSE)</f>
        <v>84117600</v>
      </c>
      <c r="F159" s="7">
        <f>VLOOKUP(C159,[3]report!$A$2:$R$406,5,FALSE)</f>
        <v>4120176928</v>
      </c>
      <c r="G159" s="12" t="str">
        <f>VLOOKUP(C159,[3]report!$A$2:$R$406,8,FALSE)</f>
        <v>Kota Makassar - Kota Tangerang</v>
      </c>
      <c r="H159" s="12" t="str">
        <f>VLOOKUP(C159,[3]report!$A$2:$R$406,9,FALSE)</f>
        <v>31/07/2025 - 02/08/2025</v>
      </c>
      <c r="I159" s="13">
        <f>VLOOKUP(C159,[3]report!$A$2:$R$406,17,FALSE)</f>
        <v>1420031</v>
      </c>
    </row>
    <row r="160" spans="2:9" s="5" customFormat="1" x14ac:dyDescent="0.25">
      <c r="B160" s="7">
        <v>155</v>
      </c>
      <c r="C160" s="11">
        <v>1273481941</v>
      </c>
      <c r="D160" s="12" t="str">
        <f>VLOOKUP(C160,[3]report!$A$2:$R$406,3,FALSE)</f>
        <v xml:space="preserve">ARDIANTO </v>
      </c>
      <c r="E160" s="7">
        <f>VLOOKUP(C160,[3]report!$A$2:$R$406,4,FALSE)</f>
        <v>84117600</v>
      </c>
      <c r="F160" s="7">
        <f>VLOOKUP(C160,[3]report!$A$2:$R$406,5,FALSE)</f>
        <v>4120176928</v>
      </c>
      <c r="G160" s="12" t="str">
        <f>VLOOKUP(C160,[3]report!$A$2:$R$406,8,FALSE)</f>
        <v>Kota Makassar - Kota Tangerang</v>
      </c>
      <c r="H160" s="12" t="str">
        <f>VLOOKUP(C160,[3]report!$A$2:$R$406,9,FALSE)</f>
        <v>31/07/2025 - 02/08/2025</v>
      </c>
      <c r="I160" s="13">
        <f>VLOOKUP(C160,[3]report!$A$2:$R$406,17,FALSE)</f>
        <v>1420031</v>
      </c>
    </row>
    <row r="161" spans="2:9" s="5" customFormat="1" x14ac:dyDescent="0.25">
      <c r="B161" s="7">
        <v>156</v>
      </c>
      <c r="C161" s="11">
        <v>1273599476</v>
      </c>
      <c r="D161" s="12" t="str">
        <f>VLOOKUP(C161,[3]report!$A$2:$R$406,3,FALSE)</f>
        <v>DIAN VERONICA</v>
      </c>
      <c r="E161" s="7">
        <f>VLOOKUP(C161,[3]report!$A$2:$R$406,4,FALSE)</f>
        <v>94196205</v>
      </c>
      <c r="F161" s="7">
        <f>VLOOKUP(C161,[3]report!$A$2:$R$406,5,FALSE)</f>
        <v>4120176956</v>
      </c>
      <c r="G161" s="12" t="str">
        <f>VLOOKUP(C161,[3]report!$A$2:$R$406,8,FALSE)</f>
        <v>Kota Kendari - Kota Makassar</v>
      </c>
      <c r="H161" s="12" t="str">
        <f>VLOOKUP(C161,[3]report!$A$2:$R$406,9,FALSE)</f>
        <v>03/08/2025 - 05/08/2025</v>
      </c>
      <c r="I161" s="13">
        <f>VLOOKUP(C161,[3]report!$A$2:$R$406,17,FALSE)</f>
        <v>1447160</v>
      </c>
    </row>
    <row r="162" spans="2:9" s="5" customFormat="1" x14ac:dyDescent="0.25">
      <c r="B162" s="7">
        <v>157</v>
      </c>
      <c r="C162" s="11">
        <v>1273689185</v>
      </c>
      <c r="D162" s="12" t="str">
        <f>VLOOKUP(C162,[3]report!$A$2:$R$406,3,FALSE)</f>
        <v>HISYAM AS SIDDIQ</v>
      </c>
      <c r="E162" s="7">
        <f>VLOOKUP(C162,[3]report!$A$2:$R$406,4,FALSE)</f>
        <v>95167875</v>
      </c>
      <c r="F162" s="7">
        <f>VLOOKUP(C162,[3]report!$A$2:$R$406,5,FALSE)</f>
        <v>4120176347</v>
      </c>
      <c r="G162" s="12" t="str">
        <f>VLOOKUP(C162,[3]report!$A$2:$R$406,8,FALSE)</f>
        <v>Kab. Mamuju - Kota Semarang</v>
      </c>
      <c r="H162" s="12" t="str">
        <f>VLOOKUP(C162,[3]report!$A$2:$R$406,9,FALSE)</f>
        <v>06/07/2025 - 28/08/2025</v>
      </c>
      <c r="I162" s="13">
        <f>VLOOKUP(C162,[3]report!$A$2:$R$406,17,FALSE)</f>
        <v>1450600</v>
      </c>
    </row>
    <row r="163" spans="2:9" s="5" customFormat="1" x14ac:dyDescent="0.25">
      <c r="B163" s="7">
        <v>158</v>
      </c>
      <c r="C163" s="11">
        <v>1273577655</v>
      </c>
      <c r="D163" s="12" t="str">
        <f>VLOOKUP(C163,[3]report!$A$2:$R$406,3,FALSE)</f>
        <v>MUHAMMAD ZULFIKAR</v>
      </c>
      <c r="E163" s="7">
        <f>VLOOKUP(C163,[3]report!$A$2:$R$406,4,FALSE)</f>
        <v>95137640</v>
      </c>
      <c r="F163" s="7">
        <f>VLOOKUP(C163,[3]report!$A$2:$R$406,5,FALSE)</f>
        <v>4120176921</v>
      </c>
      <c r="G163" s="12" t="str">
        <f>VLOOKUP(C163,[3]report!$A$2:$R$406,8,FALSE)</f>
        <v>Kota Parepare - Kota Semarang</v>
      </c>
      <c r="H163" s="12" t="str">
        <f>VLOOKUP(C163,[3]report!$A$2:$R$406,9,FALSE)</f>
        <v>03/08/2025 - 06/08/2025</v>
      </c>
      <c r="I163" s="13">
        <f>VLOOKUP(C163,[3]report!$A$2:$R$406,17,FALSE)</f>
        <v>1519300</v>
      </c>
    </row>
    <row r="164" spans="2:9" s="5" customFormat="1" x14ac:dyDescent="0.25">
      <c r="B164" s="7">
        <v>159</v>
      </c>
      <c r="C164" s="11">
        <v>1273603302</v>
      </c>
      <c r="D164" s="12" t="str">
        <f>VLOOKUP(C164,[3]report!$A$2:$R$406,3,FALSE)</f>
        <v xml:space="preserve">LALLA </v>
      </c>
      <c r="E164" s="7">
        <f>VLOOKUP(C164,[3]report!$A$2:$R$406,4,FALSE)</f>
        <v>72937616</v>
      </c>
      <c r="F164" s="7">
        <f>VLOOKUP(C164,[3]report!$A$2:$R$406,5,FALSE)</f>
        <v>4120176954</v>
      </c>
      <c r="G164" s="12" t="str">
        <f>VLOOKUP(C164,[3]report!$A$2:$R$406,8,FALSE)</f>
        <v>Kota Makassar - Kota Tangerang</v>
      </c>
      <c r="H164" s="12" t="str">
        <f>VLOOKUP(C164,[3]report!$A$2:$R$406,9,FALSE)</f>
        <v>31/07/2025 - 02/08/2025</v>
      </c>
      <c r="I164" s="13">
        <f>VLOOKUP(C164,[3]report!$A$2:$R$406,17,FALSE)</f>
        <v>1594500</v>
      </c>
    </row>
    <row r="165" spans="2:9" s="5" customFormat="1" x14ac:dyDescent="0.25">
      <c r="B165" s="7">
        <v>160</v>
      </c>
      <c r="C165" s="11">
        <v>1273592833</v>
      </c>
      <c r="D165" s="12" t="str">
        <f>VLOOKUP(C165,[3]report!$A$2:$R$406,3,FALSE)</f>
        <v xml:space="preserve">ARDIANTO </v>
      </c>
      <c r="E165" s="7">
        <f>VLOOKUP(C165,[3]report!$A$2:$R$406,4,FALSE)</f>
        <v>84117600</v>
      </c>
      <c r="F165" s="7">
        <f>VLOOKUP(C165,[3]report!$A$2:$R$406,5,FALSE)</f>
        <v>4120176928</v>
      </c>
      <c r="G165" s="12" t="str">
        <f>VLOOKUP(C165,[3]report!$A$2:$R$406,8,FALSE)</f>
        <v>Kota Makassar - Kota Tangerang</v>
      </c>
      <c r="H165" s="12" t="str">
        <f>VLOOKUP(C165,[3]report!$A$2:$R$406,9,FALSE)</f>
        <v>31/07/2025 - 02/08/2025</v>
      </c>
      <c r="I165" s="13">
        <f>VLOOKUP(C165,[3]report!$A$2:$R$406,17,FALSE)</f>
        <v>1594500</v>
      </c>
    </row>
    <row r="166" spans="2:9" s="5" customFormat="1" x14ac:dyDescent="0.25">
      <c r="B166" s="7">
        <v>161</v>
      </c>
      <c r="C166" s="11">
        <v>1273484672</v>
      </c>
      <c r="D166" s="12" t="str">
        <f>VLOOKUP(C166,[3]report!$A$2:$R$406,3,FALSE)</f>
        <v>HAYAT MAKMUR</v>
      </c>
      <c r="E166" s="7">
        <f>VLOOKUP(C166,[3]report!$A$2:$R$406,4,FALSE)</f>
        <v>73937618</v>
      </c>
      <c r="F166" s="7">
        <f>VLOOKUP(C166,[3]report!$A$2:$R$406,5,FALSE)</f>
        <v>4120176892</v>
      </c>
      <c r="G166" s="12" t="str">
        <f>VLOOKUP(C166,[3]report!$A$2:$R$406,8,FALSE)</f>
        <v>Kota Makassar - Kota Baubau</v>
      </c>
      <c r="H166" s="12" t="str">
        <f>VLOOKUP(C166,[3]report!$A$2:$R$406,9,FALSE)</f>
        <v>28/07/2025 - 04/08/2025</v>
      </c>
      <c r="I166" s="13">
        <f>VLOOKUP(C166,[3]report!$A$2:$R$406,17,FALSE)</f>
        <v>1640300</v>
      </c>
    </row>
    <row r="167" spans="2:9" s="5" customFormat="1" x14ac:dyDescent="0.25">
      <c r="B167" s="7">
        <v>162</v>
      </c>
      <c r="C167" s="11">
        <v>1273569862</v>
      </c>
      <c r="D167" s="12" t="str">
        <f>VLOOKUP(C167,[3]report!$A$2:$R$406,3,FALSE)</f>
        <v>HADI YUSRAN ZAENAL ABIDIN</v>
      </c>
      <c r="E167" s="7">
        <f>VLOOKUP(C167,[3]report!$A$2:$R$406,4,FALSE)</f>
        <v>90087600</v>
      </c>
      <c r="F167" s="7">
        <f>VLOOKUP(C167,[3]report!$A$2:$R$406,5,FALSE)</f>
        <v>4120176957</v>
      </c>
      <c r="G167" s="12" t="str">
        <f>VLOOKUP(C167,[3]report!$A$2:$R$406,8,FALSE)</f>
        <v>Kota Kendari - Kota Makassar</v>
      </c>
      <c r="H167" s="12" t="str">
        <f>VLOOKUP(C167,[3]report!$A$2:$R$406,9,FALSE)</f>
        <v>03/08/2025 - 05/08/2025</v>
      </c>
      <c r="I167" s="13">
        <f>VLOOKUP(C167,[3]report!$A$2:$R$406,17,FALSE)</f>
        <v>1739686</v>
      </c>
    </row>
    <row r="168" spans="2:9" s="5" customFormat="1" x14ac:dyDescent="0.25">
      <c r="B168" s="7">
        <v>163</v>
      </c>
      <c r="C168" s="11">
        <v>1273558639</v>
      </c>
      <c r="D168" s="12" t="str">
        <f>VLOOKUP(C168,[3]report!$A$2:$R$406,3,FALSE)</f>
        <v>ABDUL RAHIM</v>
      </c>
      <c r="E168" s="7">
        <f>VLOOKUP(C168,[3]report!$A$2:$R$406,4,FALSE)</f>
        <v>92117611</v>
      </c>
      <c r="F168" s="7">
        <f>VLOOKUP(C168,[3]report!$A$2:$R$406,5,FALSE)</f>
        <v>4120176324</v>
      </c>
      <c r="G168" s="12" t="str">
        <f>VLOOKUP(C168,[3]report!$A$2:$R$406,8,FALSE)</f>
        <v>Kota Kendari - Kab. Semarang</v>
      </c>
      <c r="H168" s="12" t="str">
        <f>VLOOKUP(C168,[3]report!$A$2:$R$406,9,FALSE)</f>
        <v>06/07/2025 - 28/08/2025</v>
      </c>
      <c r="I168" s="13">
        <f>VLOOKUP(C168,[3]report!$A$2:$R$406,17,FALSE)</f>
        <v>2285400</v>
      </c>
    </row>
    <row r="169" spans="2:9" s="5" customFormat="1" x14ac:dyDescent="0.25">
      <c r="B169" s="7">
        <v>164</v>
      </c>
      <c r="C169" s="11">
        <v>1273548610</v>
      </c>
      <c r="D169" s="12" t="str">
        <f>VLOOKUP(C169,[3]report!$A$2:$R$406,3,FALSE)</f>
        <v xml:space="preserve">ISMAIL </v>
      </c>
      <c r="E169" s="7">
        <f>VLOOKUP(C169,[3]report!$A$2:$R$406,4,FALSE)</f>
        <v>91117611</v>
      </c>
      <c r="F169" s="7">
        <f>VLOOKUP(C169,[3]report!$A$2:$R$406,5,FALSE)</f>
        <v>4120176953</v>
      </c>
      <c r="G169" s="12" t="str">
        <f>VLOOKUP(C169,[3]report!$A$2:$R$406,8,FALSE)</f>
        <v>Kota Palopo - Jakarta Barat</v>
      </c>
      <c r="H169" s="12" t="str">
        <f>VLOOKUP(C169,[3]report!$A$2:$R$406,9,FALSE)</f>
        <v>04/08/2025 - 10/08/2025</v>
      </c>
      <c r="I169" s="13">
        <f>VLOOKUP(C169,[3]report!$A$2:$R$406,17,FALSE)</f>
        <v>2478200</v>
      </c>
    </row>
    <row r="170" spans="2:9" s="5" customFormat="1" x14ac:dyDescent="0.25">
      <c r="B170" s="7">
        <v>165</v>
      </c>
      <c r="C170" s="11">
        <v>1273953504</v>
      </c>
      <c r="D170" s="12" t="str">
        <f>VLOOKUP(C170,[3]report!$A$2:$R$406,3,FALSE)</f>
        <v>MUH. RENALDI</v>
      </c>
      <c r="E170" s="7">
        <f>VLOOKUP(C170,[3]report!$A$2:$R$406,4,FALSE)</f>
        <v>90097605</v>
      </c>
      <c r="F170" s="7">
        <f>VLOOKUP(C170,[3]report!$A$2:$R$406,5,FALSE)</f>
        <v>4120176990</v>
      </c>
      <c r="G170" s="12" t="str">
        <f>VLOOKUP(C170,[3]report!$A$2:$R$406,8,FALSE)</f>
        <v>Kab. Mamuju - Kab. Pasangkayu</v>
      </c>
      <c r="H170" s="12" t="str">
        <f>VLOOKUP(C170,[3]report!$A$2:$R$406,9,FALSE)</f>
        <v>02/08/2025 - 04/08/2025</v>
      </c>
      <c r="I170" s="13">
        <f>VLOOKUP(C170,[3]report!$A$2:$R$406,17,FALSE)</f>
        <v>330000</v>
      </c>
    </row>
    <row r="171" spans="2:9" s="5" customFormat="1" x14ac:dyDescent="0.25">
      <c r="B171" s="7">
        <v>166</v>
      </c>
      <c r="C171" s="11">
        <v>1273955899</v>
      </c>
      <c r="D171" s="12" t="str">
        <f>VLOOKUP(C171,[3]report!$A$2:$R$406,3,FALSE)</f>
        <v>RISWAN AHMAD NURSALAM</v>
      </c>
      <c r="E171" s="7">
        <f>VLOOKUP(C171,[3]report!$A$2:$R$406,4,FALSE)</f>
        <v>96167878</v>
      </c>
      <c r="F171" s="7">
        <f>VLOOKUP(C171,[3]report!$A$2:$R$406,5,FALSE)</f>
        <v>4120176988</v>
      </c>
      <c r="G171" s="12" t="str">
        <f>VLOOKUP(C171,[3]report!$A$2:$R$406,8,FALSE)</f>
        <v>Kab. Mamuju - Kab. Pasangkayu</v>
      </c>
      <c r="H171" s="12" t="str">
        <f>VLOOKUP(C171,[3]report!$A$2:$R$406,9,FALSE)</f>
        <v>02/08/2025 - 04/08/2025</v>
      </c>
      <c r="I171" s="13">
        <f>VLOOKUP(C171,[3]report!$A$2:$R$406,17,FALSE)</f>
        <v>365000</v>
      </c>
    </row>
    <row r="172" spans="2:9" s="5" customFormat="1" x14ac:dyDescent="0.25">
      <c r="B172" s="7">
        <v>167</v>
      </c>
      <c r="C172" s="11">
        <v>1273961448</v>
      </c>
      <c r="D172" s="12" t="str">
        <f>VLOOKUP(C172,[3]report!$A$2:$R$406,3,FALSE)</f>
        <v xml:space="preserve">AMRIADI </v>
      </c>
      <c r="E172" s="7">
        <f>VLOOKUP(C172,[3]report!$A$2:$R$406,4,FALSE)</f>
        <v>96137675</v>
      </c>
      <c r="F172" s="7">
        <f>VLOOKUP(C172,[3]report!$A$2:$R$406,5,FALSE)</f>
        <v>4120176930</v>
      </c>
      <c r="G172" s="12" t="str">
        <f>VLOOKUP(C172,[3]report!$A$2:$R$406,8,FALSE)</f>
        <v>Kota Makassar - Kota Baubau</v>
      </c>
      <c r="H172" s="12" t="str">
        <f>VLOOKUP(C172,[3]report!$A$2:$R$406,9,FALSE)</f>
        <v>04/08/2025 - 11/08/2025</v>
      </c>
      <c r="I172" s="13">
        <f>VLOOKUP(C172,[3]report!$A$2:$R$406,17,FALSE)</f>
        <v>820150</v>
      </c>
    </row>
    <row r="173" spans="2:9" s="5" customFormat="1" x14ac:dyDescent="0.25">
      <c r="B173" s="7">
        <v>168</v>
      </c>
      <c r="C173" s="11">
        <v>1273960002</v>
      </c>
      <c r="D173" s="12" t="str">
        <f>VLOOKUP(C173,[3]report!$A$2:$R$406,3,FALSE)</f>
        <v xml:space="preserve">AMRIADI </v>
      </c>
      <c r="E173" s="7">
        <f>VLOOKUP(C173,[3]report!$A$2:$R$406,4,FALSE)</f>
        <v>96137675</v>
      </c>
      <c r="F173" s="7">
        <f>VLOOKUP(C173,[3]report!$A$2:$R$406,5,FALSE)</f>
        <v>4120176930</v>
      </c>
      <c r="G173" s="12" t="str">
        <f>VLOOKUP(C173,[3]report!$A$2:$R$406,8,FALSE)</f>
        <v>Kota Makassar - Kota Baubau</v>
      </c>
      <c r="H173" s="12" t="str">
        <f>VLOOKUP(C173,[3]report!$A$2:$R$406,9,FALSE)</f>
        <v>04/08/2025 - 11/08/2025</v>
      </c>
      <c r="I173" s="13">
        <f>VLOOKUP(C173,[3]report!$A$2:$R$406,17,FALSE)</f>
        <v>844100</v>
      </c>
    </row>
    <row r="174" spans="2:9" s="5" customFormat="1" x14ac:dyDescent="0.25">
      <c r="B174" s="7">
        <v>169</v>
      </c>
      <c r="C174" s="11">
        <v>1273878212</v>
      </c>
      <c r="D174" s="12" t="str">
        <f>VLOOKUP(C174,[3]report!$A$2:$R$406,3,FALSE)</f>
        <v>MUCHAMAD PAMUNGKAS</v>
      </c>
      <c r="E174" s="7">
        <f>VLOOKUP(C174,[3]report!$A$2:$R$406,4,FALSE)</f>
        <v>92197600</v>
      </c>
      <c r="F174" s="7">
        <f>VLOOKUP(C174,[3]report!$A$2:$R$406,5,FALSE)</f>
        <v>4120176944</v>
      </c>
      <c r="G174" s="12" t="str">
        <f>VLOOKUP(C174,[3]report!$A$2:$R$406,8,FALSE)</f>
        <v>Kota Makassar - Kota Baubau</v>
      </c>
      <c r="H174" s="12" t="str">
        <f>VLOOKUP(C174,[3]report!$A$2:$R$406,9,FALSE)</f>
        <v>04/08/2025 - 11/08/2025</v>
      </c>
      <c r="I174" s="13">
        <f>VLOOKUP(C174,[3]report!$A$2:$R$406,17,FALSE)</f>
        <v>844100</v>
      </c>
    </row>
    <row r="175" spans="2:9" s="5" customFormat="1" x14ac:dyDescent="0.25">
      <c r="B175" s="7">
        <v>170</v>
      </c>
      <c r="C175" s="11">
        <v>1273997420</v>
      </c>
      <c r="D175" s="12" t="str">
        <f>VLOOKUP(C175,[3]report!$A$2:$R$406,3,FALSE)</f>
        <v>MANSYUR FAHMI</v>
      </c>
      <c r="E175" s="7">
        <f>VLOOKUP(C175,[3]report!$A$2:$R$406,4,FALSE)</f>
        <v>96197639</v>
      </c>
      <c r="F175" s="7">
        <f>VLOOKUP(C175,[3]report!$A$2:$R$406,5,FALSE)</f>
        <v>4120177002</v>
      </c>
      <c r="G175" s="12" t="str">
        <f>VLOOKUP(C175,[3]report!$A$2:$R$406,8,FALSE)</f>
        <v>Kab. Mamuju - Kab. Bogor</v>
      </c>
      <c r="H175" s="12" t="str">
        <f>VLOOKUP(C175,[3]report!$A$2:$R$406,9,FALSE)</f>
        <v>04/08/2025 - 08/08/2025</v>
      </c>
      <c r="I175" s="13">
        <f>VLOOKUP(C175,[3]report!$A$2:$R$406,17,FALSE)</f>
        <v>1752500</v>
      </c>
    </row>
    <row r="176" spans="2:9" s="5" customFormat="1" x14ac:dyDescent="0.25">
      <c r="B176" s="7">
        <v>171</v>
      </c>
      <c r="C176" s="11">
        <v>1273907393</v>
      </c>
      <c r="D176" s="12" t="str">
        <f>VLOOKUP(C176,[3]report!$A$2:$R$406,3,FALSE)</f>
        <v>HUSLAN HUSAIN</v>
      </c>
      <c r="E176" s="7">
        <f>VLOOKUP(C176,[3]report!$A$2:$R$406,4,FALSE)</f>
        <v>71907601</v>
      </c>
      <c r="F176" s="7">
        <f>VLOOKUP(C176,[3]report!$A$2:$R$406,5,FALSE)</f>
        <v>4120176994</v>
      </c>
      <c r="G176" s="12" t="str">
        <f>VLOOKUP(C176,[3]report!$A$2:$R$406,8,FALSE)</f>
        <v>Kota Makassar - Jakarta Selatan - Kota Bandung</v>
      </c>
      <c r="H176" s="12" t="str">
        <f>VLOOKUP(C176,[3]report!$A$2:$R$406,9,FALSE)</f>
        <v>03/08/2025 - 06/08/2025</v>
      </c>
      <c r="I176" s="13">
        <f>VLOOKUP(C176,[3]report!$A$2:$R$406,17,FALSE)</f>
        <v>2352900</v>
      </c>
    </row>
    <row r="177" spans="2:9" s="5" customFormat="1" x14ac:dyDescent="0.25">
      <c r="B177" s="7">
        <v>172</v>
      </c>
      <c r="C177" s="11">
        <v>1273909653</v>
      </c>
      <c r="D177" s="12" t="str">
        <f>VLOOKUP(C177,[3]report!$A$2:$R$406,3,FALSE)</f>
        <v>ERWIN LERI</v>
      </c>
      <c r="E177" s="7">
        <f>VLOOKUP(C177,[3]report!$A$2:$R$406,4,FALSE)</f>
        <v>87102007</v>
      </c>
      <c r="F177" s="7">
        <f>VLOOKUP(C177,[3]report!$A$2:$R$406,5,FALSE)</f>
        <v>4120176995</v>
      </c>
      <c r="G177" s="12" t="str">
        <f>VLOOKUP(C177,[3]report!$A$2:$R$406,8,FALSE)</f>
        <v>Kota Makassar - Jakarta Pusat</v>
      </c>
      <c r="H177" s="12" t="str">
        <f>VLOOKUP(C177,[3]report!$A$2:$R$406,9,FALSE)</f>
        <v>03/08/2025 - 06/08/2025</v>
      </c>
      <c r="I177" s="13">
        <f>VLOOKUP(C177,[3]report!$A$2:$R$406,17,FALSE)</f>
        <v>2352900</v>
      </c>
    </row>
    <row r="178" spans="2:9" s="5" customFormat="1" x14ac:dyDescent="0.25">
      <c r="B178" s="7">
        <v>173</v>
      </c>
      <c r="C178" s="11">
        <v>1273954444</v>
      </c>
      <c r="D178" s="12" t="str">
        <f>VLOOKUP(C178,[3]report!$A$2:$R$406,3,FALSE)</f>
        <v>MUHAMMAD ZULFIKAR</v>
      </c>
      <c r="E178" s="7">
        <f>VLOOKUP(C178,[3]report!$A$2:$R$406,4,FALSE)</f>
        <v>95137640</v>
      </c>
      <c r="F178" s="7">
        <f>VLOOKUP(C178,[3]report!$A$2:$R$406,5,FALSE)</f>
        <v>4120176921</v>
      </c>
      <c r="G178" s="12" t="str">
        <f>VLOOKUP(C178,[3]report!$A$2:$R$406,8,FALSE)</f>
        <v>Kota Parepare - Kota Semarang</v>
      </c>
      <c r="H178" s="12" t="str">
        <f>VLOOKUP(C178,[3]report!$A$2:$R$406,9,FALSE)</f>
        <v>03/08/2025 - 06/08/2025</v>
      </c>
      <c r="I178" s="13">
        <f>VLOOKUP(C178,[3]report!$A$2:$R$406,17,FALSE)</f>
        <v>2392014</v>
      </c>
    </row>
    <row r="179" spans="2:9" s="5" customFormat="1" x14ac:dyDescent="0.25">
      <c r="B179" s="7">
        <v>174</v>
      </c>
      <c r="C179" s="11">
        <v>1274137016</v>
      </c>
      <c r="D179" s="12" t="str">
        <f>VLOOKUP(C179,[3]report!$A$2:$R$406,3,FALSE)</f>
        <v>ERWIN LERI</v>
      </c>
      <c r="E179" s="7">
        <f>VLOOKUP(C179,[3]report!$A$2:$R$406,4,FALSE)</f>
        <v>87102007</v>
      </c>
      <c r="F179" s="7">
        <f>VLOOKUP(C179,[3]report!$A$2:$R$406,5,FALSE)</f>
        <v>4120176995</v>
      </c>
      <c r="G179" s="12" t="str">
        <f>VLOOKUP(C179,[3]report!$A$2:$R$406,8,FALSE)</f>
        <v>Kota Makassar - Jakarta Pusat</v>
      </c>
      <c r="H179" s="12" t="str">
        <f>VLOOKUP(C179,[3]report!$A$2:$R$406,9,FALSE)</f>
        <v>03/08/2025 - 06/08/2025</v>
      </c>
      <c r="I179" s="13">
        <f>VLOOKUP(C179,[3]report!$A$2:$R$406,17,FALSE)</f>
        <v>805000</v>
      </c>
    </row>
    <row r="180" spans="2:9" x14ac:dyDescent="0.25">
      <c r="B180" s="7">
        <v>175</v>
      </c>
      <c r="C180" s="11">
        <v>1274057917</v>
      </c>
      <c r="D180" s="12" t="str">
        <f>VLOOKUP(C180,[3]report!$A$2:$R$406,3,FALSE)</f>
        <v xml:space="preserve">AMRIADI </v>
      </c>
      <c r="E180" s="7">
        <f>VLOOKUP(C180,[3]report!$A$2:$R$406,4,FALSE)</f>
        <v>96137675</v>
      </c>
      <c r="F180" s="7">
        <f>VLOOKUP(C180,[3]report!$A$2:$R$406,5,FALSE)</f>
        <v>4120176930</v>
      </c>
      <c r="G180" s="12" t="str">
        <f>VLOOKUP(C180,[3]report!$A$2:$R$406,8,FALSE)</f>
        <v>Kota Makassar - Kota Baubau</v>
      </c>
      <c r="H180" s="12" t="str">
        <f>VLOOKUP(C180,[3]report!$A$2:$R$406,9,FALSE)</f>
        <v>04/08/2025 - 11/08/2025</v>
      </c>
      <c r="I180" s="13">
        <f>VLOOKUP(C180,[3]report!$A$2:$R$406,17,FALSE)</f>
        <v>824610</v>
      </c>
    </row>
    <row r="181" spans="2:9" x14ac:dyDescent="0.25">
      <c r="B181" s="7">
        <v>176</v>
      </c>
      <c r="C181" s="11">
        <v>1274141563</v>
      </c>
      <c r="D181" s="12" t="str">
        <f>VLOOKUP(C181,[3]report!$A$2:$R$406,3,FALSE)</f>
        <v>HUSLAN HUSAIN</v>
      </c>
      <c r="E181" s="7">
        <f>VLOOKUP(C181,[3]report!$A$2:$R$406,4,FALSE)</f>
        <v>71907601</v>
      </c>
      <c r="F181" s="7">
        <f>VLOOKUP(C181,[3]report!$A$2:$R$406,5,FALSE)</f>
        <v>4120176994</v>
      </c>
      <c r="G181" s="12" t="str">
        <f>VLOOKUP(C181,[3]report!$A$2:$R$406,8,FALSE)</f>
        <v>Kota Makassar - Jakarta Selatan - Kota Bandung</v>
      </c>
      <c r="H181" s="12" t="str">
        <f>VLOOKUP(C181,[3]report!$A$2:$R$406,9,FALSE)</f>
        <v>03/08/2025 - 06/08/2025</v>
      </c>
      <c r="I181" s="13">
        <f>VLOOKUP(C181,[3]report!$A$2:$R$406,17,FALSE)</f>
        <v>1271000</v>
      </c>
    </row>
    <row r="182" spans="2:9" x14ac:dyDescent="0.25">
      <c r="B182" s="7">
        <v>177</v>
      </c>
      <c r="C182" s="16">
        <v>1274076790</v>
      </c>
      <c r="D182" s="12" t="str">
        <f>VLOOKUP(C182,[3]report!$A$2:$R$406,3,FALSE)</f>
        <v>AGUS HARI WIBOWO</v>
      </c>
      <c r="E182" s="7">
        <f>VLOOKUP(C182,[3]report!$A$2:$R$406,4,FALSE)</f>
        <v>85097602</v>
      </c>
      <c r="F182" s="7">
        <f>VLOOKUP(C182,[3]report!$A$2:$R$406,5,FALSE)</f>
        <v>4120177008</v>
      </c>
      <c r="G182" s="12" t="str">
        <f>VLOOKUP(C182,[3]report!$A$2:$R$406,8,FALSE)</f>
        <v>Kota Makassar - Kab. Bogor</v>
      </c>
      <c r="H182" s="12" t="str">
        <f>VLOOKUP(C182,[3]report!$A$2:$R$406,9,FALSE)</f>
        <v>04/08/2025 - 08/08/2025</v>
      </c>
      <c r="I182" s="13">
        <f>VLOOKUP(C182,[3]report!$A$2:$R$406,17,FALSE)</f>
        <v>1276600</v>
      </c>
    </row>
    <row r="183" spans="2:9" x14ac:dyDescent="0.25">
      <c r="B183" s="7">
        <v>178</v>
      </c>
      <c r="C183" s="11">
        <v>1274137395</v>
      </c>
      <c r="D183" s="12" t="str">
        <f>VLOOKUP(C183,[3]report!$A$2:$R$406,3,FALSE)</f>
        <v>KIKI RESKI ANDRIANI</v>
      </c>
      <c r="E183" s="7">
        <f>VLOOKUP(C183,[3]report!$A$2:$R$406,4,FALSE)</f>
        <v>93153811</v>
      </c>
      <c r="F183" s="7">
        <f>VLOOKUP(C183,[3]report!$A$2:$R$406,5,FALSE)</f>
        <v>4120176946</v>
      </c>
      <c r="G183" s="12" t="str">
        <f>VLOOKUP(C183,[3]report!$A$2:$R$406,8,FALSE)</f>
        <v>Kota Makassar - Kab. Kolaka - Kota Kendari</v>
      </c>
      <c r="H183" s="12" t="str">
        <f>VLOOKUP(C183,[3]report!$A$2:$R$406,9,FALSE)</f>
        <v>05/08/2025 - 09/08/2025</v>
      </c>
      <c r="I183" s="13">
        <f>VLOOKUP(C183,[3]report!$A$2:$R$406,17,FALSE)</f>
        <v>1415700</v>
      </c>
    </row>
    <row r="184" spans="2:9" x14ac:dyDescent="0.25">
      <c r="B184" s="7">
        <v>179</v>
      </c>
      <c r="C184" s="11">
        <v>1274105099</v>
      </c>
      <c r="D184" s="12" t="str">
        <f>VLOOKUP(C184,[3]report!$A$2:$R$406,3,FALSE)</f>
        <v>MUHAMMAD YUNUS</v>
      </c>
      <c r="E184" s="7">
        <f>VLOOKUP(C184,[3]report!$A$2:$R$406,4,FALSE)</f>
        <v>88128001</v>
      </c>
      <c r="F184" s="7">
        <f>VLOOKUP(C184,[3]report!$A$2:$R$406,5,FALSE)</f>
        <v>4120177006</v>
      </c>
      <c r="G184" s="12" t="str">
        <f>VLOOKUP(C184,[3]report!$A$2:$R$406,8,FALSE)</f>
        <v>Kota Makassar - Kab. Bogor</v>
      </c>
      <c r="H184" s="12" t="str">
        <f>VLOOKUP(C184,[3]report!$A$2:$R$406,9,FALSE)</f>
        <v>04/08/2025 - 08/08/2025</v>
      </c>
      <c r="I184" s="13">
        <f>VLOOKUP(C184,[3]report!$A$2:$R$406,17,FALSE)</f>
        <v>1753500</v>
      </c>
    </row>
    <row r="185" spans="2:9" x14ac:dyDescent="0.25">
      <c r="B185" s="7">
        <v>180</v>
      </c>
      <c r="C185" s="11">
        <v>1274103651</v>
      </c>
      <c r="D185" s="12" t="str">
        <f>VLOOKUP(C185,[3]report!$A$2:$R$406,3,FALSE)</f>
        <v>RULI RIZALUDDIN</v>
      </c>
      <c r="E185" s="7">
        <f>VLOOKUP(C185,[3]report!$A$2:$R$406,4,FALSE)</f>
        <v>79055400</v>
      </c>
      <c r="F185" s="7">
        <f>VLOOKUP(C185,[3]report!$A$2:$R$406,5,FALSE)</f>
        <v>4120177003</v>
      </c>
      <c r="G185" s="12" t="str">
        <f>VLOOKUP(C185,[3]report!$A$2:$R$406,8,FALSE)</f>
        <v>Kota Makassar - Kota Bogor</v>
      </c>
      <c r="H185" s="12" t="str">
        <f>VLOOKUP(C185,[3]report!$A$2:$R$406,9,FALSE)</f>
        <v>04/08/2025 - 08/08/2025</v>
      </c>
      <c r="I185" s="13">
        <f>VLOOKUP(C185,[3]report!$A$2:$R$406,17,FALSE)</f>
        <v>1753500</v>
      </c>
    </row>
    <row r="186" spans="2:9" x14ac:dyDescent="0.25">
      <c r="B186" s="7">
        <v>181</v>
      </c>
      <c r="C186" s="11">
        <v>1274110381</v>
      </c>
      <c r="D186" s="12" t="str">
        <f>VLOOKUP(C186,[3]report!$A$2:$R$406,3,FALSE)</f>
        <v>OLIVER KEVIN NDOEN</v>
      </c>
      <c r="E186" s="7">
        <f>VLOOKUP(C186,[3]report!$A$2:$R$406,4,FALSE)</f>
        <v>94197611</v>
      </c>
      <c r="F186" s="7">
        <f>VLOOKUP(C186,[3]report!$A$2:$R$406,5,FALSE)</f>
        <v>4120177005</v>
      </c>
      <c r="G186" s="12" t="str">
        <f>VLOOKUP(C186,[3]report!$A$2:$R$406,8,FALSE)</f>
        <v>Kota Kendari - Kab. Bogor</v>
      </c>
      <c r="H186" s="12" t="str">
        <f>VLOOKUP(C186,[3]report!$A$2:$R$406,9,FALSE)</f>
        <v>04/08/2025 - 08/08/2025</v>
      </c>
      <c r="I186" s="13">
        <f>VLOOKUP(C186,[3]report!$A$2:$R$406,17,FALSE)</f>
        <v>2119000</v>
      </c>
    </row>
    <row r="187" spans="2:9" x14ac:dyDescent="0.25">
      <c r="B187" s="7">
        <v>182</v>
      </c>
      <c r="C187" s="11">
        <v>1274161008</v>
      </c>
      <c r="D187" s="12" t="str">
        <f>VLOOKUP(C187,[3]report!$A$2:$R$406,3,FALSE)</f>
        <v>JONI ALEXANDER HEYT SITORUS</v>
      </c>
      <c r="E187" s="7">
        <f>VLOOKUP(C187,[3]report!$A$2:$R$406,4,FALSE)</f>
        <v>83075800</v>
      </c>
      <c r="F187" s="7">
        <f>VLOOKUP(C187,[3]report!$A$2:$R$406,5,FALSE)</f>
        <v>4120177001</v>
      </c>
      <c r="G187" s="12" t="str">
        <f>VLOOKUP(C187,[3]report!$A$2:$R$406,8,FALSE)</f>
        <v>Kota Kendari - Kota Bogor</v>
      </c>
      <c r="H187" s="12" t="str">
        <f>VLOOKUP(C187,[3]report!$A$2:$R$406,9,FALSE)</f>
        <v>04/08/2025 - 08/08/2025</v>
      </c>
      <c r="I187" s="13">
        <f>VLOOKUP(C187,[3]report!$A$2:$R$406,17,FALSE)</f>
        <v>2670500</v>
      </c>
    </row>
    <row r="188" spans="2:9" x14ac:dyDescent="0.25">
      <c r="B188" s="7">
        <v>183</v>
      </c>
      <c r="C188" s="11">
        <v>1274161474</v>
      </c>
      <c r="D188" s="12" t="str">
        <f>VLOOKUP(C188,[3]report!$A$2:$R$406,3,FALSE)</f>
        <v>OLIVER KEVIN NDOEN</v>
      </c>
      <c r="E188" s="7">
        <f>VLOOKUP(C188,[3]report!$A$2:$R$406,4,FALSE)</f>
        <v>94197611</v>
      </c>
      <c r="F188" s="7">
        <f>VLOOKUP(C188,[3]report!$A$2:$R$406,5,FALSE)</f>
        <v>4120177005</v>
      </c>
      <c r="G188" s="12" t="str">
        <f>VLOOKUP(C188,[3]report!$A$2:$R$406,8,FALSE)</f>
        <v>Kota Kendari - Kab. Bogor</v>
      </c>
      <c r="H188" s="12" t="str">
        <f>VLOOKUP(C188,[3]report!$A$2:$R$406,9,FALSE)</f>
        <v>04/08/2025 - 08/08/2025</v>
      </c>
      <c r="I188" s="13">
        <f>VLOOKUP(C188,[3]report!$A$2:$R$406,17,FALSE)</f>
        <v>2820000</v>
      </c>
    </row>
    <row r="189" spans="2:9" x14ac:dyDescent="0.25">
      <c r="B189" s="7">
        <v>184</v>
      </c>
      <c r="C189" s="11">
        <v>1274061976</v>
      </c>
      <c r="D189" s="12" t="str">
        <f>VLOOKUP(C189,[3]report!$A$2:$R$406,3,FALSE)</f>
        <v>MANSYUR FAHMI</v>
      </c>
      <c r="E189" s="7">
        <f>VLOOKUP(C189,[3]report!$A$2:$R$406,4,FALSE)</f>
        <v>96197639</v>
      </c>
      <c r="F189" s="7">
        <f>VLOOKUP(C189,[3]report!$A$2:$R$406,5,FALSE)</f>
        <v>4120177002</v>
      </c>
      <c r="G189" s="12" t="str">
        <f>VLOOKUP(C189,[3]report!$A$2:$R$406,8,FALSE)</f>
        <v>Kab. Mamuju - Kab. Bogor</v>
      </c>
      <c r="H189" s="12" t="str">
        <f>VLOOKUP(C189,[3]report!$A$2:$R$406,9,FALSE)</f>
        <v>04/08/2025 - 08/08/2025</v>
      </c>
      <c r="I189" s="13">
        <f>VLOOKUP(C189,[3]report!$A$2:$R$406,17,FALSE)</f>
        <v>2898000</v>
      </c>
    </row>
    <row r="190" spans="2:9" x14ac:dyDescent="0.25">
      <c r="B190" s="7">
        <v>185</v>
      </c>
      <c r="C190" s="11">
        <v>1274248716</v>
      </c>
      <c r="D190" s="12" t="str">
        <f>VLOOKUP(C190,[3]report!$A$2:$R$406,3,FALSE)</f>
        <v>JONI ALEXANDER HEYT SITORUS</v>
      </c>
      <c r="E190" s="7">
        <f>VLOOKUP(C190,[3]report!$A$2:$R$406,4,FALSE)</f>
        <v>83075800</v>
      </c>
      <c r="F190" s="7">
        <f>VLOOKUP(C190,[3]report!$A$2:$R$406,5,FALSE)</f>
        <v>4120177001</v>
      </c>
      <c r="G190" s="12" t="str">
        <f>VLOOKUP(C190,[3]report!$A$2:$R$406,8,FALSE)</f>
        <v>Kota Kendari - Kota Bogor</v>
      </c>
      <c r="H190" s="12" t="str">
        <f>VLOOKUP(C190,[3]report!$A$2:$R$406,9,FALSE)</f>
        <v>04/08/2025 - 08/08/2025</v>
      </c>
      <c r="I190" s="13">
        <f>VLOOKUP(C190,[3]report!$A$2:$R$406,17,FALSE)</f>
        <v>1062500</v>
      </c>
    </row>
    <row r="191" spans="2:9" x14ac:dyDescent="0.25">
      <c r="B191" s="7">
        <v>186</v>
      </c>
      <c r="C191" s="11">
        <v>1274226045</v>
      </c>
      <c r="D191" s="12" t="str">
        <f>VLOOKUP(C191,[3]report!$A$2:$R$406,3,FALSE)</f>
        <v>MUCHAMAD PAMUNGKAS</v>
      </c>
      <c r="E191" s="7">
        <f>VLOOKUP(C191,[3]report!$A$2:$R$406,4,FALSE)</f>
        <v>92197600</v>
      </c>
      <c r="F191" s="7">
        <f>VLOOKUP(C191,[3]report!$A$2:$R$406,5,FALSE)</f>
        <v>4120176944</v>
      </c>
      <c r="G191" s="12" t="str">
        <f>VLOOKUP(C191,[3]report!$A$2:$R$406,8,FALSE)</f>
        <v>Kota Makassar - Kota Baubau</v>
      </c>
      <c r="H191" s="12" t="str">
        <f>VLOOKUP(C191,[3]report!$A$2:$R$406,9,FALSE)</f>
        <v>04/08/2025 - 11/08/2025</v>
      </c>
      <c r="I191" s="13">
        <f>VLOOKUP(C191,[3]report!$A$2:$R$406,17,FALSE)</f>
        <v>1640300</v>
      </c>
    </row>
    <row r="192" spans="2:9" x14ac:dyDescent="0.25">
      <c r="B192" s="7">
        <v>187</v>
      </c>
      <c r="C192" s="11">
        <v>1274319441</v>
      </c>
      <c r="D192" s="12" t="str">
        <f>VLOOKUP(C192,[3]report!$A$2:$R$406,3,FALSE)</f>
        <v>M. LUKMAN HAKIM</v>
      </c>
      <c r="E192" s="7">
        <f>VLOOKUP(C192,[3]report!$A$2:$R$406,4,FALSE)</f>
        <v>87127603</v>
      </c>
      <c r="F192" s="7">
        <f>VLOOKUP(C192,[3]report!$A$2:$R$406,5,FALSE)</f>
        <v>4120176937</v>
      </c>
      <c r="G192" s="12" t="str">
        <f>VLOOKUP(C192,[3]report!$A$2:$R$406,8,FALSE)</f>
        <v>Kota Makassar - Kab. Mamuju - Kab. Polewali Mandar - Kab. Mamasa</v>
      </c>
      <c r="H192" s="12" t="str">
        <f>VLOOKUP(C192,[3]report!$A$2:$R$406,9,FALSE)</f>
        <v>03/08/2025 - 07/08/2025</v>
      </c>
      <c r="I192" s="13">
        <f>VLOOKUP(C192,[3]report!$A$2:$R$406,17,FALSE)</f>
        <v>902500</v>
      </c>
    </row>
    <row r="193" spans="2:9" x14ac:dyDescent="0.25">
      <c r="B193" s="7">
        <v>188</v>
      </c>
      <c r="C193" s="11">
        <v>1274277718</v>
      </c>
      <c r="D193" s="12" t="str">
        <f>VLOOKUP(C193,[3]report!$A$2:$R$406,3,FALSE)</f>
        <v>ANDI FITHRI ZAKIAH MULYADI</v>
      </c>
      <c r="E193" s="7">
        <f>VLOOKUP(C193,[3]report!$A$2:$R$406,4,FALSE)</f>
        <v>81087404</v>
      </c>
      <c r="F193" s="7">
        <f>VLOOKUP(C193,[3]report!$A$2:$R$406,5,FALSE)</f>
        <v>4120176974</v>
      </c>
      <c r="G193" s="12" t="str">
        <f>VLOOKUP(C193,[3]report!$A$2:$R$406,8,FALSE)</f>
        <v>Kota Makassar - Kota Kendari</v>
      </c>
      <c r="H193" s="12" t="str">
        <f>VLOOKUP(C193,[3]report!$A$2:$R$406,9,FALSE)</f>
        <v>05/08/2025 - 09/08/2025</v>
      </c>
      <c r="I193" s="13">
        <f>VLOOKUP(C193,[3]report!$A$2:$R$406,17,FALSE)</f>
        <v>907100</v>
      </c>
    </row>
    <row r="194" spans="2:9" x14ac:dyDescent="0.25">
      <c r="B194" s="7">
        <v>189</v>
      </c>
      <c r="C194" s="11">
        <v>1274278483</v>
      </c>
      <c r="D194" s="12" t="str">
        <f>VLOOKUP(C194,[3]report!$A$2:$R$406,3,FALSE)</f>
        <v>KHAYRUNNISA B. MUHAMMADIA</v>
      </c>
      <c r="E194" s="7">
        <f>VLOOKUP(C194,[3]report!$A$2:$R$406,4,FALSE)</f>
        <v>93167626</v>
      </c>
      <c r="F194" s="7">
        <f>VLOOKUP(C194,[3]report!$A$2:$R$406,5,FALSE)</f>
        <v>4120177004</v>
      </c>
      <c r="G194" s="12" t="str">
        <f>VLOOKUP(C194,[3]report!$A$2:$R$406,8,FALSE)</f>
        <v>Kota Makassar - Kota Yogyakarta</v>
      </c>
      <c r="H194" s="12" t="str">
        <f>VLOOKUP(C194,[3]report!$A$2:$R$406,9,FALSE)</f>
        <v>05/08/2025 - 08/08/2025</v>
      </c>
      <c r="I194" s="13">
        <f>VLOOKUP(C194,[3]report!$A$2:$R$406,17,FALSE)</f>
        <v>1156900</v>
      </c>
    </row>
    <row r="195" spans="2:9" x14ac:dyDescent="0.25">
      <c r="B195" s="7">
        <v>190</v>
      </c>
      <c r="C195" s="11">
        <v>1274282480</v>
      </c>
      <c r="D195" s="12" t="str">
        <f>VLOOKUP(C195,[3]report!$A$2:$R$406,3,FALSE)</f>
        <v>DEWI ARJUNI KUSNADI</v>
      </c>
      <c r="E195" s="7">
        <f>VLOOKUP(C195,[3]report!$A$2:$R$406,4,FALSE)</f>
        <v>84037602</v>
      </c>
      <c r="F195" s="7">
        <f>VLOOKUP(C195,[3]report!$A$2:$R$406,5,FALSE)</f>
        <v>4120177007</v>
      </c>
      <c r="G195" s="12" t="str">
        <f>VLOOKUP(C195,[3]report!$A$2:$R$406,8,FALSE)</f>
        <v>Kota Yogyakarta - Kota Yogyakarta</v>
      </c>
      <c r="H195" s="12" t="str">
        <f>VLOOKUP(C195,[3]report!$A$2:$R$406,9,FALSE)</f>
        <v>05/08/2025 - 08/08/2025</v>
      </c>
      <c r="I195" s="13">
        <f>VLOOKUP(C195,[3]report!$A$2:$R$406,17,FALSE)</f>
        <v>1156900</v>
      </c>
    </row>
    <row r="196" spans="2:9" x14ac:dyDescent="0.25">
      <c r="B196" s="7">
        <v>191</v>
      </c>
      <c r="C196" s="11">
        <v>1274354660</v>
      </c>
      <c r="D196" s="12" t="str">
        <f>VLOOKUP(C196,[3]report!$A$2:$R$406,3,FALSE)</f>
        <v xml:space="preserve">EDYANSYAH </v>
      </c>
      <c r="E196" s="7">
        <f>VLOOKUP(C196,[3]report!$A$2:$R$406,4,FALSE)</f>
        <v>70957602</v>
      </c>
      <c r="F196" s="7">
        <f>VLOOKUP(C196,[3]report!$A$2:$R$406,5,FALSE)</f>
        <v>4120176991</v>
      </c>
      <c r="G196" s="12" t="str">
        <f>VLOOKUP(C196,[3]report!$A$2:$R$406,8,FALSE)</f>
        <v>Kota Makassar - Jakarta Pusat</v>
      </c>
      <c r="H196" s="12" t="str">
        <f>VLOOKUP(C196,[3]report!$A$2:$R$406,9,FALSE)</f>
        <v>04/08/2025 - 05/08/2025</v>
      </c>
      <c r="I196" s="13">
        <f>VLOOKUP(C196,[3]report!$A$2:$R$406,17,FALSE)</f>
        <v>1166800</v>
      </c>
    </row>
    <row r="197" spans="2:9" x14ac:dyDescent="0.25">
      <c r="B197" s="7">
        <v>192</v>
      </c>
      <c r="C197" s="11">
        <v>1274390018</v>
      </c>
      <c r="D197" s="12" t="str">
        <f>VLOOKUP(C197,[3]report!$A$2:$R$406,3,FALSE)</f>
        <v xml:space="preserve">SYAHLAN </v>
      </c>
      <c r="E197" s="7">
        <f>VLOOKUP(C197,[3]report!$A$2:$R$406,4,FALSE)</f>
        <v>88087602</v>
      </c>
      <c r="F197" s="7">
        <f>VLOOKUP(C197,[3]report!$A$2:$R$406,5,FALSE)</f>
        <v>4120177009</v>
      </c>
      <c r="G197" s="12" t="str">
        <f>VLOOKUP(C197,[3]report!$A$2:$R$406,8,FALSE)</f>
        <v>Kota Makassar - Kota Yogyakarta</v>
      </c>
      <c r="H197" s="12" t="str">
        <f>VLOOKUP(C197,[3]report!$A$2:$R$406,9,FALSE)</f>
        <v>05/08/2025 - 08/08/2025</v>
      </c>
      <c r="I197" s="13">
        <f>VLOOKUP(C197,[3]report!$A$2:$R$406,17,FALSE)</f>
        <v>1276800</v>
      </c>
    </row>
    <row r="198" spans="2:9" x14ac:dyDescent="0.25">
      <c r="B198" s="7">
        <v>193</v>
      </c>
      <c r="C198" s="11">
        <v>1274395658</v>
      </c>
      <c r="D198" s="12" t="str">
        <f>VLOOKUP(C198,[3]report!$A$2:$R$406,3,FALSE)</f>
        <v>MUH. AIYDIL FADLI FAHRESA PUTRA</v>
      </c>
      <c r="E198" s="7">
        <f>VLOOKUP(C198,[3]report!$A$2:$R$406,4,FALSE)</f>
        <v>98177625</v>
      </c>
      <c r="F198" s="7">
        <f>VLOOKUP(C198,[3]report!$A$2:$R$406,5,FALSE)</f>
        <v>4120176377</v>
      </c>
      <c r="G198" s="12" t="str">
        <f>VLOOKUP(C198,[3]report!$A$2:$R$406,8,FALSE)</f>
        <v>KotaPalopo-KotaSemarang</v>
      </c>
      <c r="H198" s="12" t="str">
        <f>VLOOKUP(C198,[3]report!$A$2:$R$406,9,FALSE)</f>
        <v>06/07/2025 - 28/08/2025</v>
      </c>
      <c r="I198" s="13">
        <f>VLOOKUP(C198,[3]report!$A$2:$R$406,17,FALSE)</f>
        <v>1474900</v>
      </c>
    </row>
    <row r="199" spans="2:9" x14ac:dyDescent="0.25">
      <c r="B199" s="7">
        <v>194</v>
      </c>
      <c r="C199" s="11">
        <v>1274407050</v>
      </c>
      <c r="D199" s="12" t="str">
        <f>VLOOKUP(C199,[3]report!$A$2:$R$406,3,FALSE)</f>
        <v>ANDI FITHRI ZAKIAH MULYADI</v>
      </c>
      <c r="E199" s="7">
        <f>VLOOKUP(C199,[3]report!$A$2:$R$406,4,FALSE)</f>
        <v>81087404</v>
      </c>
      <c r="F199" s="7">
        <f>VLOOKUP(C199,[3]report!$A$2:$R$406,5,FALSE)</f>
        <v>4120176974</v>
      </c>
      <c r="G199" s="12" t="str">
        <f>VLOOKUP(C199,[3]report!$A$2:$R$406,8,FALSE)</f>
        <v>Kota Makassar - Kota Kendari</v>
      </c>
      <c r="H199" s="12" t="str">
        <f>VLOOKUP(C199,[3]report!$A$2:$R$406,9,FALSE)</f>
        <v>05/08/2025 - 09/08/2025</v>
      </c>
      <c r="I199" s="13">
        <f>VLOOKUP(C199,[3]report!$A$2:$R$406,17,FALSE)</f>
        <v>2835000</v>
      </c>
    </row>
    <row r="200" spans="2:9" x14ac:dyDescent="0.25">
      <c r="B200" s="7">
        <v>195</v>
      </c>
      <c r="C200" s="11">
        <v>1274411760</v>
      </c>
      <c r="D200" s="12" t="str">
        <f>VLOOKUP(C200,[3]report!$A$2:$R$406,3,FALSE)</f>
        <v>ANDI ANGGA SAPUTRA BATARA</v>
      </c>
      <c r="E200" s="7">
        <f>VLOOKUP(C200,[3]report!$A$2:$R$406,4,FALSE)</f>
        <v>89087603</v>
      </c>
      <c r="F200" s="7">
        <f>VLOOKUP(C200,[3]report!$A$2:$R$406,5,FALSE)</f>
        <v>4120177022</v>
      </c>
      <c r="G200" s="12" t="str">
        <f>VLOOKUP(C200,[3]report!$A$2:$R$406,8,FALSE)</f>
        <v>Kota Kendari - Kab. Kolaka</v>
      </c>
      <c r="H200" s="12" t="str">
        <f>VLOOKUP(C200,[3]report!$A$2:$R$406,9,FALSE)</f>
        <v>05/08/2025 - 06/08/2025</v>
      </c>
      <c r="I200" s="13">
        <f>VLOOKUP(C200,[3]report!$A$2:$R$406,17,FALSE)</f>
        <v>828000</v>
      </c>
    </row>
    <row r="201" spans="2:9" x14ac:dyDescent="0.25">
      <c r="B201" s="7">
        <v>196</v>
      </c>
      <c r="C201" s="11">
        <v>1274422992</v>
      </c>
      <c r="D201" s="12" t="str">
        <f>VLOOKUP(C201,[3]report!$A$2:$R$406,3,FALSE)</f>
        <v>MUHAMMAD YUNUS</v>
      </c>
      <c r="E201" s="7">
        <f>VLOOKUP(C201,[3]report!$A$2:$R$406,4,FALSE)</f>
        <v>88128001</v>
      </c>
      <c r="F201" s="7">
        <f>VLOOKUP(C201,[3]report!$A$2:$R$406,5,FALSE)</f>
        <v>4120177006</v>
      </c>
      <c r="G201" s="12" t="str">
        <f>VLOOKUP(C201,[3]report!$A$2:$R$406,8,FALSE)</f>
        <v>Kota Makassar - Kab. Bogor</v>
      </c>
      <c r="H201" s="12" t="str">
        <f>VLOOKUP(C201,[3]report!$A$2:$R$406,9,FALSE)</f>
        <v>04/08/2025 - 08/08/2025</v>
      </c>
      <c r="I201" s="13">
        <f>VLOOKUP(C201,[3]report!$A$2:$R$406,17,FALSE)</f>
        <v>1329880</v>
      </c>
    </row>
    <row r="202" spans="2:9" x14ac:dyDescent="0.25">
      <c r="B202" s="7">
        <v>197</v>
      </c>
      <c r="C202" s="11">
        <v>1274422164</v>
      </c>
      <c r="D202" s="12" t="str">
        <f>VLOOKUP(C202,[3]report!$A$2:$R$406,3,FALSE)</f>
        <v>AGUS HARI WIBOWO</v>
      </c>
      <c r="E202" s="7">
        <f>VLOOKUP(C202,[3]report!$A$2:$R$406,4,FALSE)</f>
        <v>85097602</v>
      </c>
      <c r="F202" s="7">
        <f>VLOOKUP(C202,[3]report!$A$2:$R$406,5,FALSE)</f>
        <v>4120177008</v>
      </c>
      <c r="G202" s="12" t="str">
        <f>VLOOKUP(C202,[3]report!$A$2:$R$406,8,FALSE)</f>
        <v>Kota Makassar - Kab. Bogor</v>
      </c>
      <c r="H202" s="12" t="str">
        <f>VLOOKUP(C202,[3]report!$A$2:$R$406,9,FALSE)</f>
        <v>04/08/2025 - 08/08/2025</v>
      </c>
      <c r="I202" s="13">
        <f>VLOOKUP(C202,[3]report!$A$2:$R$406,17,FALSE)</f>
        <v>1329880</v>
      </c>
    </row>
    <row r="203" spans="2:9" x14ac:dyDescent="0.25">
      <c r="B203" s="7">
        <v>198</v>
      </c>
      <c r="C203" s="11">
        <v>1274424879</v>
      </c>
      <c r="D203" s="12" t="str">
        <f>VLOOKUP(C203,[3]report!$A$2:$R$406,3,FALSE)</f>
        <v>ERWIN LERI</v>
      </c>
      <c r="E203" s="7">
        <f>VLOOKUP(C203,[3]report!$A$2:$R$406,4,FALSE)</f>
        <v>87102007</v>
      </c>
      <c r="F203" s="7">
        <f>VLOOKUP(C203,[3]report!$A$2:$R$406,5,FALSE)</f>
        <v>4120176995</v>
      </c>
      <c r="G203" s="12" t="str">
        <f>VLOOKUP(C203,[3]report!$A$2:$R$406,8,FALSE)</f>
        <v>Kota Makassar - Jakarta Pusat</v>
      </c>
      <c r="H203" s="12" t="str">
        <f>VLOOKUP(C203,[3]report!$A$2:$R$406,9,FALSE)</f>
        <v>03/08/2025 - 06/08/2025</v>
      </c>
      <c r="I203" s="13">
        <f>VLOOKUP(C203,[3]report!$A$2:$R$406,17,FALSE)</f>
        <v>1336530</v>
      </c>
    </row>
    <row r="204" spans="2:9" x14ac:dyDescent="0.25">
      <c r="B204" s="7">
        <v>199</v>
      </c>
      <c r="C204" s="11">
        <v>1274461008</v>
      </c>
      <c r="D204" s="12" t="str">
        <f>VLOOKUP(C204,[3]report!$A$2:$R$406,3,FALSE)</f>
        <v>WAWANG WIRATAMA</v>
      </c>
      <c r="E204" s="7">
        <f>VLOOKUP(C204,[3]report!$A$2:$R$406,4,FALSE)</f>
        <v>83098401</v>
      </c>
      <c r="F204" s="7">
        <f>VLOOKUP(C204,[3]report!$A$2:$R$406,5,FALSE)</f>
        <v>4120177000</v>
      </c>
      <c r="G204" s="12" t="str">
        <f>VLOOKUP(C204,[3]report!$A$2:$R$406,8,FALSE)</f>
        <v>Kota Makassar - Kota Palopo</v>
      </c>
      <c r="H204" s="12" t="str">
        <f>VLOOKUP(C204,[3]report!$A$2:$R$406,9,FALSE)</f>
        <v>04/08/2025 - 07/08/2025</v>
      </c>
      <c r="I204" s="13">
        <f>VLOOKUP(C204,[3]report!$A$2:$R$406,17,FALSE)</f>
        <v>1355400</v>
      </c>
    </row>
    <row r="205" spans="2:9" x14ac:dyDescent="0.25">
      <c r="B205" s="7">
        <v>200</v>
      </c>
      <c r="C205" s="11">
        <v>1274423874</v>
      </c>
      <c r="D205" s="12" t="str">
        <f>VLOOKUP(C205,[3]report!$A$2:$R$406,3,FALSE)</f>
        <v>MUHAMMAD ZULFIKAR</v>
      </c>
      <c r="E205" s="7">
        <f>VLOOKUP(C205,[3]report!$A$2:$R$406,4,FALSE)</f>
        <v>95137640</v>
      </c>
      <c r="F205" s="7">
        <f>VLOOKUP(C205,[3]report!$A$2:$R$406,5,FALSE)</f>
        <v>4120176921</v>
      </c>
      <c r="G205" s="12" t="str">
        <f>VLOOKUP(C205,[3]report!$A$2:$R$406,8,FALSE)</f>
        <v>Kota Parepare - Kota Semarang</v>
      </c>
      <c r="H205" s="12" t="str">
        <f>VLOOKUP(C205,[3]report!$A$2:$R$406,9,FALSE)</f>
        <v>03/08/2025 - 06/08/2025</v>
      </c>
      <c r="I205" s="13">
        <f>VLOOKUP(C205,[3]report!$A$2:$R$406,17,FALSE)</f>
        <v>1450600</v>
      </c>
    </row>
    <row r="206" spans="2:9" x14ac:dyDescent="0.25">
      <c r="B206" s="7">
        <v>201</v>
      </c>
      <c r="C206" s="11">
        <v>1274422960</v>
      </c>
      <c r="D206" s="12" t="str">
        <f>VLOOKUP(C206,[3]report!$A$2:$R$406,3,FALSE)</f>
        <v>RULI RIZALUDDIN</v>
      </c>
      <c r="E206" s="7">
        <f>VLOOKUP(C206,[3]report!$A$2:$R$406,4,FALSE)</f>
        <v>79055400</v>
      </c>
      <c r="F206" s="7">
        <f>VLOOKUP(C206,[3]report!$A$2:$R$406,5,FALSE)</f>
        <v>4120177003</v>
      </c>
      <c r="G206" s="12" t="str">
        <f>VLOOKUP(C206,[3]report!$A$2:$R$406,8,FALSE)</f>
        <v>Kota Makassar - Kota Bogor</v>
      </c>
      <c r="H206" s="12" t="str">
        <f>VLOOKUP(C206,[3]report!$A$2:$R$406,9,FALSE)</f>
        <v>04/08/2025 - 08/08/2025</v>
      </c>
      <c r="I206" s="13">
        <f>VLOOKUP(C206,[3]report!$A$2:$R$406,17,FALSE)</f>
        <v>2315250</v>
      </c>
    </row>
    <row r="207" spans="2:9" x14ac:dyDescent="0.25">
      <c r="B207" s="7">
        <v>202</v>
      </c>
      <c r="C207" s="11">
        <v>1274436869</v>
      </c>
      <c r="D207" s="12" t="str">
        <f>VLOOKUP(C207,[3]report!$A$2:$R$406,3,FALSE)</f>
        <v>HUSLAN HUSAIN</v>
      </c>
      <c r="E207" s="7">
        <f>VLOOKUP(C207,[3]report!$A$2:$R$406,4,FALSE)</f>
        <v>71907601</v>
      </c>
      <c r="F207" s="7">
        <f>VLOOKUP(C207,[3]report!$A$2:$R$406,5,FALSE)</f>
        <v>4120176994</v>
      </c>
      <c r="G207" s="12" t="str">
        <f>VLOOKUP(C207,[3]report!$A$2:$R$406,8,FALSE)</f>
        <v>Kota Makassar - Jakarta Selatan - Kota Bandung</v>
      </c>
      <c r="H207" s="12" t="str">
        <f>VLOOKUP(C207,[3]report!$A$2:$R$406,9,FALSE)</f>
        <v>03/08/2025 - 06/08/2025</v>
      </c>
      <c r="I207" s="13">
        <f>VLOOKUP(C207,[3]report!$A$2:$R$406,17,FALSE)</f>
        <v>3402000</v>
      </c>
    </row>
    <row r="208" spans="2:9" x14ac:dyDescent="0.25">
      <c r="B208" s="7">
        <v>203</v>
      </c>
      <c r="C208" s="11">
        <v>1274654211</v>
      </c>
      <c r="D208" s="12" t="str">
        <f>VLOOKUP(C208,[3]report!$A$2:$R$406,3,FALSE)</f>
        <v>KRESKY YULIANTO</v>
      </c>
      <c r="E208" s="7">
        <f>VLOOKUP(C208,[3]report!$A$2:$R$406,4,FALSE)</f>
        <v>96137676</v>
      </c>
      <c r="F208" s="7">
        <f>VLOOKUP(C208,[3]report!$A$2:$R$406,5,FALSE)</f>
        <v>4120176943</v>
      </c>
      <c r="G208" s="12" t="str">
        <f>VLOOKUP(C208,[3]report!$A$2:$R$406,8,FALSE)</f>
        <v>Kota Makassar - Kab. Tana Toraja</v>
      </c>
      <c r="H208" s="12" t="str">
        <f>VLOOKUP(C208,[3]report!$A$2:$R$406,9,FALSE)</f>
        <v>03/08/2025 - 07/08/2025</v>
      </c>
      <c r="I208" s="13">
        <f>VLOOKUP(C208,[3]report!$A$2:$R$406,17,FALSE)</f>
        <v>513257</v>
      </c>
    </row>
    <row r="209" spans="2:9" x14ac:dyDescent="0.25">
      <c r="B209" s="7">
        <v>204</v>
      </c>
      <c r="C209" s="11">
        <v>1274622070</v>
      </c>
      <c r="D209" s="12" t="str">
        <f>VLOOKUP(C209,[3]report!$A$2:$R$406,3,FALSE)</f>
        <v xml:space="preserve">AMRIADI </v>
      </c>
      <c r="E209" s="7">
        <f>VLOOKUP(C209,[3]report!$A$2:$R$406,4,FALSE)</f>
        <v>96137675</v>
      </c>
      <c r="F209" s="7">
        <f>VLOOKUP(C209,[3]report!$A$2:$R$406,5,FALSE)</f>
        <v>4120176930</v>
      </c>
      <c r="G209" s="12" t="str">
        <f>VLOOKUP(C209,[3]report!$A$2:$R$406,8,FALSE)</f>
        <v>Kota Makassar - Kota Baubau</v>
      </c>
      <c r="H209" s="12" t="str">
        <f>VLOOKUP(C209,[3]report!$A$2:$R$406,9,FALSE)</f>
        <v>04/08/2025 - 11/08/2025</v>
      </c>
      <c r="I209" s="13">
        <f>VLOOKUP(C209,[3]report!$A$2:$R$406,17,FALSE)</f>
        <v>820150</v>
      </c>
    </row>
    <row r="210" spans="2:9" x14ac:dyDescent="0.25">
      <c r="B210" s="7">
        <v>205</v>
      </c>
      <c r="C210" s="16">
        <v>1274623047</v>
      </c>
      <c r="D210" s="12" t="str">
        <f>VLOOKUP(C210,[3]report!$A$2:$R$406,3,FALSE)</f>
        <v>MUCHAMAD PAMUNGKAS</v>
      </c>
      <c r="E210" s="7">
        <f>VLOOKUP(C210,[3]report!$A$2:$R$406,4,FALSE)</f>
        <v>92197600</v>
      </c>
      <c r="F210" s="7">
        <f>VLOOKUP(C210,[3]report!$A$2:$R$406,5,FALSE)</f>
        <v>4120176944</v>
      </c>
      <c r="G210" s="12" t="str">
        <f>VLOOKUP(C210,[3]report!$A$2:$R$406,8,FALSE)</f>
        <v>Kota Makassar - Kota Baubau</v>
      </c>
      <c r="H210" s="12" t="str">
        <f>VLOOKUP(C210,[3]report!$A$2:$R$406,9,FALSE)</f>
        <v>04/08/2025 - 11/08/2025</v>
      </c>
      <c r="I210" s="13">
        <f>VLOOKUP(C210,[3]report!$A$2:$R$406,17,FALSE)</f>
        <v>820150</v>
      </c>
    </row>
    <row r="211" spans="2:9" x14ac:dyDescent="0.25">
      <c r="B211" s="7">
        <v>206</v>
      </c>
      <c r="C211" s="11">
        <v>1274294338</v>
      </c>
      <c r="D211" s="12" t="str">
        <f>VLOOKUP(C211,[3]report!$A$2:$R$406,3,FALSE)</f>
        <v>MUH. HUSHARDI HUSAIN</v>
      </c>
      <c r="E211" s="7">
        <f>VLOOKUP(C211,[3]report!$A$2:$R$406,4,FALSE)</f>
        <v>95197608</v>
      </c>
      <c r="F211" s="7">
        <f>VLOOKUP(C211,[3]report!$A$2:$R$406,5,FALSE)</f>
        <v>4120177011</v>
      </c>
      <c r="G211" s="12" t="str">
        <f>VLOOKUP(C211,[3]report!$A$2:$R$406,8,FALSE)</f>
        <v>Kab. Mamuju - Kab. Bogor</v>
      </c>
      <c r="H211" s="12" t="str">
        <f>VLOOKUP(C211,[3]report!$A$2:$R$406,9,FALSE)</f>
        <v>05/08/2025 - 08/08/2025</v>
      </c>
      <c r="I211" s="13">
        <f>VLOOKUP(C211,[3]report!$A$2:$R$406,17,FALSE)</f>
        <v>2555900</v>
      </c>
    </row>
    <row r="212" spans="2:9" x14ac:dyDescent="0.25">
      <c r="B212" s="7">
        <v>207</v>
      </c>
      <c r="C212" s="11">
        <v>1274613070</v>
      </c>
      <c r="D212" s="12" t="str">
        <f>VLOOKUP(C212,[3]report!$A$2:$R$406,3,FALSE)</f>
        <v>HADI YUSRAN ZAENAL ABIDIN</v>
      </c>
      <c r="E212" s="7">
        <f>VLOOKUP(C212,[3]report!$A$2:$R$406,4,FALSE)</f>
        <v>90087600</v>
      </c>
      <c r="F212" s="7">
        <f>VLOOKUP(C212,[3]report!$A$2:$R$406,5,FALSE)</f>
        <v>4120176957</v>
      </c>
      <c r="G212" s="12" t="str">
        <f>VLOOKUP(C212,[3]report!$A$2:$R$406,8,FALSE)</f>
        <v>Kota Kendari - Kota Makassar</v>
      </c>
      <c r="H212" s="12" t="str">
        <f>VLOOKUP(C212,[3]report!$A$2:$R$406,9,FALSE)</f>
        <v>03/08/2025 - 06/08/2025</v>
      </c>
      <c r="I212" s="13">
        <f>VLOOKUP(C212,[3]report!$A$2:$R$406,17,FALSE)</f>
        <v>869842</v>
      </c>
    </row>
    <row r="213" spans="2:9" x14ac:dyDescent="0.25">
      <c r="B213" s="7">
        <v>208</v>
      </c>
      <c r="C213" s="11">
        <v>1274620627</v>
      </c>
      <c r="D213" s="12" t="str">
        <f>VLOOKUP(C213,[3]report!$A$2:$R$406,3,FALSE)</f>
        <v>HADI YUSRAN ZAENAL ABIDIN</v>
      </c>
      <c r="E213" s="7">
        <f>VLOOKUP(C213,[3]report!$A$2:$R$406,4,FALSE)</f>
        <v>90087600</v>
      </c>
      <c r="F213" s="7">
        <f>VLOOKUP(C213,[3]report!$A$2:$R$406,5,FALSE)</f>
        <v>4120176957</v>
      </c>
      <c r="G213" s="12" t="str">
        <f>VLOOKUP(C213,[3]report!$A$2:$R$406,8,FALSE)</f>
        <v>Kota Kendari - Kota Makassar</v>
      </c>
      <c r="H213" s="12" t="str">
        <f>VLOOKUP(C213,[3]report!$A$2:$R$406,9,FALSE)</f>
        <v>03/08/2025 - 06/08/2025</v>
      </c>
      <c r="I213" s="13">
        <f>VLOOKUP(C213,[3]report!$A$2:$R$406,17,FALSE)</f>
        <v>893000</v>
      </c>
    </row>
    <row r="214" spans="2:9" x14ac:dyDescent="0.25">
      <c r="B214" s="7">
        <v>209</v>
      </c>
      <c r="C214" s="11">
        <v>1274613410</v>
      </c>
      <c r="D214" s="12" t="str">
        <f>VLOOKUP(C214,[3]report!$A$2:$R$406,3,FALSE)</f>
        <v>DIAN VERONICA</v>
      </c>
      <c r="E214" s="7">
        <f>VLOOKUP(C214,[3]report!$A$2:$R$406,4,FALSE)</f>
        <v>94196205</v>
      </c>
      <c r="F214" s="7">
        <f>VLOOKUP(C214,[3]report!$A$2:$R$406,5,FALSE)</f>
        <v>4120176956</v>
      </c>
      <c r="G214" s="12" t="str">
        <f>VLOOKUP(C214,[3]report!$A$2:$R$406,8,FALSE)</f>
        <v>Kota Kendari - Kota Makassar</v>
      </c>
      <c r="H214" s="12" t="str">
        <f>VLOOKUP(C214,[3]report!$A$2:$R$406,9,FALSE)</f>
        <v>03/08/2025 - 06/08/2025</v>
      </c>
      <c r="I214" s="13">
        <f>VLOOKUP(C214,[3]report!$A$2:$R$406,17,FALSE)</f>
        <v>946300</v>
      </c>
    </row>
    <row r="215" spans="2:9" x14ac:dyDescent="0.25">
      <c r="B215" s="7">
        <v>210</v>
      </c>
      <c r="C215" s="11">
        <v>1274526238</v>
      </c>
      <c r="D215" s="12" t="str">
        <f>VLOOKUP(C215,[3]report!$A$2:$R$406,3,FALSE)</f>
        <v>JONI ALEXANDER HEYT SITORUS</v>
      </c>
      <c r="E215" s="7">
        <f>VLOOKUP(C215,[3]report!$A$2:$R$406,4,FALSE)</f>
        <v>83075800</v>
      </c>
      <c r="F215" s="7">
        <f>VLOOKUP(C215,[3]report!$A$2:$R$406,5,FALSE)</f>
        <v>4120177001</v>
      </c>
      <c r="G215" s="12" t="str">
        <f>VLOOKUP(C215,[3]report!$A$2:$R$406,8,FALSE)</f>
        <v>Kota Kendari - Kota Bogor</v>
      </c>
      <c r="H215" s="12" t="str">
        <f>VLOOKUP(C215,[3]report!$A$2:$R$406,9,FALSE)</f>
        <v>04/08/2025 - 08/08/2025</v>
      </c>
      <c r="I215" s="13">
        <f>VLOOKUP(C215,[3]report!$A$2:$R$406,17,FALSE)</f>
        <v>1062500</v>
      </c>
    </row>
    <row r="216" spans="2:9" x14ac:dyDescent="0.25">
      <c r="B216" s="7">
        <v>211</v>
      </c>
      <c r="C216" s="11">
        <v>1274636215</v>
      </c>
      <c r="D216" s="12" t="str">
        <f>VLOOKUP(C216,[3]report!$A$2:$R$406,3,FALSE)</f>
        <v>I WAYAN EDY PURNAMA ARSA</v>
      </c>
      <c r="E216" s="7">
        <f>VLOOKUP(C216,[3]report!$A$2:$R$406,4,FALSE)</f>
        <v>91147609</v>
      </c>
      <c r="F216" s="7">
        <f>VLOOKUP(C216,[3]report!$A$2:$R$406,5,FALSE)</f>
        <v>4120177038</v>
      </c>
      <c r="G216" s="12" t="str">
        <f>VLOOKUP(C216,[3]report!$A$2:$R$406,8,FALSE)</f>
        <v>Kota Makassar - Jakarta Selatan</v>
      </c>
      <c r="H216" s="12" t="str">
        <f>VLOOKUP(C216,[3]report!$A$2:$R$406,9,FALSE)</f>
        <v>06/08/2025 - 08/08/2025</v>
      </c>
      <c r="I216" s="13">
        <f>VLOOKUP(C216,[3]report!$A$2:$R$406,17,FALSE)</f>
        <v>1090000</v>
      </c>
    </row>
    <row r="217" spans="2:9" x14ac:dyDescent="0.25">
      <c r="B217" s="7">
        <v>212</v>
      </c>
      <c r="C217" s="11">
        <v>1274543962</v>
      </c>
      <c r="D217" s="12" t="str">
        <f>VLOOKUP(C217,[3]report!$A$2:$R$406,3,FALSE)</f>
        <v>DALMASIUS NUGROHO ADI PUTRANTO</v>
      </c>
      <c r="E217" s="7">
        <f>VLOOKUP(C217,[3]report!$A$2:$R$406,4,FALSE)</f>
        <v>80077601</v>
      </c>
      <c r="F217" s="7">
        <f>VLOOKUP(C217,[3]report!$A$2:$R$406,5,FALSE)</f>
        <v>4120177029</v>
      </c>
      <c r="G217" s="12" t="str">
        <f>VLOOKUP(C217,[3]report!$A$2:$R$406,8,FALSE)</f>
        <v>Kota Makassar - Kota Bogor</v>
      </c>
      <c r="H217" s="12" t="str">
        <f>VLOOKUP(C217,[3]report!$A$2:$R$406,9,FALSE)</f>
        <v>05/08/2025 - 08/08/2025</v>
      </c>
      <c r="I217" s="13">
        <f>VLOOKUP(C217,[3]report!$A$2:$R$406,17,FALSE)</f>
        <v>1144000</v>
      </c>
    </row>
    <row r="218" spans="2:9" x14ac:dyDescent="0.25">
      <c r="B218" s="7">
        <v>213</v>
      </c>
      <c r="C218" s="11">
        <v>1274641576</v>
      </c>
      <c r="D218" s="12" t="str">
        <f>VLOOKUP(C218,[3]report!$A$2:$R$406,3,FALSE)</f>
        <v>HADHI BAGUS SETYANTO</v>
      </c>
      <c r="E218" s="7">
        <f>VLOOKUP(C218,[3]report!$A$2:$R$406,4,FALSE)</f>
        <v>87117602</v>
      </c>
      <c r="F218" s="7">
        <f>VLOOKUP(C218,[3]report!$A$2:$R$406,5,FALSE)</f>
        <v>4120177032</v>
      </c>
      <c r="G218" s="12" t="str">
        <f>VLOOKUP(C218,[3]report!$A$2:$R$406,8,FALSE)</f>
        <v>Kota Makassar - Kota Palopo</v>
      </c>
      <c r="H218" s="12" t="str">
        <f>VLOOKUP(C218,[3]report!$A$2:$R$406,9,FALSE)</f>
        <v>06/08/2025 - 08/08/2025</v>
      </c>
      <c r="I218" s="13">
        <f>VLOOKUP(C218,[3]report!$A$2:$R$406,17,FALSE)</f>
        <v>1355400</v>
      </c>
    </row>
    <row r="219" spans="2:9" x14ac:dyDescent="0.25">
      <c r="B219" s="7">
        <v>214</v>
      </c>
      <c r="C219" s="11">
        <v>1274625113</v>
      </c>
      <c r="D219" s="12" t="str">
        <f>VLOOKUP(C219,[3]report!$A$2:$R$406,3,FALSE)</f>
        <v>IKHWANUL AKBAR AS'AD</v>
      </c>
      <c r="E219" s="7">
        <f>VLOOKUP(C219,[3]report!$A$2:$R$406,4,FALSE)</f>
        <v>89087621</v>
      </c>
      <c r="F219" s="7">
        <f>VLOOKUP(C219,[3]report!$A$2:$R$406,5,FALSE)</f>
        <v>4120176996</v>
      </c>
      <c r="G219" s="12" t="str">
        <f>VLOOKUP(C219,[3]report!$A$2:$R$406,8,FALSE)</f>
        <v>Kota Baubau - Kota Makassar</v>
      </c>
      <c r="H219" s="12" t="str">
        <f>VLOOKUP(C219,[3]report!$A$2:$R$406,9,FALSE)</f>
        <v>03/08/2025 - 06/08/2025</v>
      </c>
      <c r="I219" s="13">
        <f>VLOOKUP(C219,[3]report!$A$2:$R$406,17,FALSE)</f>
        <v>1557100</v>
      </c>
    </row>
    <row r="220" spans="2:9" x14ac:dyDescent="0.25">
      <c r="B220" s="7">
        <v>215</v>
      </c>
      <c r="C220" s="11">
        <v>1274530744</v>
      </c>
      <c r="D220" s="12" t="str">
        <f>VLOOKUP(C220,[3]report!$A$2:$R$406,3,FALSE)</f>
        <v>KIKI RESKI ANDRIANI</v>
      </c>
      <c r="E220" s="7">
        <f>VLOOKUP(C220,[3]report!$A$2:$R$406,4,FALSE)</f>
        <v>93153811</v>
      </c>
      <c r="F220" s="7">
        <f>VLOOKUP(C220,[3]report!$A$2:$R$406,5,FALSE)</f>
        <v>4120176946</v>
      </c>
      <c r="G220" s="12" t="str">
        <f>VLOOKUP(C220,[3]report!$A$2:$R$406,8,FALSE)</f>
        <v>Kota Makassar - Kab. Kolaka - Kota Kendari</v>
      </c>
      <c r="H220" s="12" t="str">
        <f>VLOOKUP(C220,[3]report!$A$2:$R$406,9,FALSE)</f>
        <v>05/08/2025 - 09/08/2025</v>
      </c>
      <c r="I220" s="13">
        <f>VLOOKUP(C220,[3]report!$A$2:$R$406,17,FALSE)</f>
        <v>1685000</v>
      </c>
    </row>
    <row r="221" spans="2:9" x14ac:dyDescent="0.25">
      <c r="B221" s="7">
        <v>216</v>
      </c>
      <c r="C221" s="11">
        <v>1274646085</v>
      </c>
      <c r="D221" s="12" t="str">
        <f>VLOOKUP(C221,[3]report!$A$2:$R$406,3,FALSE)</f>
        <v xml:space="preserve">EDYANSYAH </v>
      </c>
      <c r="E221" s="7">
        <f>VLOOKUP(C221,[3]report!$A$2:$R$406,4,FALSE)</f>
        <v>70957602</v>
      </c>
      <c r="F221" s="7">
        <f>VLOOKUP(C221,[3]report!$A$2:$R$406,5,FALSE)</f>
        <v>4120177035</v>
      </c>
      <c r="G221" s="12" t="str">
        <f>VLOOKUP(C221,[3]report!$A$2:$R$406,8,FALSE)</f>
        <v>Kota Makassar - Jakarta Pusat</v>
      </c>
      <c r="H221" s="12" t="str">
        <f>VLOOKUP(C221,[3]report!$A$2:$R$406,9,FALSE)</f>
        <v>06/08/2025 - 08/08/2025</v>
      </c>
      <c r="I221" s="13">
        <f>VLOOKUP(C221,[3]report!$A$2:$R$406,17,FALSE)</f>
        <v>1751500</v>
      </c>
    </row>
    <row r="222" spans="2:9" x14ac:dyDescent="0.25">
      <c r="B222" s="7">
        <v>217</v>
      </c>
      <c r="C222" s="11">
        <v>1274638704</v>
      </c>
      <c r="D222" s="12" t="str">
        <f>VLOOKUP(C222,[3]report!$A$2:$R$406,3,FALSE)</f>
        <v>I WAYAN EDY PURNAMA ARSA</v>
      </c>
      <c r="E222" s="7">
        <f>VLOOKUP(C222,[3]report!$A$2:$R$406,4,FALSE)</f>
        <v>91147609</v>
      </c>
      <c r="F222" s="7">
        <f>VLOOKUP(C222,[3]report!$A$2:$R$406,5,FALSE)</f>
        <v>4120177038</v>
      </c>
      <c r="G222" s="12" t="str">
        <f>VLOOKUP(C222,[3]report!$A$2:$R$406,8,FALSE)</f>
        <v>Kota Makassar - Jakarta Selatan</v>
      </c>
      <c r="H222" s="12" t="str">
        <f>VLOOKUP(C222,[3]report!$A$2:$R$406,9,FALSE)</f>
        <v>06/08/2025 - 08/08/2025</v>
      </c>
      <c r="I222" s="13">
        <f>VLOOKUP(C222,[3]report!$A$2:$R$406,17,FALSE)</f>
        <v>1760000</v>
      </c>
    </row>
    <row r="223" spans="2:9" x14ac:dyDescent="0.25">
      <c r="B223" s="7">
        <v>218</v>
      </c>
      <c r="C223" s="11">
        <v>1274554476</v>
      </c>
      <c r="D223" s="12" t="str">
        <f>VLOOKUP(C223,[3]report!$A$2:$R$406,3,FALSE)</f>
        <v>JULYANZAH PERDANA PUTRA</v>
      </c>
      <c r="E223" s="7">
        <f>VLOOKUP(C223,[3]report!$A$2:$R$406,4,FALSE)</f>
        <v>88128002</v>
      </c>
      <c r="F223" s="7">
        <f>VLOOKUP(C223,[3]report!$A$2:$R$406,5,FALSE)</f>
        <v>4120177033</v>
      </c>
      <c r="G223" s="12" t="str">
        <f>VLOOKUP(C223,[3]report!$A$2:$R$406,8,FALSE)</f>
        <v>Kota Makassar - Kota Bandung</v>
      </c>
      <c r="H223" s="12" t="str">
        <f>VLOOKUP(C223,[3]report!$A$2:$R$406,9,FALSE)</f>
        <v>06/08/2025 - 10/08/2025</v>
      </c>
      <c r="I223" s="13">
        <f>VLOOKUP(C223,[3]report!$A$2:$R$406,17,FALSE)</f>
        <v>2182800</v>
      </c>
    </row>
    <row r="224" spans="2:9" x14ac:dyDescent="0.25">
      <c r="B224" s="7">
        <v>219</v>
      </c>
      <c r="C224" s="11">
        <v>1274682030</v>
      </c>
      <c r="D224" s="12" t="str">
        <f>VLOOKUP(C224,[3]report!$A$2:$R$406,3,FALSE)</f>
        <v>DALMASIUS NUGROHO ADI PUTRANTO</v>
      </c>
      <c r="E224" s="7">
        <f>VLOOKUP(C224,[3]report!$A$2:$R$406,4,FALSE)</f>
        <v>80077601</v>
      </c>
      <c r="F224" s="7">
        <f>VLOOKUP(C224,[3]report!$A$2:$R$406,5,FALSE)</f>
        <v>4120177029</v>
      </c>
      <c r="G224" s="12" t="str">
        <f>VLOOKUP(C224,[3]report!$A$2:$R$406,8,FALSE)</f>
        <v>Kota Makassar - Kota Bogor</v>
      </c>
      <c r="H224" s="12" t="str">
        <f>VLOOKUP(C224,[3]report!$A$2:$R$406,9,FALSE)</f>
        <v>05/08/2025 - 08/08/2025</v>
      </c>
      <c r="I224" s="13">
        <f>VLOOKUP(C224,[3]report!$A$2:$R$406,17,FALSE)</f>
        <v>610990</v>
      </c>
    </row>
    <row r="225" spans="2:9" x14ac:dyDescent="0.25">
      <c r="B225" s="7">
        <v>220</v>
      </c>
      <c r="C225" s="11">
        <v>1274754190</v>
      </c>
      <c r="D225" s="12" t="str">
        <f>VLOOKUP(C225,[3]report!$A$2:$R$406,3,FALSE)</f>
        <v>JONI ALEXANDER HEYT SITORUS</v>
      </c>
      <c r="E225" s="7">
        <f>VLOOKUP(C225,[3]report!$A$2:$R$406,4,FALSE)</f>
        <v>83075800</v>
      </c>
      <c r="F225" s="7">
        <f>VLOOKUP(C225,[3]report!$A$2:$R$406,5,FALSE)</f>
        <v>4120177001</v>
      </c>
      <c r="G225" s="12" t="str">
        <f>VLOOKUP(C225,[3]report!$A$2:$R$406,8,FALSE)</f>
        <v>Kota Kendari - Kota Bogor</v>
      </c>
      <c r="H225" s="12" t="str">
        <f>VLOOKUP(C225,[3]report!$A$2:$R$406,9,FALSE)</f>
        <v>04/08/2025 - 08/08/2025</v>
      </c>
      <c r="I225" s="13">
        <f>VLOOKUP(C225,[3]report!$A$2:$R$406,17,FALSE)</f>
        <v>992792</v>
      </c>
    </row>
    <row r="226" spans="2:9" x14ac:dyDescent="0.25">
      <c r="B226" s="7">
        <v>221</v>
      </c>
      <c r="C226" s="11">
        <v>1274754772</v>
      </c>
      <c r="D226" s="12" t="str">
        <f>VLOOKUP(C226,[3]report!$A$2:$R$406,3,FALSE)</f>
        <v>YULI ASHANIAIS RAMADANI</v>
      </c>
      <c r="E226" s="7">
        <f>VLOOKUP(C226,[3]report!$A$2:$R$406,4,FALSE)</f>
        <v>79047601</v>
      </c>
      <c r="F226" s="7">
        <f>VLOOKUP(C226,[3]report!$A$2:$R$406,5,FALSE)</f>
        <v>4120177045</v>
      </c>
      <c r="G226" s="12" t="str">
        <f>VLOOKUP(C226,[3]report!$A$2:$R$406,8,FALSE)</f>
        <v>Jakarta Selatan - Jakarta Selatan</v>
      </c>
      <c r="H226" s="12" t="str">
        <f>VLOOKUP(C226,[3]report!$A$2:$R$406,9,FALSE)</f>
        <v>06/08/2025 - 08/08/2025</v>
      </c>
      <c r="I226" s="13">
        <f>VLOOKUP(C226,[3]report!$A$2:$R$406,17,FALSE)</f>
        <v>1196000</v>
      </c>
    </row>
    <row r="227" spans="2:9" x14ac:dyDescent="0.25">
      <c r="B227" s="7">
        <v>222</v>
      </c>
      <c r="C227" s="11">
        <v>1274741677</v>
      </c>
      <c r="D227" s="12" t="str">
        <f>VLOOKUP(C227,[3]report!$A$2:$R$406,3,FALSE)</f>
        <v>YULI ASHANIAIS RAMADANI</v>
      </c>
      <c r="E227" s="7">
        <f>VLOOKUP(C227,[3]report!$A$2:$R$406,4,FALSE)</f>
        <v>79047601</v>
      </c>
      <c r="F227" s="7">
        <f>VLOOKUP(C227,[3]report!$A$2:$R$406,5,FALSE)</f>
        <v>4120177045</v>
      </c>
      <c r="G227" s="12" t="str">
        <f>VLOOKUP(C227,[3]report!$A$2:$R$406,8,FALSE)</f>
        <v>Jakarta Selatan - Jakarta Selatan</v>
      </c>
      <c r="H227" s="12" t="str">
        <f>VLOOKUP(C227,[3]report!$A$2:$R$406,9,FALSE)</f>
        <v>06/08/2025 - 08/08/2025</v>
      </c>
      <c r="I227" s="13">
        <f>VLOOKUP(C227,[3]report!$A$2:$R$406,17,FALSE)</f>
        <v>1276600</v>
      </c>
    </row>
    <row r="228" spans="2:9" x14ac:dyDescent="0.25">
      <c r="B228" s="7">
        <v>223</v>
      </c>
      <c r="C228" s="11">
        <v>1274668753</v>
      </c>
      <c r="D228" s="12" t="str">
        <f>VLOOKUP(C228,[3]report!$A$2:$R$406,3,FALSE)</f>
        <v>MUH. AIYDIL FADLI FAHRESA PUTRA</v>
      </c>
      <c r="E228" s="7">
        <f>VLOOKUP(C228,[3]report!$A$2:$R$406,4,FALSE)</f>
        <v>98177625</v>
      </c>
      <c r="F228" s="7">
        <f>VLOOKUP(C228,[3]report!$A$2:$R$406,5,FALSE)</f>
        <v>4120176377</v>
      </c>
      <c r="G228" s="12" t="str">
        <f>VLOOKUP(C228,[3]report!$A$2:$R$406,8,FALSE)</f>
        <v>KotaPalopo-KotaSemarang</v>
      </c>
      <c r="H228" s="12" t="str">
        <f>VLOOKUP(C228,[3]report!$A$2:$R$406,9,FALSE)</f>
        <v>06/07/2025 - 28/08/2025</v>
      </c>
      <c r="I228" s="13">
        <f>VLOOKUP(C228,[3]report!$A$2:$R$406,17,FALSE)</f>
        <v>1469800</v>
      </c>
    </row>
    <row r="229" spans="2:9" x14ac:dyDescent="0.25">
      <c r="B229" s="7">
        <v>224</v>
      </c>
      <c r="C229" s="11">
        <v>1274687654</v>
      </c>
      <c r="D229" s="12" t="str">
        <f>VLOOKUP(C229,[3]report!$A$2:$R$406,3,FALSE)</f>
        <v xml:space="preserve">MIRSAN </v>
      </c>
      <c r="E229" s="7">
        <f>VLOOKUP(C229,[3]report!$A$2:$R$406,4,FALSE)</f>
        <v>84087802</v>
      </c>
      <c r="F229" s="7">
        <f>VLOOKUP(C229,[3]report!$A$2:$R$406,5,FALSE)</f>
        <v>4120177043</v>
      </c>
      <c r="G229" s="12" t="str">
        <f>VLOOKUP(C229,[3]report!$A$2:$R$406,8,FALSE)</f>
        <v>Jakarta Selatan - Jakarta Selatan</v>
      </c>
      <c r="H229" s="12" t="str">
        <f>VLOOKUP(C229,[3]report!$A$2:$R$406,9,FALSE)</f>
        <v>06/08/2025 - 08/08/2025</v>
      </c>
      <c r="I229" s="13">
        <f>VLOOKUP(C229,[3]report!$A$2:$R$406,17,FALSE)</f>
        <v>2326500</v>
      </c>
    </row>
    <row r="230" spans="2:9" x14ac:dyDescent="0.25">
      <c r="B230" s="7">
        <v>225</v>
      </c>
      <c r="C230" s="11">
        <v>1274756975</v>
      </c>
      <c r="D230" s="12" t="str">
        <f>VLOOKUP(C230,[3]report!$A$2:$R$406,3,FALSE)</f>
        <v>PERI INDRIYANTO</v>
      </c>
      <c r="E230" s="7">
        <f>VLOOKUP(C230,[3]report!$A$2:$R$406,4,FALSE)</f>
        <v>90167604</v>
      </c>
      <c r="F230" s="7">
        <f>VLOOKUP(C230,[3]report!$A$2:$R$406,5,FALSE)</f>
        <v>4120177046</v>
      </c>
      <c r="G230" s="12" t="str">
        <f>VLOOKUP(C230,[3]report!$A$2:$R$406,8,FALSE)</f>
        <v>Kab. Sidenreng Rappang - Kota Bandung</v>
      </c>
      <c r="H230" s="12" t="str">
        <f>VLOOKUP(C230,[3]report!$A$2:$R$406,9,FALSE)</f>
        <v>06/08/2025 - 08/08/2025</v>
      </c>
      <c r="I230" s="13">
        <f>VLOOKUP(C230,[3]report!$A$2:$R$406,17,FALSE)</f>
        <v>2350900</v>
      </c>
    </row>
    <row r="231" spans="2:9" x14ac:dyDescent="0.25">
      <c r="B231" s="7">
        <v>226</v>
      </c>
      <c r="C231" s="11">
        <v>1274757566</v>
      </c>
      <c r="D231" s="12" t="str">
        <f>VLOOKUP(C231,[3]report!$A$2:$R$406,3,FALSE)</f>
        <v>ARIF INDRA WIBOWO</v>
      </c>
      <c r="E231" s="7">
        <f>VLOOKUP(C231,[3]report!$A$2:$R$406,4,FALSE)</f>
        <v>94167614</v>
      </c>
      <c r="F231" s="7">
        <f>VLOOKUP(C231,[3]report!$A$2:$R$406,5,FALSE)</f>
        <v>4120177021</v>
      </c>
      <c r="G231" s="12" t="str">
        <f>VLOOKUP(C231,[3]report!$A$2:$R$406,8,FALSE)</f>
        <v>Kota Parepare - Kota Bandung</v>
      </c>
      <c r="H231" s="12" t="str">
        <f>VLOOKUP(C231,[3]report!$A$2:$R$406,9,FALSE)</f>
        <v>06/08/2025 - 08/08/2025</v>
      </c>
      <c r="I231" s="13">
        <f>VLOOKUP(C231,[3]report!$A$2:$R$406,17,FALSE)</f>
        <v>2350900</v>
      </c>
    </row>
    <row r="232" spans="2:9" x14ac:dyDescent="0.25">
      <c r="B232" s="7">
        <v>227</v>
      </c>
      <c r="C232" s="11">
        <v>1274787128</v>
      </c>
      <c r="D232" s="12" t="str">
        <f>VLOOKUP(C232,[3]report!$A$2:$R$406,3,FALSE)</f>
        <v>ERWIN LERI</v>
      </c>
      <c r="E232" s="7">
        <f>VLOOKUP(C232,[3]report!$A$2:$R$406,4,FALSE)</f>
        <v>87102007</v>
      </c>
      <c r="F232" s="7">
        <f>VLOOKUP(C232,[3]report!$A$2:$R$406,5,FALSE)</f>
        <v>4120176995</v>
      </c>
      <c r="G232" s="12" t="str">
        <f>VLOOKUP(C232,[3]report!$A$2:$R$406,8,FALSE)</f>
        <v>Kota Makassar - Jakarta Pusat</v>
      </c>
      <c r="H232" s="12" t="str">
        <f>VLOOKUP(C232,[3]report!$A$2:$R$406,9,FALSE)</f>
        <v>03/08/2025 - 08/08/2025</v>
      </c>
      <c r="I232" s="13">
        <f>VLOOKUP(C232,[3]report!$A$2:$R$406,17,FALSE)</f>
        <v>649972</v>
      </c>
    </row>
    <row r="233" spans="2:9" x14ac:dyDescent="0.25">
      <c r="B233" s="7">
        <v>228</v>
      </c>
      <c r="C233" s="11">
        <v>1274781981</v>
      </c>
      <c r="D233" s="12" t="str">
        <f>VLOOKUP(C233,[3]report!$A$2:$R$406,3,FALSE)</f>
        <v>AGUS HARI WIBOWO</v>
      </c>
      <c r="E233" s="7">
        <f>VLOOKUP(C233,[3]report!$A$2:$R$406,4,FALSE)</f>
        <v>85097602</v>
      </c>
      <c r="F233" s="7">
        <f>VLOOKUP(C233,[3]report!$A$2:$R$406,5,FALSE)</f>
        <v>4120177008</v>
      </c>
      <c r="G233" s="12" t="str">
        <f>VLOOKUP(C233,[3]report!$A$2:$R$406,8,FALSE)</f>
        <v>Kota Makassar - Kab. Bogor</v>
      </c>
      <c r="H233" s="12" t="str">
        <f>VLOOKUP(C233,[3]report!$A$2:$R$406,9,FALSE)</f>
        <v>04/08/2025 - 08/08/2025</v>
      </c>
      <c r="I233" s="13">
        <f>VLOOKUP(C233,[3]report!$A$2:$R$406,17,FALSE)</f>
        <v>664940</v>
      </c>
    </row>
    <row r="234" spans="2:9" x14ac:dyDescent="0.25">
      <c r="B234" s="7">
        <v>229</v>
      </c>
      <c r="C234" s="11">
        <v>1274790566</v>
      </c>
      <c r="D234" s="12" t="str">
        <f>VLOOKUP(C234,[3]report!$A$2:$R$406,3,FALSE)</f>
        <v>MUHAMMAD YUNUS</v>
      </c>
      <c r="E234" s="7">
        <f>VLOOKUP(C234,[3]report!$A$2:$R$406,4,FALSE)</f>
        <v>88128001</v>
      </c>
      <c r="F234" s="7">
        <f>VLOOKUP(C234,[3]report!$A$2:$R$406,5,FALSE)</f>
        <v>4120177006</v>
      </c>
      <c r="G234" s="12" t="str">
        <f>VLOOKUP(C234,[3]report!$A$2:$R$406,8,FALSE)</f>
        <v>Kota Makassar - Kab. Bogor</v>
      </c>
      <c r="H234" s="12" t="str">
        <f>VLOOKUP(C234,[3]report!$A$2:$R$406,9,FALSE)</f>
        <v>04/08/2025 - 08/08/2025</v>
      </c>
      <c r="I234" s="13">
        <f>VLOOKUP(C234,[3]report!$A$2:$R$406,17,FALSE)</f>
        <v>671590</v>
      </c>
    </row>
    <row r="235" spans="2:9" x14ac:dyDescent="0.25">
      <c r="B235" s="7">
        <v>230</v>
      </c>
      <c r="C235" s="11">
        <v>1274916803</v>
      </c>
      <c r="D235" s="12" t="str">
        <f>VLOOKUP(C235,[3]report!$A$2:$R$406,3,FALSE)</f>
        <v>ARIF INDRA WIBOWO</v>
      </c>
      <c r="E235" s="7">
        <f>VLOOKUP(C235,[3]report!$A$2:$R$406,4,FALSE)</f>
        <v>94167614</v>
      </c>
      <c r="F235" s="7">
        <f>VLOOKUP(C235,[3]report!$A$2:$R$406,5,FALSE)</f>
        <v>4120177021</v>
      </c>
      <c r="G235" s="12" t="str">
        <f>VLOOKUP(C235,[3]report!$A$2:$R$406,8,FALSE)</f>
        <v>Kota Parepare - Kota Bandung</v>
      </c>
      <c r="H235" s="12" t="str">
        <f>VLOOKUP(C235,[3]report!$A$2:$R$406,9,FALSE)</f>
        <v>06/08/2025 - 08/08/2025</v>
      </c>
      <c r="I235" s="13">
        <f>VLOOKUP(C235,[3]report!$A$2:$R$406,17,FALSE)</f>
        <v>807500</v>
      </c>
    </row>
    <row r="236" spans="2:9" x14ac:dyDescent="0.25">
      <c r="B236" s="7">
        <v>231</v>
      </c>
      <c r="C236" s="11">
        <v>1274917154</v>
      </c>
      <c r="D236" s="12" t="str">
        <f>VLOOKUP(C236,[3]report!$A$2:$R$406,3,FALSE)</f>
        <v>PERI INDRIYANTO</v>
      </c>
      <c r="E236" s="7">
        <f>VLOOKUP(C236,[3]report!$A$2:$R$406,4,FALSE)</f>
        <v>90167604</v>
      </c>
      <c r="F236" s="7">
        <f>VLOOKUP(C236,[3]report!$A$2:$R$406,5,FALSE)</f>
        <v>4120177046</v>
      </c>
      <c r="G236" s="12" t="str">
        <f>VLOOKUP(C236,[3]report!$A$2:$R$406,8,FALSE)</f>
        <v>Kab. Sidenreng Rappang - Kota Bandung</v>
      </c>
      <c r="H236" s="12" t="str">
        <f>VLOOKUP(C236,[3]report!$A$2:$R$406,9,FALSE)</f>
        <v>06/08/2025 - 08/08/2025</v>
      </c>
      <c r="I236" s="13">
        <f>VLOOKUP(C236,[3]report!$A$2:$R$406,17,FALSE)</f>
        <v>807500</v>
      </c>
    </row>
    <row r="237" spans="2:9" x14ac:dyDescent="0.25">
      <c r="B237" s="7">
        <v>232</v>
      </c>
      <c r="C237" s="11">
        <v>1274933291</v>
      </c>
      <c r="D237" s="12" t="str">
        <f>VLOOKUP(C237,[3]report!$A$2:$R$406,3,FALSE)</f>
        <v>MUHAMMAD REZA MULYADI</v>
      </c>
      <c r="E237" s="7">
        <f>VLOOKUP(C237,[3]report!$A$2:$R$406,4,FALSE)</f>
        <v>88127600</v>
      </c>
      <c r="F237" s="7">
        <f>VLOOKUP(C237,[3]report!$A$2:$R$406,5,FALSE)</f>
        <v>4120177055</v>
      </c>
      <c r="G237" s="12" t="str">
        <f>VLOOKUP(C237,[3]report!$A$2:$R$406,8,FALSE)</f>
        <v>Kota Makassar - Kab. Tangerang</v>
      </c>
      <c r="H237" s="12" t="str">
        <f>VLOOKUP(C237,[3]report!$A$2:$R$406,9,FALSE)</f>
        <v>07/08/2025 - 09/08/2025</v>
      </c>
      <c r="I237" s="13">
        <f>VLOOKUP(C237,[3]report!$A$2:$R$406,17,FALSE)</f>
        <v>963568</v>
      </c>
    </row>
    <row r="238" spans="2:9" x14ac:dyDescent="0.25">
      <c r="B238" s="7">
        <v>233</v>
      </c>
      <c r="C238" s="11">
        <v>1274783002</v>
      </c>
      <c r="D238" s="12" t="str">
        <f>VLOOKUP(C238,[3]report!$A$2:$R$406,3,FALSE)</f>
        <v>RULI RIZALUDDIN</v>
      </c>
      <c r="E238" s="7">
        <f>VLOOKUP(C238,[3]report!$A$2:$R$406,4,FALSE)</f>
        <v>79055400</v>
      </c>
      <c r="F238" s="7">
        <f>VLOOKUP(C238,[3]report!$A$2:$R$406,5,FALSE)</f>
        <v>4120177003</v>
      </c>
      <c r="G238" s="12" t="str">
        <f>VLOOKUP(C238,[3]report!$A$2:$R$406,8,FALSE)</f>
        <v>Kota Makassar - Kota Bogor</v>
      </c>
      <c r="H238" s="12" t="str">
        <f>VLOOKUP(C238,[3]report!$A$2:$R$406,9,FALSE)</f>
        <v>04/08/2025 - 08/08/2025</v>
      </c>
      <c r="I238" s="13">
        <f>VLOOKUP(C238,[3]report!$A$2:$R$406,17,FALSE)</f>
        <v>1058400</v>
      </c>
    </row>
    <row r="239" spans="2:9" x14ac:dyDescent="0.25">
      <c r="B239" s="7">
        <v>234</v>
      </c>
      <c r="C239" s="11">
        <v>1274914398</v>
      </c>
      <c r="D239" s="12" t="str">
        <f>VLOOKUP(C239,[3]report!$A$2:$R$406,3,FALSE)</f>
        <v>MUHAMMAD REZA MULYADI</v>
      </c>
      <c r="E239" s="7">
        <f>VLOOKUP(C239,[3]report!$A$2:$R$406,4,FALSE)</f>
        <v>88127600</v>
      </c>
      <c r="F239" s="7">
        <f>VLOOKUP(C239,[3]report!$A$2:$R$406,5,FALSE)</f>
        <v>4120177055</v>
      </c>
      <c r="G239" s="12" t="str">
        <f>VLOOKUP(C239,[3]report!$A$2:$R$406,8,FALSE)</f>
        <v>Kota Makassar - Kab. Tangerang</v>
      </c>
      <c r="H239" s="12" t="str">
        <f>VLOOKUP(C239,[3]report!$A$2:$R$406,9,FALSE)</f>
        <v>07/08/2025 - 09/08/2025</v>
      </c>
      <c r="I239" s="13">
        <f>VLOOKUP(C239,[3]report!$A$2:$R$406,17,FALSE)</f>
        <v>1376300</v>
      </c>
    </row>
    <row r="240" spans="2:9" x14ac:dyDescent="0.25">
      <c r="B240" s="7">
        <v>235</v>
      </c>
      <c r="C240" s="16">
        <v>1274935128</v>
      </c>
      <c r="D240" s="12" t="str">
        <f>VLOOKUP(C240,[3]report!$A$2:$R$406,3,FALSE)</f>
        <v>MUCHAMAD PAMUNGKAS</v>
      </c>
      <c r="E240" s="7">
        <f>VLOOKUP(C240,[3]report!$A$2:$R$406,4,FALSE)</f>
        <v>92197600</v>
      </c>
      <c r="F240" s="7">
        <f>VLOOKUP(C240,[3]report!$A$2:$R$406,5,FALSE)</f>
        <v>4120176944</v>
      </c>
      <c r="G240" s="12" t="str">
        <f>VLOOKUP(C240,[3]report!$A$2:$R$406,8,FALSE)</f>
        <v>Kota Makassar - Kota Baubau</v>
      </c>
      <c r="H240" s="12" t="str">
        <f>VLOOKUP(C240,[3]report!$A$2:$R$406,9,FALSE)</f>
        <v>04/08/2025 - 11/08/2025</v>
      </c>
      <c r="I240" s="13">
        <f>VLOOKUP(C240,[3]report!$A$2:$R$406,17,FALSE)</f>
        <v>1386300</v>
      </c>
    </row>
    <row r="241" spans="2:9" x14ac:dyDescent="0.25">
      <c r="B241" s="7">
        <v>236</v>
      </c>
      <c r="C241" s="11">
        <v>1274822625</v>
      </c>
      <c r="D241" s="12" t="str">
        <f>VLOOKUP(C241,[3]report!$A$2:$R$406,3,FALSE)</f>
        <v>MUH. AIYDIL FADLI FAHRESA PUTRA</v>
      </c>
      <c r="E241" s="7">
        <f>VLOOKUP(C241,[3]report!$A$2:$R$406,4,FALSE)</f>
        <v>98177625</v>
      </c>
      <c r="F241" s="7">
        <f>VLOOKUP(C241,[3]report!$A$2:$R$406,5,FALSE)</f>
        <v>4120176377</v>
      </c>
      <c r="G241" s="12" t="str">
        <f>VLOOKUP(C241,[3]report!$A$2:$R$406,8,FALSE)</f>
        <v>KotaPalopo-KotaSemarang</v>
      </c>
      <c r="H241" s="12" t="str">
        <f>VLOOKUP(C241,[3]report!$A$2:$R$406,9,FALSE)</f>
        <v>06/07/2025 - 28/08/2025</v>
      </c>
      <c r="I241" s="13">
        <f>VLOOKUP(C241,[3]report!$A$2:$R$406,17,FALSE)</f>
        <v>1468800</v>
      </c>
    </row>
    <row r="242" spans="2:9" x14ac:dyDescent="0.25">
      <c r="B242" s="7">
        <v>237</v>
      </c>
      <c r="C242" s="11">
        <v>1274934409</v>
      </c>
      <c r="D242" s="12" t="str">
        <f>VLOOKUP(C242,[3]report!$A$2:$R$406,3,FALSE)</f>
        <v xml:space="preserve">AMRIADI </v>
      </c>
      <c r="E242" s="7">
        <f>VLOOKUP(C242,[3]report!$A$2:$R$406,4,FALSE)</f>
        <v>96137675</v>
      </c>
      <c r="F242" s="7">
        <f>VLOOKUP(C242,[3]report!$A$2:$R$406,5,FALSE)</f>
        <v>4120176930</v>
      </c>
      <c r="G242" s="12" t="str">
        <f>VLOOKUP(C242,[3]report!$A$2:$R$406,8,FALSE)</f>
        <v>Kota Makassar - Kota Baubau</v>
      </c>
      <c r="H242" s="12" t="str">
        <f>VLOOKUP(C242,[3]report!$A$2:$R$406,9,FALSE)</f>
        <v>04/08/2025 - 11/08/2025</v>
      </c>
      <c r="I242" s="13">
        <f>VLOOKUP(C242,[3]report!$A$2:$R$406,17,FALSE)</f>
        <v>1640300</v>
      </c>
    </row>
    <row r="243" spans="2:9" x14ac:dyDescent="0.25">
      <c r="B243" s="7">
        <v>238</v>
      </c>
      <c r="C243" s="11">
        <v>1274790920</v>
      </c>
      <c r="D243" s="12" t="str">
        <f>VLOOKUP(C243,[3]report!$A$2:$R$406,3,FALSE)</f>
        <v>HUSLAN HUSAIN</v>
      </c>
      <c r="E243" s="7">
        <f>VLOOKUP(C243,[3]report!$A$2:$R$406,4,FALSE)</f>
        <v>71907601</v>
      </c>
      <c r="F243" s="7">
        <f>VLOOKUP(C243,[3]report!$A$2:$R$406,5,FALSE)</f>
        <v>4120176994</v>
      </c>
      <c r="G243" s="12" t="str">
        <f>VLOOKUP(C243,[3]report!$A$2:$R$406,8,FALSE)</f>
        <v>Kota Makassar - Jakarta Selatan - Kota Bandung</v>
      </c>
      <c r="H243" s="12" t="str">
        <f>VLOOKUP(C243,[3]report!$A$2:$R$406,9,FALSE)</f>
        <v>03/08/2025 - 08/08/2025</v>
      </c>
      <c r="I243" s="13">
        <f>VLOOKUP(C243,[3]report!$A$2:$R$406,17,FALSE)</f>
        <v>1701000</v>
      </c>
    </row>
    <row r="244" spans="2:9" x14ac:dyDescent="0.25">
      <c r="B244" s="7">
        <v>239</v>
      </c>
      <c r="C244" s="11">
        <v>1274936004</v>
      </c>
      <c r="D244" s="12" t="str">
        <f>VLOOKUP(C244,[3]report!$A$2:$R$406,3,FALSE)</f>
        <v>DALMASIUS NUGROHO ADI PUTRANTO</v>
      </c>
      <c r="E244" s="7">
        <f>VLOOKUP(C244,[3]report!$A$2:$R$406,4,FALSE)</f>
        <v>80077601</v>
      </c>
      <c r="F244" s="7">
        <f>VLOOKUP(C244,[3]report!$A$2:$R$406,5,FALSE)</f>
        <v>4120177029</v>
      </c>
      <c r="G244" s="12" t="str">
        <f>VLOOKUP(C244,[3]report!$A$2:$R$406,8,FALSE)</f>
        <v>Kota Makassar - Kota Bogor</v>
      </c>
      <c r="H244" s="12" t="str">
        <f>VLOOKUP(C244,[3]report!$A$2:$R$406,9,FALSE)</f>
        <v>05/08/2025 - 08/08/2025</v>
      </c>
      <c r="I244" s="13">
        <f>VLOOKUP(C244,[3]report!$A$2:$R$406,17,FALSE)</f>
        <v>1516000</v>
      </c>
    </row>
    <row r="245" spans="2:9" x14ac:dyDescent="0.25">
      <c r="B245" s="7">
        <v>240</v>
      </c>
      <c r="C245" s="11">
        <v>1274935273</v>
      </c>
      <c r="D245" s="12" t="str">
        <f>VLOOKUP(C245,[3]report!$A$2:$R$406,3,FALSE)</f>
        <v>JULYANZAH PERDANA PUTRA</v>
      </c>
      <c r="E245" s="7">
        <f>VLOOKUP(C245,[3]report!$A$2:$R$406,4,FALSE)</f>
        <v>88128002</v>
      </c>
      <c r="F245" s="7">
        <f>VLOOKUP(C245,[3]report!$A$2:$R$406,5,FALSE)</f>
        <v>4120177033</v>
      </c>
      <c r="G245" s="12" t="str">
        <f>VLOOKUP(C245,[3]report!$A$2:$R$406,8,FALSE)</f>
        <v>Kota Makassar - Kota Bandung</v>
      </c>
      <c r="H245" s="12" t="str">
        <f>VLOOKUP(C245,[3]report!$A$2:$R$406,9,FALSE)</f>
        <v>06/08/2025 - 10/08/2025</v>
      </c>
      <c r="I245" s="13">
        <f>VLOOKUP(C245,[3]report!$A$2:$R$406,17,FALSE)</f>
        <v>2726000</v>
      </c>
    </row>
    <row r="246" spans="2:9" x14ac:dyDescent="0.25">
      <c r="B246" s="7">
        <v>241</v>
      </c>
      <c r="C246" s="11">
        <v>1275025183</v>
      </c>
      <c r="D246" s="12" t="str">
        <f>VLOOKUP(C246,[3]report!$A$2:$R$406,3,FALSE)</f>
        <v>JONI ALEXANDER HEYT SITORUS</v>
      </c>
      <c r="E246" s="7">
        <f>VLOOKUP(C246,[3]report!$A$2:$R$406,4,FALSE)</f>
        <v>83075800</v>
      </c>
      <c r="F246" s="7">
        <f>VLOOKUP(C246,[3]report!$A$2:$R$406,5,FALSE)</f>
        <v>4120177001</v>
      </c>
      <c r="G246" s="12" t="str">
        <f>VLOOKUP(C246,[3]report!$A$2:$R$406,8,FALSE)</f>
        <v>Kota Kendari - Kota Bogor</v>
      </c>
      <c r="H246" s="12" t="str">
        <f>VLOOKUP(C246,[3]report!$A$2:$R$406,9,FALSE)</f>
        <v>04/08/2025 - 08/08/2025</v>
      </c>
      <c r="I246" s="13">
        <f>VLOOKUP(C246,[3]report!$A$2:$R$406,17,FALSE)</f>
        <v>2780700</v>
      </c>
    </row>
    <row r="247" spans="2:9" x14ac:dyDescent="0.25">
      <c r="B247" s="7">
        <v>242</v>
      </c>
      <c r="C247" s="11">
        <v>1275002914</v>
      </c>
      <c r="D247" s="12" t="str">
        <f>VLOOKUP(C247,[3]report!$A$2:$R$406,3,FALSE)</f>
        <v xml:space="preserve">SYAHLAN </v>
      </c>
      <c r="E247" s="7">
        <f>VLOOKUP(C247,[3]report!$A$2:$R$406,4,FALSE)</f>
        <v>88087602</v>
      </c>
      <c r="F247" s="7">
        <f>VLOOKUP(C247,[3]report!$A$2:$R$406,5,FALSE)</f>
        <v>4120177009</v>
      </c>
      <c r="G247" s="12" t="str">
        <f>VLOOKUP(C247,[3]report!$A$2:$R$406,8,FALSE)</f>
        <v>Kota Makassar - Kota Yogyakarta</v>
      </c>
      <c r="H247" s="12" t="str">
        <f>VLOOKUP(C247,[3]report!$A$2:$R$406,9,FALSE)</f>
        <v>05/08/2025 - 08/08/2025</v>
      </c>
      <c r="I247" s="13">
        <f>VLOOKUP(C247,[3]report!$A$2:$R$406,17,FALSE)</f>
        <v>3150100</v>
      </c>
    </row>
    <row r="248" spans="2:9" x14ac:dyDescent="0.25">
      <c r="B248" s="7">
        <v>243</v>
      </c>
      <c r="C248" s="11">
        <v>1274962965</v>
      </c>
      <c r="D248" s="12" t="str">
        <f>VLOOKUP(C248,[3]report!$A$2:$R$406,3,FALSE)</f>
        <v>AKBAR KHASHEMI HAMZAH</v>
      </c>
      <c r="E248" s="7">
        <f>VLOOKUP(C248,[3]report!$A$2:$R$406,4,FALSE)</f>
        <v>89145602</v>
      </c>
      <c r="F248" s="7">
        <f>VLOOKUP(C248,[3]report!$A$2:$R$406,5,FALSE)</f>
        <v>4120177018</v>
      </c>
      <c r="G248" s="12" t="str">
        <f>VLOOKUP(C248,[3]report!$A$2:$R$406,8,FALSE)</f>
        <v>Kota Makassar - Kota Surabaya</v>
      </c>
      <c r="H248" s="12" t="str">
        <f>VLOOKUP(C248,[3]report!$A$2:$R$406,9,FALSE)</f>
        <v>10/08/2025 - 14/08/2025</v>
      </c>
      <c r="I248" s="13">
        <f>VLOOKUP(C248,[3]report!$A$2:$R$406,17,FALSE)</f>
        <v>3656000</v>
      </c>
    </row>
    <row r="249" spans="2:9" x14ac:dyDescent="0.25">
      <c r="B249" s="7">
        <v>244</v>
      </c>
      <c r="C249" s="11">
        <v>1275201411</v>
      </c>
      <c r="D249" s="12" t="str">
        <f>VLOOKUP(C249,[3]report!$A$2:$R$406,3,FALSE)</f>
        <v>HAIRIN MUFAHIR</v>
      </c>
      <c r="E249" s="7">
        <f>VLOOKUP(C249,[3]report!$A$2:$R$406,4,FALSE)</f>
        <v>97167808</v>
      </c>
      <c r="F249" s="7">
        <f>VLOOKUP(C249,[3]report!$A$2:$R$406,5,FALSE)</f>
        <v>4120177083</v>
      </c>
      <c r="G249" s="12" t="str">
        <f>VLOOKUP(C249,[3]report!$A$2:$R$406,8,FALSE)</f>
        <v>Kota Makassar - Kota Parepare</v>
      </c>
      <c r="H249" s="12" t="str">
        <f>VLOOKUP(C249,[3]report!$A$2:$R$406,9,FALSE)</f>
        <v>07/08/2025 - 08/08/2025</v>
      </c>
      <c r="I249" s="13">
        <f>VLOOKUP(C249,[3]report!$A$2:$R$406,17,FALSE)</f>
        <v>750000</v>
      </c>
    </row>
    <row r="250" spans="2:9" x14ac:dyDescent="0.25">
      <c r="B250" s="7">
        <v>245</v>
      </c>
      <c r="C250" s="11">
        <v>1275175194</v>
      </c>
      <c r="D250" s="12" t="str">
        <f>VLOOKUP(C250,[3]report!$A$2:$R$406,3,FALSE)</f>
        <v>KIKI RESKI ANDRIANI</v>
      </c>
      <c r="E250" s="7">
        <f>VLOOKUP(C250,[3]report!$A$2:$R$406,4,FALSE)</f>
        <v>93153811</v>
      </c>
      <c r="F250" s="7">
        <f>VLOOKUP(C250,[3]report!$A$2:$R$406,5,FALSE)</f>
        <v>4120176946</v>
      </c>
      <c r="G250" s="12" t="str">
        <f>VLOOKUP(C250,[3]report!$A$2:$R$406,8,FALSE)</f>
        <v>KotaMakassar-Kab.Kolaka-KotaKendari</v>
      </c>
      <c r="H250" s="12" t="str">
        <f>VLOOKUP(C250,[3]report!$A$2:$R$406,9,FALSE)</f>
        <v>05/08/2025 - 09/08/2025</v>
      </c>
      <c r="I250" s="13">
        <f>VLOOKUP(C250,[3]report!$A$2:$R$406,17,FALSE)</f>
        <v>800000</v>
      </c>
    </row>
    <row r="251" spans="2:9" x14ac:dyDescent="0.25">
      <c r="B251" s="7">
        <v>246</v>
      </c>
      <c r="C251" s="11">
        <v>1275045550</v>
      </c>
      <c r="D251" s="12" t="str">
        <f>VLOOKUP(C251,[3]report!$A$2:$R$406,3,FALSE)</f>
        <v>AGUS HARI WIBOWO</v>
      </c>
      <c r="E251" s="7">
        <f>VLOOKUP(C251,[3]report!$A$2:$R$406,4,FALSE)</f>
        <v>85097602</v>
      </c>
      <c r="F251" s="7">
        <f>VLOOKUP(C251,[3]report!$A$2:$R$406,5,FALSE)</f>
        <v>4120177008</v>
      </c>
      <c r="G251" s="12" t="str">
        <f>VLOOKUP(C251,[3]report!$A$2:$R$406,8,FALSE)</f>
        <v>Kota Makassar - Kab. Bogor</v>
      </c>
      <c r="H251" s="12" t="str">
        <f>VLOOKUP(C251,[3]report!$A$2:$R$406,9,FALSE)</f>
        <v>04/08/2025 - 08/08/2025</v>
      </c>
      <c r="I251" s="13">
        <f>VLOOKUP(C251,[3]report!$A$2:$R$406,17,FALSE)</f>
        <v>935000</v>
      </c>
    </row>
    <row r="252" spans="2:9" x14ac:dyDescent="0.25">
      <c r="B252" s="7">
        <v>247</v>
      </c>
      <c r="C252" s="11">
        <v>1275061530</v>
      </c>
      <c r="D252" s="12" t="str">
        <f>VLOOKUP(C252,[3]report!$A$2:$R$406,3,FALSE)</f>
        <v>DEWI ARJUNI KUSNADI</v>
      </c>
      <c r="E252" s="7">
        <f>VLOOKUP(C252,[3]report!$A$2:$R$406,4,FALSE)</f>
        <v>84037602</v>
      </c>
      <c r="F252" s="7">
        <f>VLOOKUP(C252,[3]report!$A$2:$R$406,5,FALSE)</f>
        <v>4120177007</v>
      </c>
      <c r="G252" s="12" t="str">
        <f>VLOOKUP(C252,[3]report!$A$2:$R$406,8,FALSE)</f>
        <v>KotaMakassar-KotaYogyakarta</v>
      </c>
      <c r="H252" s="12" t="str">
        <f>VLOOKUP(C252,[3]report!$A$2:$R$406,9,FALSE)</f>
        <v>05/08/2025 - 08/08/2025</v>
      </c>
      <c r="I252" s="13">
        <f>VLOOKUP(C252,[3]report!$A$2:$R$406,17,FALSE)</f>
        <v>1335100</v>
      </c>
    </row>
    <row r="253" spans="2:9" x14ac:dyDescent="0.25">
      <c r="B253" s="7">
        <v>248</v>
      </c>
      <c r="C253" s="11">
        <v>1275123562</v>
      </c>
      <c r="D253" s="12" t="str">
        <f>VLOOKUP(C253,[3]report!$A$2:$R$406,3,FALSE)</f>
        <v>AGUS HARI WIBOWO</v>
      </c>
      <c r="E253" s="7">
        <f>VLOOKUP(C253,[3]report!$A$2:$R$406,4,FALSE)</f>
        <v>85097602</v>
      </c>
      <c r="F253" s="7">
        <f>VLOOKUP(C253,[3]report!$A$2:$R$406,5,FALSE)</f>
        <v>4120177008</v>
      </c>
      <c r="G253" s="12" t="str">
        <f>VLOOKUP(C253,[3]report!$A$2:$R$406,8,FALSE)</f>
        <v>Kota Makassar - Kab. Bogor</v>
      </c>
      <c r="H253" s="12" t="str">
        <f>VLOOKUP(C253,[3]report!$A$2:$R$406,9,FALSE)</f>
        <v>04/08/2025 - 08/08/2025</v>
      </c>
      <c r="I253" s="13">
        <f>VLOOKUP(C253,[3]report!$A$2:$R$406,17,FALSE)</f>
        <v>1722900</v>
      </c>
    </row>
    <row r="254" spans="2:9" x14ac:dyDescent="0.25">
      <c r="B254" s="7">
        <v>249</v>
      </c>
      <c r="C254" s="11">
        <v>1275191457</v>
      </c>
      <c r="D254" s="12" t="str">
        <f>VLOOKUP(C254,[3]report!$A$2:$R$406,3,FALSE)</f>
        <v>MIRSAN</v>
      </c>
      <c r="E254" s="7">
        <f>VLOOKUP(C254,[3]report!$A$2:$R$406,4,FALSE)</f>
        <v>84087802</v>
      </c>
      <c r="F254" s="7">
        <f>VLOOKUP(C254,[3]report!$A$2:$R$406,5,FALSE)</f>
        <v>4120177043</v>
      </c>
      <c r="G254" s="12" t="str">
        <f>VLOOKUP(C254,[3]report!$A$2:$R$406,8,FALSE)</f>
        <v>Makassar-JakartaSelatan</v>
      </c>
      <c r="H254" s="12" t="str">
        <f>VLOOKUP(C254,[3]report!$A$2:$R$406,9,FALSE)</f>
        <v>06/08/2025 - 08/08/2025</v>
      </c>
      <c r="I254" s="13">
        <f>VLOOKUP(C254,[3]report!$A$2:$R$406,17,FALSE)</f>
        <v>1750000</v>
      </c>
    </row>
    <row r="255" spans="2:9" x14ac:dyDescent="0.25">
      <c r="B255" s="7">
        <v>250</v>
      </c>
      <c r="C255" s="11">
        <v>1275084223</v>
      </c>
      <c r="D255" s="12" t="str">
        <f>VLOOKUP(C255,[3]report!$A$2:$R$406,3,FALSE)</f>
        <v>ALDIS AL FADJRIN</v>
      </c>
      <c r="E255" s="7">
        <f>VLOOKUP(C255,[3]report!$A$2:$R$406,4,FALSE)</f>
        <v>94167622</v>
      </c>
      <c r="F255" s="7">
        <f>VLOOKUP(C255,[3]report!$A$2:$R$406,5,FALSE)</f>
        <v>4120177069</v>
      </c>
      <c r="G255" s="12" t="str">
        <f>VLOOKUP(C255,[3]report!$A$2:$R$406,8,FALSE)</f>
        <v>Kota Kendari - Kota Makassar</v>
      </c>
      <c r="H255" s="12" t="str">
        <f>VLOOKUP(C255,[3]report!$A$2:$R$406,9,FALSE)</f>
        <v>14/08/2025 - 16/08/2025</v>
      </c>
      <c r="I255" s="13">
        <f>VLOOKUP(C255,[3]report!$A$2:$R$406,17,FALSE)</f>
        <v>1830900</v>
      </c>
    </row>
    <row r="256" spans="2:9" x14ac:dyDescent="0.25">
      <c r="B256" s="7">
        <v>251</v>
      </c>
      <c r="C256" s="11">
        <v>1275165844</v>
      </c>
      <c r="D256" s="12" t="str">
        <f>VLOOKUP(C256,[3]report!$A$2:$R$406,3,FALSE)</f>
        <v>MUHAMMAD YUNUS</v>
      </c>
      <c r="E256" s="7">
        <f>VLOOKUP(C256,[3]report!$A$2:$R$406,4,FALSE)</f>
        <v>88128001</v>
      </c>
      <c r="F256" s="7">
        <f>VLOOKUP(C256,[3]report!$A$2:$R$406,5,FALSE)</f>
        <v>4120177006</v>
      </c>
      <c r="G256" s="12" t="str">
        <f>VLOOKUP(C256,[3]report!$A$2:$R$406,8,FALSE)</f>
        <v>Kota Makassar - Kab. Bogor</v>
      </c>
      <c r="H256" s="12" t="str">
        <f>VLOOKUP(C256,[3]report!$A$2:$R$406,9,FALSE)</f>
        <v>04/08/2025 - 08/08/2025</v>
      </c>
      <c r="I256" s="13">
        <f>VLOOKUP(C256,[3]report!$A$2:$R$406,17,FALSE)</f>
        <v>1953100</v>
      </c>
    </row>
    <row r="257" spans="2:9" x14ac:dyDescent="0.25">
      <c r="B257" s="7">
        <v>252</v>
      </c>
      <c r="C257" s="11">
        <v>1275192064</v>
      </c>
      <c r="D257" s="12" t="str">
        <f>VLOOKUP(C257,[3]report!$A$2:$R$406,3,FALSE)</f>
        <v>I WAYAN EDY PURNAMA ARSA</v>
      </c>
      <c r="E257" s="7">
        <f>VLOOKUP(C257,[3]report!$A$2:$R$406,4,FALSE)</f>
        <v>91147609</v>
      </c>
      <c r="F257" s="7">
        <f>VLOOKUP(C257,[3]report!$A$2:$R$406,5,FALSE)</f>
        <v>4120177038</v>
      </c>
      <c r="G257" s="12" t="str">
        <f>VLOOKUP(C257,[3]report!$A$2:$R$406,8,FALSE)</f>
        <v>KotaMakassar-JakartaSelatan</v>
      </c>
      <c r="H257" s="12" t="str">
        <f>VLOOKUP(C257,[3]report!$A$2:$R$406,9,FALSE)</f>
        <v>06/08/2025 - 08/08/2025</v>
      </c>
      <c r="I257" s="13">
        <f>VLOOKUP(C257,[3]report!$A$2:$R$406,17,FALSE)</f>
        <v>2359400</v>
      </c>
    </row>
    <row r="258" spans="2:9" x14ac:dyDescent="0.25">
      <c r="B258" s="7">
        <v>253</v>
      </c>
      <c r="C258" s="11">
        <v>1275175373</v>
      </c>
      <c r="D258" s="12" t="str">
        <f>VLOOKUP(C258,[3]report!$A$2:$R$406,3,FALSE)</f>
        <v>YULI ASHANIAIS RAMADANI</v>
      </c>
      <c r="E258" s="7">
        <f>VLOOKUP(C258,[3]report!$A$2:$R$406,4,FALSE)</f>
        <v>79047601</v>
      </c>
      <c r="F258" s="7">
        <f>VLOOKUP(C258,[3]report!$A$2:$R$406,5,FALSE)</f>
        <v>4120177045</v>
      </c>
      <c r="G258" s="12" t="str">
        <f>VLOOKUP(C258,[3]report!$A$2:$R$406,8,FALSE)</f>
        <v>Jakarta Selatan - Jakarta Selatan</v>
      </c>
      <c r="H258" s="12" t="str">
        <f>VLOOKUP(C258,[3]report!$A$2:$R$406,9,FALSE)</f>
        <v>06/08/2025 - 08/08/2025</v>
      </c>
      <c r="I258" s="13">
        <f>VLOOKUP(C258,[3]report!$A$2:$R$406,17,FALSE)</f>
        <v>2399800</v>
      </c>
    </row>
    <row r="259" spans="2:9" x14ac:dyDescent="0.25">
      <c r="B259" s="7">
        <v>254</v>
      </c>
      <c r="C259" s="11">
        <v>1275058931</v>
      </c>
      <c r="D259" s="12" t="str">
        <f>VLOOKUP(C259,[3]report!$A$2:$R$406,3,FALSE)</f>
        <v>HUSLAN HUSAIN</v>
      </c>
      <c r="E259" s="7">
        <f>VLOOKUP(C259,[3]report!$A$2:$R$406,4,FALSE)</f>
        <v>71907601</v>
      </c>
      <c r="F259" s="7">
        <f>VLOOKUP(C259,[3]report!$A$2:$R$406,5,FALSE)</f>
        <v>4120176994</v>
      </c>
      <c r="G259" s="12" t="str">
        <f>VLOOKUP(C259,[3]report!$A$2:$R$406,8,FALSE)</f>
        <v>Kota Makassar - Jakarta Selatan - Kota Bandung</v>
      </c>
      <c r="H259" s="12" t="str">
        <f>VLOOKUP(C259,[3]report!$A$2:$R$406,9,FALSE)</f>
        <v>03/08/2025 - 08/08/2025</v>
      </c>
      <c r="I259" s="13">
        <f>VLOOKUP(C259,[3]report!$A$2:$R$406,17,FALSE)</f>
        <v>2399800</v>
      </c>
    </row>
    <row r="260" spans="2:9" x14ac:dyDescent="0.25">
      <c r="B260" s="7">
        <v>255</v>
      </c>
      <c r="C260" s="11">
        <v>1275060786</v>
      </c>
      <c r="D260" s="12" t="str">
        <f>VLOOKUP(C260,[3]report!$A$2:$R$406,3,FALSE)</f>
        <v>ERWIN LERI</v>
      </c>
      <c r="E260" s="7">
        <f>VLOOKUP(C260,[3]report!$A$2:$R$406,4,FALSE)</f>
        <v>87102007</v>
      </c>
      <c r="F260" s="7">
        <f>VLOOKUP(C260,[3]report!$A$2:$R$406,5,FALSE)</f>
        <v>4120176995</v>
      </c>
      <c r="G260" s="12" t="str">
        <f>VLOOKUP(C260,[3]report!$A$2:$R$406,8,FALSE)</f>
        <v>Kota Makassar - Jakarta Pusat</v>
      </c>
      <c r="H260" s="12" t="str">
        <f>VLOOKUP(C260,[3]report!$A$2:$R$406,9,FALSE)</f>
        <v>03/08/2025 - 08/08/2025</v>
      </c>
      <c r="I260" s="13">
        <f>VLOOKUP(C260,[3]report!$A$2:$R$406,17,FALSE)</f>
        <v>2399800</v>
      </c>
    </row>
    <row r="261" spans="2:9" x14ac:dyDescent="0.25">
      <c r="B261" s="7">
        <v>256</v>
      </c>
      <c r="C261" s="11">
        <v>1275082850</v>
      </c>
      <c r="D261" s="12" t="str">
        <f>VLOOKUP(C261,[3]report!$A$2:$R$406,3,FALSE)</f>
        <v>MANSYUR FAHMI</v>
      </c>
      <c r="E261" s="7">
        <f>VLOOKUP(C261,[3]report!$A$2:$R$406,4,FALSE)</f>
        <v>96197639</v>
      </c>
      <c r="F261" s="7">
        <f>VLOOKUP(C261,[3]report!$A$2:$R$406,5,FALSE)</f>
        <v>4120177002</v>
      </c>
      <c r="G261" s="12" t="str">
        <f>VLOOKUP(C261,[3]report!$A$2:$R$406,8,FALSE)</f>
        <v>Kab. Mamuju - Kab. Bogor</v>
      </c>
      <c r="H261" s="12" t="str">
        <f>VLOOKUP(C261,[3]report!$A$2:$R$406,9,FALSE)</f>
        <v>04/08/2025 - 08/08/2025</v>
      </c>
      <c r="I261" s="13">
        <f>VLOOKUP(C261,[3]report!$A$2:$R$406,17,FALSE)</f>
        <v>2503500</v>
      </c>
    </row>
    <row r="262" spans="2:9" x14ac:dyDescent="0.25">
      <c r="B262" s="7">
        <v>257</v>
      </c>
      <c r="C262" s="11">
        <v>1275083272</v>
      </c>
      <c r="D262" s="12" t="str">
        <f>VLOOKUP(C262,[3]report!$A$2:$R$406,3,FALSE)</f>
        <v>MUH. HUSHARDI HUSAIN</v>
      </c>
      <c r="E262" s="7">
        <f>VLOOKUP(C262,[3]report!$A$2:$R$406,4,FALSE)</f>
        <v>95197608</v>
      </c>
      <c r="F262" s="7">
        <f>VLOOKUP(C262,[3]report!$A$2:$R$406,5,FALSE)</f>
        <v>4120177011</v>
      </c>
      <c r="G262" s="12" t="str">
        <f>VLOOKUP(C262,[3]report!$A$2:$R$406,8,FALSE)</f>
        <v>Kab. Mamuju - Kab. Bogor</v>
      </c>
      <c r="H262" s="12" t="str">
        <f>VLOOKUP(C262,[3]report!$A$2:$R$406,9,FALSE)</f>
        <v>05/08/2025 - 08/08/2025</v>
      </c>
      <c r="I262" s="13">
        <f>VLOOKUP(C262,[3]report!$A$2:$R$406,17,FALSE)</f>
        <v>2503500</v>
      </c>
    </row>
    <row r="263" spans="2:9" x14ac:dyDescent="0.25">
      <c r="B263" s="7">
        <v>258</v>
      </c>
      <c r="C263" s="11">
        <v>1275251877</v>
      </c>
      <c r="D263" s="12" t="str">
        <f>VLOOKUP(C263,[3]report!$A$2:$R$406,3,FALSE)</f>
        <v>MUHAMMAD REZA MULYADI</v>
      </c>
      <c r="E263" s="7">
        <f>VLOOKUP(C263,[3]report!$A$2:$R$406,4,FALSE)</f>
        <v>88127600</v>
      </c>
      <c r="F263" s="7">
        <f>VLOOKUP(C263,[3]report!$A$2:$R$406,5,FALSE)</f>
        <v>4120177055</v>
      </c>
      <c r="G263" s="12" t="str">
        <f>VLOOKUP(C263,[3]report!$A$2:$R$406,8,FALSE)</f>
        <v>Kota Makassar - Kab. Tangerang</v>
      </c>
      <c r="H263" s="12" t="str">
        <f>VLOOKUP(C263,[3]report!$A$2:$R$406,9,FALSE)</f>
        <v>07/08/2025 - 09/08/2025</v>
      </c>
      <c r="I263" s="13">
        <f>VLOOKUP(C263,[3]report!$A$2:$R$406,17,FALSE)</f>
        <v>720251</v>
      </c>
    </row>
    <row r="264" spans="2:9" x14ac:dyDescent="0.25">
      <c r="B264" s="7">
        <v>259</v>
      </c>
      <c r="C264" s="11">
        <v>1275255196</v>
      </c>
      <c r="D264" s="12" t="str">
        <f>VLOOKUP(C264,[3]report!$A$2:$R$406,3,FALSE)</f>
        <v>ERWIN LERI</v>
      </c>
      <c r="E264" s="7">
        <f>VLOOKUP(C264,[3]report!$A$2:$R$406,4,FALSE)</f>
        <v>87102007</v>
      </c>
      <c r="F264" s="7">
        <f>VLOOKUP(C264,[3]report!$A$2:$R$406,5,FALSE)</f>
        <v>4120176995</v>
      </c>
      <c r="G264" s="12" t="str">
        <f>VLOOKUP(C264,[3]report!$A$2:$R$406,8,FALSE)</f>
        <v>KotaMakassar-JakartaPusat</v>
      </c>
      <c r="H264" s="12" t="str">
        <f>VLOOKUP(C264,[3]report!$A$2:$R$406,9,FALSE)</f>
        <v>03/08/2025 - 08/08/2025</v>
      </c>
      <c r="I264" s="13">
        <f>VLOOKUP(C264,[3]report!$A$2:$R$406,17,FALSE)</f>
        <v>750000</v>
      </c>
    </row>
    <row r="265" spans="2:9" x14ac:dyDescent="0.25">
      <c r="B265" s="7">
        <v>260</v>
      </c>
      <c r="C265" s="11">
        <v>1275233760</v>
      </c>
      <c r="D265" s="12" t="str">
        <f>VLOOKUP(C265,[3]report!$A$2:$R$406,3,FALSE)</f>
        <v>ARIF INDRA WIBOWO</v>
      </c>
      <c r="E265" s="7">
        <f>VLOOKUP(C265,[3]report!$A$2:$R$406,4,FALSE)</f>
        <v>94167614</v>
      </c>
      <c r="F265" s="7">
        <f>VLOOKUP(C265,[3]report!$A$2:$R$406,5,FALSE)</f>
        <v>4120177021</v>
      </c>
      <c r="G265" s="12" t="str">
        <f>VLOOKUP(C265,[3]report!$A$2:$R$406,8,FALSE)</f>
        <v>Kota Parepare - Kota Bandung</v>
      </c>
      <c r="H265" s="12" t="str">
        <f>VLOOKUP(C265,[3]report!$A$2:$R$406,9,FALSE)</f>
        <v>06/08/2025 - 08/08/2025</v>
      </c>
      <c r="I265" s="13">
        <f>VLOOKUP(C265,[3]report!$A$2:$R$406,17,FALSE)</f>
        <v>762818</v>
      </c>
    </row>
    <row r="266" spans="2:9" x14ac:dyDescent="0.25">
      <c r="B266" s="7">
        <v>261</v>
      </c>
      <c r="C266" s="11">
        <v>1275206908</v>
      </c>
      <c r="D266" s="12" t="str">
        <f>VLOOKUP(C266,[3]report!$A$2:$R$406,3,FALSE)</f>
        <v>ANDI FITHRI ZAKIAH MULYADI</v>
      </c>
      <c r="E266" s="7">
        <f>VLOOKUP(C266,[3]report!$A$2:$R$406,4,FALSE)</f>
        <v>81087404</v>
      </c>
      <c r="F266" s="7">
        <f>VLOOKUP(C266,[3]report!$A$2:$R$406,5,FALSE)</f>
        <v>4120176974</v>
      </c>
      <c r="G266" s="12" t="str">
        <f>VLOOKUP(C266,[3]report!$A$2:$R$406,8,FALSE)</f>
        <v>KotaMakassar-KotaKendari</v>
      </c>
      <c r="H266" s="12" t="str">
        <f>VLOOKUP(C266,[3]report!$A$2:$R$406,9,FALSE)</f>
        <v>05/08/2025 - 09/08/2025</v>
      </c>
      <c r="I266" s="13">
        <f>VLOOKUP(C266,[3]report!$A$2:$R$406,17,FALSE)</f>
        <v>810737</v>
      </c>
    </row>
    <row r="267" spans="2:9" x14ac:dyDescent="0.25">
      <c r="B267" s="7">
        <v>262</v>
      </c>
      <c r="C267" s="11">
        <v>1275218510</v>
      </c>
      <c r="D267" s="12" t="str">
        <f>VLOOKUP(C267,[3]report!$A$2:$R$406,3,FALSE)</f>
        <v>KIKI RESKI ANDRIANI</v>
      </c>
      <c r="E267" s="7">
        <f>VLOOKUP(C267,[3]report!$A$2:$R$406,4,FALSE)</f>
        <v>93153811</v>
      </c>
      <c r="F267" s="7">
        <f>VLOOKUP(C267,[3]report!$A$2:$R$406,5,FALSE)</f>
        <v>4120176946</v>
      </c>
      <c r="G267" s="12" t="str">
        <f>VLOOKUP(C267,[3]report!$A$2:$R$406,8,FALSE)</f>
        <v>KotaMakassar-Kab.Kolaka-KotaKendari</v>
      </c>
      <c r="H267" s="12" t="str">
        <f>VLOOKUP(C267,[3]report!$A$2:$R$406,9,FALSE)</f>
        <v>05/08/2025 - 09/08/2025</v>
      </c>
      <c r="I267" s="13">
        <f>VLOOKUP(C267,[3]report!$A$2:$R$406,17,FALSE)</f>
        <v>967900</v>
      </c>
    </row>
    <row r="268" spans="2:9" x14ac:dyDescent="0.25">
      <c r="B268" s="7">
        <v>263</v>
      </c>
      <c r="C268" s="11">
        <v>1275208235</v>
      </c>
      <c r="D268" s="12" t="str">
        <f>VLOOKUP(C268,[3]report!$A$2:$R$406,3,FALSE)</f>
        <v>ANDI FITHRI ZAKIAH MULYADI</v>
      </c>
      <c r="E268" s="7">
        <f>VLOOKUP(C268,[3]report!$A$2:$R$406,4,FALSE)</f>
        <v>81087404</v>
      </c>
      <c r="F268" s="7">
        <f>VLOOKUP(C268,[3]report!$A$2:$R$406,5,FALSE)</f>
        <v>4120176974</v>
      </c>
      <c r="G268" s="12" t="str">
        <f>VLOOKUP(C268,[3]report!$A$2:$R$406,8,FALSE)</f>
        <v>KotaMakassar-KotaKendari</v>
      </c>
      <c r="H268" s="12" t="str">
        <f>VLOOKUP(C268,[3]report!$A$2:$R$406,9,FALSE)</f>
        <v>05/08/2025 - 09/08/2025</v>
      </c>
      <c r="I268" s="13">
        <f>VLOOKUP(C268,[3]report!$A$2:$R$406,17,FALSE)</f>
        <v>967900</v>
      </c>
    </row>
    <row r="269" spans="2:9" x14ac:dyDescent="0.25">
      <c r="B269" s="7">
        <v>264</v>
      </c>
      <c r="C269" s="11">
        <v>1275214025</v>
      </c>
      <c r="D269" s="12" t="str">
        <f>VLOOKUP(C269,[3]report!$A$2:$R$406,3,FALSE)</f>
        <v>HUSLAN HUSAIN</v>
      </c>
      <c r="E269" s="7">
        <f>VLOOKUP(C269,[3]report!$A$2:$R$406,4,FALSE)</f>
        <v>71907601</v>
      </c>
      <c r="F269" s="7">
        <f>VLOOKUP(C269,[3]report!$A$2:$R$406,5,FALSE)</f>
        <v>4120176994</v>
      </c>
      <c r="G269" s="12" t="str">
        <f>VLOOKUP(C269,[3]report!$A$2:$R$406,8,FALSE)</f>
        <v>KotaMakassar-JakartaSelatan-KotaBandung</v>
      </c>
      <c r="H269" s="12" t="str">
        <f>VLOOKUP(C269,[3]report!$A$2:$R$406,9,FALSE)</f>
        <v>03/08/2025 - 08/08/2025</v>
      </c>
      <c r="I269" s="13">
        <f>VLOOKUP(C269,[3]report!$A$2:$R$406,17,FALSE)</f>
        <v>1427999</v>
      </c>
    </row>
    <row r="270" spans="2:9" x14ac:dyDescent="0.25">
      <c r="B270" s="7">
        <v>265</v>
      </c>
      <c r="C270" s="11">
        <v>1275250626</v>
      </c>
      <c r="D270" s="12" t="str">
        <f>VLOOKUP(C270,[3]report!$A$2:$R$406,3,FALSE)</f>
        <v>MUHAMMAD REZA MULYADI</v>
      </c>
      <c r="E270" s="7">
        <f>VLOOKUP(C270,[3]report!$A$2:$R$406,4,FALSE)</f>
        <v>88127600</v>
      </c>
      <c r="F270" s="7">
        <f>VLOOKUP(C270,[3]report!$A$2:$R$406,5,FALSE)</f>
        <v>4120177055</v>
      </c>
      <c r="G270" s="12" t="str">
        <f>VLOOKUP(C270,[3]report!$A$2:$R$406,8,FALSE)</f>
        <v>Kota Makassar - Kab. Tangerang</v>
      </c>
      <c r="H270" s="12" t="str">
        <f>VLOOKUP(C270,[3]report!$A$2:$R$406,9,FALSE)</f>
        <v>07/08/2025 - 09/08/2025</v>
      </c>
      <c r="I270" s="13">
        <f>VLOOKUP(C270,[3]report!$A$2:$R$406,17,FALSE)</f>
        <v>1890500</v>
      </c>
    </row>
    <row r="271" spans="2:9" x14ac:dyDescent="0.25">
      <c r="B271" s="7">
        <v>266</v>
      </c>
      <c r="C271" s="11">
        <v>1275332121</v>
      </c>
      <c r="D271" s="12" t="str">
        <f>VLOOKUP(C271,[3]report!$A$2:$R$406,3,FALSE)</f>
        <v xml:space="preserve">AMRIADI </v>
      </c>
      <c r="E271" s="7">
        <f>VLOOKUP(C271,[3]report!$A$2:$R$406,4,FALSE)</f>
        <v>96137675</v>
      </c>
      <c r="F271" s="7">
        <f>VLOOKUP(C271,[3]report!$A$2:$R$406,5,FALSE)</f>
        <v>4120176930</v>
      </c>
      <c r="G271" s="12" t="str">
        <f>VLOOKUP(C271,[3]report!$A$2:$R$406,8,FALSE)</f>
        <v>Kota Makassar - Kota Baubau</v>
      </c>
      <c r="H271" s="12" t="str">
        <f>VLOOKUP(C271,[3]report!$A$2:$R$406,9,FALSE)</f>
        <v>04/08/2025 - 11/08/2025</v>
      </c>
      <c r="I271" s="13">
        <f>VLOOKUP(C271,[3]report!$A$2:$R$406,17,FALSE)</f>
        <v>744200</v>
      </c>
    </row>
    <row r="272" spans="2:9" x14ac:dyDescent="0.25">
      <c r="B272" s="7">
        <v>267</v>
      </c>
      <c r="C272" s="11">
        <v>1275343399</v>
      </c>
      <c r="D272" s="12" t="str">
        <f>VLOOKUP(C272,[3]report!$A$2:$R$406,3,FALSE)</f>
        <v>MUCHAMAD PAMUNGKAS</v>
      </c>
      <c r="E272" s="7">
        <f>VLOOKUP(C272,[3]report!$A$2:$R$406,4,FALSE)</f>
        <v>92197600</v>
      </c>
      <c r="F272" s="7">
        <f>VLOOKUP(C272,[3]report!$A$2:$R$406,5,FALSE)</f>
        <v>4120176944</v>
      </c>
      <c r="G272" s="12" t="str">
        <f>VLOOKUP(C272,[3]report!$A$2:$R$406,8,FALSE)</f>
        <v>Kota Makassar - Kota Baubau</v>
      </c>
      <c r="H272" s="12" t="str">
        <f>VLOOKUP(C272,[3]report!$A$2:$R$406,9,FALSE)</f>
        <v>04/08/2025 - 11/08/2025</v>
      </c>
      <c r="I272" s="13">
        <f>VLOOKUP(C272,[3]report!$A$2:$R$406,17,FALSE)</f>
        <v>744200</v>
      </c>
    </row>
    <row r="273" spans="2:9" x14ac:dyDescent="0.25">
      <c r="B273" s="7">
        <v>268</v>
      </c>
      <c r="C273" s="11">
        <v>1275529840</v>
      </c>
      <c r="D273" s="12" t="str">
        <f>VLOOKUP(C273,[3]report!$A$2:$R$406,3,FALSE)</f>
        <v>DALMASIUS NUGROHO ADI PUTRANTO</v>
      </c>
      <c r="E273" s="7">
        <f>VLOOKUP(C273,[3]report!$A$2:$R$406,4,FALSE)</f>
        <v>80077601</v>
      </c>
      <c r="F273" s="7">
        <f>VLOOKUP(C273,[3]report!$A$2:$R$406,5,FALSE)</f>
        <v>4120177029</v>
      </c>
      <c r="G273" s="12" t="str">
        <f>VLOOKUP(C273,[3]report!$A$2:$R$406,8,FALSE)</f>
        <v>KotaMakassar-KotaBogor-KotaBandung</v>
      </c>
      <c r="H273" s="12" t="str">
        <f>VLOOKUP(C273,[3]report!$A$2:$R$406,9,FALSE)</f>
        <v>05/08/2025 - 10/08/2025</v>
      </c>
      <c r="I273" s="13">
        <f>VLOOKUP(C273,[3]report!$A$2:$R$406,17,FALSE)</f>
        <v>760750</v>
      </c>
    </row>
    <row r="274" spans="2:9" x14ac:dyDescent="0.25">
      <c r="B274" s="7">
        <v>269</v>
      </c>
      <c r="C274" s="11">
        <v>1275342506</v>
      </c>
      <c r="D274" s="12" t="str">
        <f>VLOOKUP(C274,[3]report!$A$2:$R$406,3,FALSE)</f>
        <v>M. FAUZAN</v>
      </c>
      <c r="E274" s="7">
        <f>VLOOKUP(C274,[3]report!$A$2:$R$406,4,FALSE)</f>
        <v>80065602</v>
      </c>
      <c r="F274" s="7">
        <f>VLOOKUP(C274,[3]report!$A$2:$R$406,5,FALSE)</f>
        <v>4120177013</v>
      </c>
      <c r="G274" s="12" t="str">
        <f>VLOOKUP(C274,[3]report!$A$2:$R$406,8,FALSE)</f>
        <v>Kab. Mamuju - Kota Makassar</v>
      </c>
      <c r="H274" s="12" t="str">
        <f>VLOOKUP(C274,[3]report!$A$2:$R$406,9,FALSE)</f>
        <v>10/08/2025 - 13/08/2025</v>
      </c>
      <c r="I274" s="13">
        <f>VLOOKUP(C274,[3]report!$A$2:$R$406,17,FALSE)</f>
        <v>873400</v>
      </c>
    </row>
    <row r="275" spans="2:9" x14ac:dyDescent="0.25">
      <c r="B275" s="7">
        <v>270</v>
      </c>
      <c r="C275" s="11">
        <v>1275341177</v>
      </c>
      <c r="D275" s="12" t="str">
        <f>VLOOKUP(C275,[3]report!$A$2:$R$406,3,FALSE)</f>
        <v>M. FAUZAN</v>
      </c>
      <c r="E275" s="7">
        <f>VLOOKUP(C275,[3]report!$A$2:$R$406,4,FALSE)</f>
        <v>80065602</v>
      </c>
      <c r="F275" s="7">
        <f>VLOOKUP(C275,[3]report!$A$2:$R$406,5,FALSE)</f>
        <v>4120177013</v>
      </c>
      <c r="G275" s="12" t="str">
        <f>VLOOKUP(C275,[3]report!$A$2:$R$406,8,FALSE)</f>
        <v>Kab. Mamuju - Kota Makassar</v>
      </c>
      <c r="H275" s="12" t="str">
        <f>VLOOKUP(C275,[3]report!$A$2:$R$406,9,FALSE)</f>
        <v>10/08/2025 - 13/08/2025</v>
      </c>
      <c r="I275" s="13">
        <f>VLOOKUP(C275,[3]report!$A$2:$R$406,17,FALSE)</f>
        <v>935300</v>
      </c>
    </row>
    <row r="276" spans="2:9" x14ac:dyDescent="0.25">
      <c r="B276" s="7">
        <v>271</v>
      </c>
      <c r="C276" s="11">
        <v>1275445106</v>
      </c>
      <c r="D276" s="12" t="str">
        <f>VLOOKUP(C276,[3]report!$A$2:$R$406,3,FALSE)</f>
        <v>ARIF INDRA WIBOWO</v>
      </c>
      <c r="E276" s="7">
        <f>VLOOKUP(C276,[3]report!$A$2:$R$406,4,FALSE)</f>
        <v>94167614</v>
      </c>
      <c r="F276" s="7">
        <f>VLOOKUP(C276,[3]report!$A$2:$R$406,5,FALSE)</f>
        <v>4120177021</v>
      </c>
      <c r="G276" s="12" t="str">
        <f>VLOOKUP(C276,[3]report!$A$2:$R$406,8,FALSE)</f>
        <v>Kota Parepare - Kota Bandung</v>
      </c>
      <c r="H276" s="12" t="str">
        <f>VLOOKUP(C276,[3]report!$A$2:$R$406,9,FALSE)</f>
        <v>06/08/2025 - 08/08/2025</v>
      </c>
      <c r="I276" s="13">
        <f>VLOOKUP(C276,[3]report!$A$2:$R$406,17,FALSE)</f>
        <v>988000</v>
      </c>
    </row>
    <row r="277" spans="2:9" x14ac:dyDescent="0.25">
      <c r="B277" s="7">
        <v>272</v>
      </c>
      <c r="C277" s="11">
        <v>1275487655</v>
      </c>
      <c r="D277" s="12" t="str">
        <f>VLOOKUP(C277,[3]report!$A$2:$R$406,3,FALSE)</f>
        <v>HARYADI KASIM</v>
      </c>
      <c r="E277" s="7">
        <f>VLOOKUP(C277,[3]report!$A$2:$R$406,4,FALSE)</f>
        <v>84087606</v>
      </c>
      <c r="F277" s="7">
        <f>VLOOKUP(C277,[3]report!$A$2:$R$406,5,FALSE)</f>
        <v>4120177094</v>
      </c>
      <c r="G277" s="12" t="str">
        <f>VLOOKUP(C277,[3]report!$A$2:$R$406,8,FALSE)</f>
        <v>Kota Makassar - Kota Palu</v>
      </c>
      <c r="H277" s="12" t="str">
        <f>VLOOKUP(C277,[3]report!$A$2:$R$406,9,FALSE)</f>
        <v>10/08/2025 - 13/08/2025</v>
      </c>
      <c r="I277" s="13">
        <f>VLOOKUP(C277,[3]report!$A$2:$R$406,17,FALSE)</f>
        <v>1033500</v>
      </c>
    </row>
    <row r="278" spans="2:9" x14ac:dyDescent="0.25">
      <c r="B278" s="7">
        <v>273</v>
      </c>
      <c r="C278" s="11">
        <v>1275339590</v>
      </c>
      <c r="D278" s="12" t="str">
        <f>VLOOKUP(C278,[3]report!$A$2:$R$406,3,FALSE)</f>
        <v>AKBAR KHASHEMI HAMZAH</v>
      </c>
      <c r="E278" s="7">
        <f>VLOOKUP(C278,[3]report!$A$2:$R$406,4,FALSE)</f>
        <v>89145602</v>
      </c>
      <c r="F278" s="7">
        <f>VLOOKUP(C278,[3]report!$A$2:$R$406,5,FALSE)</f>
        <v>4120177018</v>
      </c>
      <c r="G278" s="12" t="str">
        <f>VLOOKUP(C278,[3]report!$A$2:$R$406,8,FALSE)</f>
        <v>KotaMakassar-KotaSurabaya</v>
      </c>
      <c r="H278" s="12" t="str">
        <f>VLOOKUP(C278,[3]report!$A$2:$R$406,9,FALSE)</f>
        <v>10/08/2025 - 14/08/2025</v>
      </c>
      <c r="I278" s="13">
        <f>VLOOKUP(C278,[3]report!$A$2:$R$406,17,FALSE)</f>
        <v>1151700</v>
      </c>
    </row>
    <row r="279" spans="2:9" x14ac:dyDescent="0.25">
      <c r="B279" s="7">
        <v>274</v>
      </c>
      <c r="C279" s="11">
        <v>1275593261</v>
      </c>
      <c r="D279" s="12" t="str">
        <f>VLOOKUP(C279,[3]report!$A$2:$R$406,3,FALSE)</f>
        <v>ANDI ZULFAKAR</v>
      </c>
      <c r="E279" s="7">
        <f>VLOOKUP(C279,[3]report!$A$2:$R$406,4,FALSE)</f>
        <v>91160035</v>
      </c>
      <c r="F279" s="7">
        <f>VLOOKUP(C279,[3]report!$A$2:$R$406,5,FALSE)</f>
        <v>4120177105</v>
      </c>
      <c r="G279" s="12" t="str">
        <f>VLOOKUP(C279,[3]report!$A$2:$R$406,8,FALSE)</f>
        <v>Kota Makassar - Kab. Kolaka</v>
      </c>
      <c r="H279" s="12" t="str">
        <f>VLOOKUP(C279,[3]report!$A$2:$R$406,9,FALSE)</f>
        <v>11/08/2025 - 14/08/2025</v>
      </c>
      <c r="I279" s="13">
        <f>VLOOKUP(C279,[3]report!$A$2:$R$406,17,FALSE)</f>
        <v>1315800</v>
      </c>
    </row>
    <row r="280" spans="2:9" x14ac:dyDescent="0.25">
      <c r="B280" s="7">
        <v>275</v>
      </c>
      <c r="C280" s="11">
        <v>1275446055</v>
      </c>
      <c r="D280" s="12" t="str">
        <f>VLOOKUP(C280,[3]report!$A$2:$R$406,3,FALSE)</f>
        <v>HARYADI KASIM</v>
      </c>
      <c r="E280" s="7">
        <f>VLOOKUP(C280,[3]report!$A$2:$R$406,4,FALSE)</f>
        <v>84087606</v>
      </c>
      <c r="F280" s="7">
        <f>VLOOKUP(C280,[3]report!$A$2:$R$406,5,FALSE)</f>
        <v>4120177094</v>
      </c>
      <c r="G280" s="12" t="str">
        <f>VLOOKUP(C280,[3]report!$A$2:$R$406,8,FALSE)</f>
        <v>Kota Makassar - Kota Palu</v>
      </c>
      <c r="H280" s="12" t="str">
        <f>VLOOKUP(C280,[3]report!$A$2:$R$406,9,FALSE)</f>
        <v>10/08/2025 - 13/08/2025</v>
      </c>
      <c r="I280" s="13">
        <f>VLOOKUP(C280,[3]report!$A$2:$R$406,17,FALSE)</f>
        <v>1361600</v>
      </c>
    </row>
    <row r="281" spans="2:9" x14ac:dyDescent="0.25">
      <c r="B281" s="7">
        <v>276</v>
      </c>
      <c r="C281" s="11">
        <v>1275556104</v>
      </c>
      <c r="D281" s="12" t="str">
        <f>VLOOKUP(C281,[3]report!$A$2:$R$406,3,FALSE)</f>
        <v>ISKANDAR AZHAR</v>
      </c>
      <c r="E281" s="7">
        <f>VLOOKUP(C281,[3]report!$A$2:$R$406,4,FALSE)</f>
        <v>88097609</v>
      </c>
      <c r="F281" s="7">
        <f>VLOOKUP(C281,[3]report!$A$2:$R$406,5,FALSE)</f>
        <v>4120177104</v>
      </c>
      <c r="G281" s="12" t="str">
        <f>VLOOKUP(C281,[3]report!$A$2:$R$406,8,FALSE)</f>
        <v>Kota Makassar - Kab. Kolaka</v>
      </c>
      <c r="H281" s="12" t="str">
        <f>VLOOKUP(C281,[3]report!$A$2:$R$406,9,FALSE)</f>
        <v>11/08/2025 - 14/08/2025</v>
      </c>
      <c r="I281" s="13">
        <f>VLOOKUP(C281,[3]report!$A$2:$R$406,17,FALSE)</f>
        <v>1415700</v>
      </c>
    </row>
    <row r="282" spans="2:9" x14ac:dyDescent="0.25">
      <c r="B282" s="7">
        <v>277</v>
      </c>
      <c r="C282" s="11">
        <v>1275559006</v>
      </c>
      <c r="D282" s="12" t="str">
        <f>VLOOKUP(C282,[3]report!$A$2:$R$406,3,FALSE)</f>
        <v>ANDI ZULFAKAR</v>
      </c>
      <c r="E282" s="7">
        <f>VLOOKUP(C282,[3]report!$A$2:$R$406,4,FALSE)</f>
        <v>91160035</v>
      </c>
      <c r="F282" s="7">
        <f>VLOOKUP(C282,[3]report!$A$2:$R$406,5,FALSE)</f>
        <v>4120177105</v>
      </c>
      <c r="G282" s="12" t="str">
        <f>VLOOKUP(C282,[3]report!$A$2:$R$406,8,FALSE)</f>
        <v>Kota Makassar - Kab. Kolaka</v>
      </c>
      <c r="H282" s="12" t="str">
        <f>VLOOKUP(C282,[3]report!$A$2:$R$406,9,FALSE)</f>
        <v>11/08/2025 - 14/08/2025</v>
      </c>
      <c r="I282" s="13">
        <f>VLOOKUP(C282,[3]report!$A$2:$R$406,17,FALSE)</f>
        <v>1415700</v>
      </c>
    </row>
    <row r="283" spans="2:9" x14ac:dyDescent="0.25">
      <c r="B283" s="7">
        <v>278</v>
      </c>
      <c r="C283" s="11">
        <v>1275570318</v>
      </c>
      <c r="D283" s="12" t="str">
        <f>VLOOKUP(C283,[3]report!$A$2:$R$406,3,FALSE)</f>
        <v>LU'LUIL MAKNUNAH WISUDAWATI</v>
      </c>
      <c r="E283" s="7">
        <f>VLOOKUP(C283,[3]report!$A$2:$R$406,4,FALSE)</f>
        <v>94167633</v>
      </c>
      <c r="F283" s="7">
        <f>VLOOKUP(C283,[3]report!$A$2:$R$406,5,FALSE)</f>
        <v>4120177102</v>
      </c>
      <c r="G283" s="12" t="str">
        <f>VLOOKUP(C283,[3]report!$A$2:$R$406,8,FALSE)</f>
        <v>Kota Makassar - Kota Semarang - Kota Tegal - Kab. Klaten</v>
      </c>
      <c r="H283" s="12" t="str">
        <f>VLOOKUP(C283,[3]report!$A$2:$R$406,9,FALSE)</f>
        <v>10/08/2025 - 16/08/2025</v>
      </c>
      <c r="I283" s="13">
        <f>VLOOKUP(C283,[3]report!$A$2:$R$406,17,FALSE)</f>
        <v>1466676</v>
      </c>
    </row>
    <row r="284" spans="2:9" x14ac:dyDescent="0.25">
      <c r="B284" s="7">
        <v>279</v>
      </c>
      <c r="C284" s="11">
        <v>1275576907</v>
      </c>
      <c r="D284" s="12" t="str">
        <f>VLOOKUP(C284,[3]report!$A$2:$R$406,3,FALSE)</f>
        <v>LU'LUIL MAKNUNAH WISUDAWATI</v>
      </c>
      <c r="E284" s="7">
        <f>VLOOKUP(C284,[3]report!$A$2:$R$406,4,FALSE)</f>
        <v>94167633</v>
      </c>
      <c r="F284" s="7">
        <f>VLOOKUP(C284,[3]report!$A$2:$R$406,5,FALSE)</f>
        <v>4120177102</v>
      </c>
      <c r="G284" s="12" t="str">
        <f>VLOOKUP(C284,[3]report!$A$2:$R$406,8,FALSE)</f>
        <v>Kota Makassar - Kota Semarang - Kota Tegal - Kab. Klaten</v>
      </c>
      <c r="H284" s="12" t="str">
        <f>VLOOKUP(C284,[3]report!$A$2:$R$406,9,FALSE)</f>
        <v>10/08/2025 - 16/08/2025</v>
      </c>
      <c r="I284" s="13">
        <f>VLOOKUP(C284,[3]report!$A$2:$R$406,17,FALSE)</f>
        <v>1496000</v>
      </c>
    </row>
    <row r="285" spans="2:9" x14ac:dyDescent="0.25">
      <c r="B285" s="7">
        <v>280</v>
      </c>
      <c r="C285" s="11">
        <v>1275574478</v>
      </c>
      <c r="D285" s="12" t="str">
        <f>VLOOKUP(C285,[3]report!$A$2:$R$406,3,FALSE)</f>
        <v>LU'LUIL MAKNUNAH WISUDAWATI</v>
      </c>
      <c r="E285" s="7">
        <f>VLOOKUP(C285,[3]report!$A$2:$R$406,4,FALSE)</f>
        <v>94167633</v>
      </c>
      <c r="F285" s="7">
        <f>VLOOKUP(C285,[3]report!$A$2:$R$406,5,FALSE)</f>
        <v>4120177102</v>
      </c>
      <c r="G285" s="12" t="str">
        <f>VLOOKUP(C285,[3]report!$A$2:$R$406,8,FALSE)</f>
        <v>Kota Makassar - Kota Semarang - Kota Tegal - Kab. Klaten</v>
      </c>
      <c r="H285" s="12" t="str">
        <f>VLOOKUP(C285,[3]report!$A$2:$R$406,9,FALSE)</f>
        <v>10/08/2025 - 16/08/2025</v>
      </c>
      <c r="I285" s="13">
        <f>VLOOKUP(C285,[3]report!$A$2:$R$406,17,FALSE)</f>
        <v>1509396</v>
      </c>
    </row>
    <row r="286" spans="2:9" x14ac:dyDescent="0.25">
      <c r="B286" s="7">
        <v>281</v>
      </c>
      <c r="C286" s="11">
        <v>1275573127</v>
      </c>
      <c r="D286" s="12" t="str">
        <f>VLOOKUP(C286,[3]report!$A$2:$R$406,3,FALSE)</f>
        <v>M. LUKMAN HAKIM</v>
      </c>
      <c r="E286" s="7">
        <f>VLOOKUP(C286,[3]report!$A$2:$R$406,4,FALSE)</f>
        <v>87127603</v>
      </c>
      <c r="F286" s="7">
        <f>VLOOKUP(C286,[3]report!$A$2:$R$406,5,FALSE)</f>
        <v>4120177103</v>
      </c>
      <c r="G286" s="12" t="str">
        <f>VLOOKUP(C286,[3]report!$A$2:$R$406,8,FALSE)</f>
        <v>Kota Makassar - Kab. Brebes - Kab. Banyumas - Kab. Cilacap</v>
      </c>
      <c r="H286" s="12" t="str">
        <f>VLOOKUP(C286,[3]report!$A$2:$R$406,9,FALSE)</f>
        <v>10/08/2025 - 16/08/2025</v>
      </c>
      <c r="I286" s="13">
        <f>VLOOKUP(C286,[3]report!$A$2:$R$406,17,FALSE)</f>
        <v>1519300</v>
      </c>
    </row>
    <row r="287" spans="2:9" x14ac:dyDescent="0.25">
      <c r="B287" s="7">
        <v>282</v>
      </c>
      <c r="C287" s="11">
        <v>1275583231</v>
      </c>
      <c r="D287" s="12" t="str">
        <f>VLOOKUP(C287,[3]report!$A$2:$R$406,3,FALSE)</f>
        <v xml:space="preserve">ISMAIL </v>
      </c>
      <c r="E287" s="7">
        <f>VLOOKUP(C287,[3]report!$A$2:$R$406,4,FALSE)</f>
        <v>91117611</v>
      </c>
      <c r="F287" s="7">
        <f>VLOOKUP(C287,[3]report!$A$2:$R$406,5,FALSE)</f>
        <v>4120176953</v>
      </c>
      <c r="G287" s="12" t="str">
        <f>VLOOKUP(C287,[3]report!$A$2:$R$406,8,FALSE)</f>
        <v>Kota Palopo - Jakarta Barat</v>
      </c>
      <c r="H287" s="12" t="str">
        <f>VLOOKUP(C287,[3]report!$A$2:$R$406,9,FALSE)</f>
        <v>04/08/2025 - 10/08/2025</v>
      </c>
      <c r="I287" s="13">
        <f>VLOOKUP(C287,[3]report!$A$2:$R$406,17,FALSE)</f>
        <v>2303400</v>
      </c>
    </row>
    <row r="288" spans="2:9" x14ac:dyDescent="0.25">
      <c r="B288" s="7">
        <v>283</v>
      </c>
      <c r="C288" s="11">
        <v>1275507120</v>
      </c>
      <c r="D288" s="12" t="str">
        <f>VLOOKUP(C288,[3]report!$A$2:$R$406,3,FALSE)</f>
        <v>AHMAD AKMAL</v>
      </c>
      <c r="E288" s="7">
        <f>VLOOKUP(C288,[3]report!$A$2:$R$406,4,FALSE)</f>
        <v>92127612</v>
      </c>
      <c r="F288" s="7">
        <f>VLOOKUP(C288,[3]report!$A$2:$R$406,5,FALSE)</f>
        <v>4120176926</v>
      </c>
      <c r="G288" s="12" t="str">
        <f>VLOOKUP(C288,[3]report!$A$2:$R$406,8,FALSE)</f>
        <v>Kab. Bombana - Jakarta Barat</v>
      </c>
      <c r="H288" s="12" t="str">
        <f>VLOOKUP(C288,[3]report!$A$2:$R$406,9,FALSE)</f>
        <v>04/08/2025 - 10/08/2025</v>
      </c>
      <c r="I288" s="13">
        <f>VLOOKUP(C288,[3]report!$A$2:$R$406,17,FALSE)</f>
        <v>2335300</v>
      </c>
    </row>
    <row r="289" spans="2:9" x14ac:dyDescent="0.25">
      <c r="B289" s="7">
        <v>284</v>
      </c>
      <c r="C289" s="11">
        <v>1275453667</v>
      </c>
      <c r="D289" s="12" t="str">
        <f>VLOOKUP(C289,[3]report!$A$2:$R$406,3,FALSE)</f>
        <v>HARYADI KASIM</v>
      </c>
      <c r="E289" s="7">
        <f>VLOOKUP(C289,[3]report!$A$2:$R$406,4,FALSE)</f>
        <v>84087606</v>
      </c>
      <c r="F289" s="7">
        <f>VLOOKUP(C289,[3]report!$A$2:$R$406,5,FALSE)</f>
        <v>4120177094</v>
      </c>
      <c r="G289" s="12" t="str">
        <f>VLOOKUP(C289,[3]report!$A$2:$R$406,8,FALSE)</f>
        <v>Kota Makassar - Kota Palu</v>
      </c>
      <c r="H289" s="12" t="str">
        <f>VLOOKUP(C289,[3]report!$A$2:$R$406,9,FALSE)</f>
        <v>10/08/2025 - 13/08/2025</v>
      </c>
      <c r="I289" s="13">
        <f>VLOOKUP(C289,[3]report!$A$2:$R$406,17,FALSE)</f>
        <v>2346000</v>
      </c>
    </row>
    <row r="290" spans="2:9" x14ac:dyDescent="0.25">
      <c r="B290" s="7">
        <v>285</v>
      </c>
      <c r="C290" s="11">
        <v>1275337993</v>
      </c>
      <c r="D290" s="12" t="str">
        <f>VLOOKUP(C290,[3]report!$A$2:$R$406,3,FALSE)</f>
        <v>RULI RIZALUDDIN</v>
      </c>
      <c r="E290" s="7">
        <f>VLOOKUP(C290,[3]report!$A$2:$R$406,4,FALSE)</f>
        <v>79055400</v>
      </c>
      <c r="F290" s="7">
        <f>VLOOKUP(C290,[3]report!$A$2:$R$406,5,FALSE)</f>
        <v>4120177003</v>
      </c>
      <c r="G290" s="12" t="str">
        <f>VLOOKUP(C290,[3]report!$A$2:$R$406,8,FALSE)</f>
        <v>KotaMakassar-KotaBogor</v>
      </c>
      <c r="H290" s="12" t="str">
        <f>VLOOKUP(C290,[3]report!$A$2:$R$406,9,FALSE)</f>
        <v>04/08/2025 - 08/08/2025</v>
      </c>
      <c r="I290" s="13">
        <f>VLOOKUP(C290,[3]report!$A$2:$R$406,17,FALSE)</f>
        <v>2396800</v>
      </c>
    </row>
    <row r="291" spans="2:9" x14ac:dyDescent="0.25">
      <c r="B291" s="7">
        <v>286</v>
      </c>
      <c r="C291" s="11">
        <v>1275798077</v>
      </c>
      <c r="D291" s="12" t="str">
        <f>VLOOKUP(C291,[3]report!$A$2:$R$406,3,FALSE)</f>
        <v>DALMASIUS NUGROHO ADI PUTRANTO</v>
      </c>
      <c r="E291" s="7">
        <f>VLOOKUP(C291,[3]report!$A$2:$R$406,4,FALSE)</f>
        <v>80077601</v>
      </c>
      <c r="F291" s="7">
        <f>VLOOKUP(C291,[3]report!$A$2:$R$406,5,FALSE)</f>
        <v>4120177029</v>
      </c>
      <c r="G291" s="12" t="str">
        <f>VLOOKUP(C291,[3]report!$A$2:$R$406,8,FALSE)</f>
        <v>KotaMakassar-KotaBogor-KotaBandung</v>
      </c>
      <c r="H291" s="12" t="str">
        <f>VLOOKUP(C291,[3]report!$A$2:$R$406,9,FALSE)</f>
        <v>05/08/2025 - 10/08/2025</v>
      </c>
      <c r="I291" s="13">
        <f>VLOOKUP(C291,[3]report!$A$2:$R$406,17,FALSE)</f>
        <v>1242700</v>
      </c>
    </row>
    <row r="292" spans="2:9" x14ac:dyDescent="0.25">
      <c r="B292" s="7">
        <v>287</v>
      </c>
      <c r="C292" s="11">
        <v>1275670805</v>
      </c>
      <c r="D292" s="12" t="str">
        <f>VLOOKUP(C292,[3]report!$A$2:$R$406,3,FALSE)</f>
        <v>JULYANZAH PERDANA PUTRA</v>
      </c>
      <c r="E292" s="7">
        <f>VLOOKUP(C292,[3]report!$A$2:$R$406,4,FALSE)</f>
        <v>88128002</v>
      </c>
      <c r="F292" s="7">
        <f>VLOOKUP(C292,[3]report!$A$2:$R$406,5,FALSE)</f>
        <v>4120177033</v>
      </c>
      <c r="G292" s="12" t="str">
        <f>VLOOKUP(C292,[3]report!$A$2:$R$406,8,FALSE)</f>
        <v>KotaMakassar-KotaBandung</v>
      </c>
      <c r="H292" s="12" t="str">
        <f>VLOOKUP(C292,[3]report!$A$2:$R$406,9,FALSE)</f>
        <v>06/08/2025 - 10/08/2025</v>
      </c>
      <c r="I292" s="13">
        <f>VLOOKUP(C292,[3]report!$A$2:$R$406,17,FALSE)</f>
        <v>1625400</v>
      </c>
    </row>
    <row r="293" spans="2:9" x14ac:dyDescent="0.25">
      <c r="B293" s="7">
        <v>288</v>
      </c>
      <c r="C293" s="11">
        <v>1275822306</v>
      </c>
      <c r="D293" s="12" t="str">
        <f>VLOOKUP(C293,[3]report!$A$2:$R$406,3,FALSE)</f>
        <v>YUSUF TRIADI</v>
      </c>
      <c r="E293" s="7">
        <f>VLOOKUP(C293,[3]report!$A$2:$R$406,4,FALSE)</f>
        <v>86108001</v>
      </c>
      <c r="F293" s="7">
        <f>VLOOKUP(C293,[3]report!$A$2:$R$406,5,FALSE)</f>
        <v>4120177095</v>
      </c>
      <c r="G293" s="12" t="str">
        <f>VLOOKUP(C293,[3]report!$A$2:$R$406,8,FALSE)</f>
        <v>Kota Makassar - Jakarta Pusat</v>
      </c>
      <c r="H293" s="12" t="str">
        <f>VLOOKUP(C293,[3]report!$A$2:$R$406,9,FALSE)</f>
        <v>11/08/2025 - 14/08/2025</v>
      </c>
      <c r="I293" s="13">
        <f>VLOOKUP(C293,[3]report!$A$2:$R$406,17,FALSE)</f>
        <v>1680000</v>
      </c>
    </row>
    <row r="294" spans="2:9" x14ac:dyDescent="0.25">
      <c r="B294" s="7">
        <v>289</v>
      </c>
      <c r="C294" s="11">
        <v>1275812074</v>
      </c>
      <c r="D294" s="12" t="str">
        <f>VLOOKUP(C294,[3]report!$A$2:$R$406,3,FALSE)</f>
        <v>YUSUF TRIADI</v>
      </c>
      <c r="E294" s="7">
        <f>VLOOKUP(C294,[3]report!$A$2:$R$406,4,FALSE)</f>
        <v>86108001</v>
      </c>
      <c r="F294" s="7">
        <f>VLOOKUP(C294,[3]report!$A$2:$R$406,5,FALSE)</f>
        <v>4120177095</v>
      </c>
      <c r="G294" s="12" t="str">
        <f>VLOOKUP(C294,[3]report!$A$2:$R$406,8,FALSE)</f>
        <v>Kota Makassar - Jakarta Pusat</v>
      </c>
      <c r="H294" s="12" t="str">
        <f>VLOOKUP(C294,[3]report!$A$2:$R$406,9,FALSE)</f>
        <v>11/08/2025 - 14/08/2025</v>
      </c>
      <c r="I294" s="13">
        <f>VLOOKUP(C294,[3]report!$A$2:$R$406,17,FALSE)</f>
        <v>2023600</v>
      </c>
    </row>
    <row r="295" spans="2:9" x14ac:dyDescent="0.25">
      <c r="B295" s="7">
        <v>290</v>
      </c>
      <c r="C295" s="11">
        <v>1275805076</v>
      </c>
      <c r="D295" s="12" t="str">
        <f>VLOOKUP(C295,[3]report!$A$2:$R$406,3,FALSE)</f>
        <v xml:space="preserve">MIRSAN </v>
      </c>
      <c r="E295" s="7">
        <f>VLOOKUP(C295,[3]report!$A$2:$R$406,4,FALSE)</f>
        <v>84087802</v>
      </c>
      <c r="F295" s="7">
        <f>VLOOKUP(C295,[3]report!$A$2:$R$406,5,FALSE)</f>
        <v>4120177107</v>
      </c>
      <c r="G295" s="12" t="str">
        <f>VLOOKUP(C295,[3]report!$A$2:$R$406,8,FALSE)</f>
        <v>Kota Makassar - Jakarta Selatan</v>
      </c>
      <c r="H295" s="12" t="str">
        <f>VLOOKUP(C295,[3]report!$A$2:$R$406,9,FALSE)</f>
        <v>11/08/2025 - 12/08/2025</v>
      </c>
      <c r="I295" s="13">
        <f>VLOOKUP(C295,[3]report!$A$2:$R$406,17,FALSE)</f>
        <v>2345200</v>
      </c>
    </row>
    <row r="296" spans="2:9" x14ac:dyDescent="0.25">
      <c r="B296" s="7">
        <v>291</v>
      </c>
      <c r="C296" s="11">
        <v>1275926631</v>
      </c>
      <c r="D296" s="12" t="str">
        <f>VLOOKUP(C296,[3]report!$A$2:$R$406,3,FALSE)</f>
        <v xml:space="preserve">EDYANSYAH </v>
      </c>
      <c r="E296" s="7">
        <f>VLOOKUP(C296,[3]report!$A$2:$R$406,4,FALSE)</f>
        <v>70957602</v>
      </c>
      <c r="F296" s="7">
        <f>VLOOKUP(C296,[3]report!$A$2:$R$406,5,FALSE)</f>
        <v>4120177096</v>
      </c>
      <c r="G296" s="12" t="str">
        <f>VLOOKUP(C296,[3]report!$A$2:$R$406,8,FALSE)</f>
        <v>Jakarta Pusat - Kota Makassar</v>
      </c>
      <c r="H296" s="12" t="str">
        <f>VLOOKUP(C296,[3]report!$A$2:$R$406,9,FALSE)</f>
        <v>11/08/2025 - 11/08/2025</v>
      </c>
      <c r="I296" s="13">
        <f>VLOOKUP(C296,[3]report!$A$2:$R$406,17,FALSE)</f>
        <v>1837700</v>
      </c>
    </row>
    <row r="297" spans="2:9" x14ac:dyDescent="0.25">
      <c r="B297" s="7">
        <v>292</v>
      </c>
      <c r="C297" s="11">
        <v>1276079125</v>
      </c>
      <c r="D297" s="12" t="str">
        <f>VLOOKUP(C297,[3]report!$A$2:$R$406,3,FALSE)</f>
        <v>M. LUKMAN HAKIM</v>
      </c>
      <c r="E297" s="7">
        <f>VLOOKUP(C297,[3]report!$A$2:$R$406,4,FALSE)</f>
        <v>87127603</v>
      </c>
      <c r="F297" s="7">
        <f>VLOOKUP(C297,[3]report!$A$2:$R$406,5,FALSE)</f>
        <v>4120177103</v>
      </c>
      <c r="G297" s="12" t="str">
        <f>VLOOKUP(C297,[3]report!$A$2:$R$406,8,FALSE)</f>
        <v>Kota Makassar - Kab. Brebes - Kab. Banyumas - Kab. Cilacap</v>
      </c>
      <c r="H297" s="12" t="str">
        <f>VLOOKUP(C297,[3]report!$A$2:$R$406,9,FALSE)</f>
        <v>10/08/2025 - 16/08/2025</v>
      </c>
      <c r="I297" s="13">
        <f>VLOOKUP(C297,[3]report!$A$2:$R$406,17,FALSE)</f>
        <v>600000</v>
      </c>
    </row>
    <row r="298" spans="2:9" x14ac:dyDescent="0.25">
      <c r="B298" s="7">
        <v>293</v>
      </c>
      <c r="C298" s="16">
        <v>1276246818</v>
      </c>
      <c r="D298" s="12" t="str">
        <f>VLOOKUP(C298,[3]report!$A$2:$R$406,3,FALSE)</f>
        <v>APRIANTO ROMBEPAYUNG</v>
      </c>
      <c r="E298" s="7">
        <f>VLOOKUP(C298,[3]report!$A$2:$R$406,4,FALSE)</f>
        <v>92148010</v>
      </c>
      <c r="F298" s="7">
        <f>VLOOKUP(C298,[3]report!$A$2:$R$406,5,FALSE)</f>
        <v>4120177109</v>
      </c>
      <c r="G298" s="12" t="str">
        <f>VLOOKUP(C298,[3]report!$A$2:$R$406,8,FALSE)</f>
        <v>Kota Makassar - Kab. Mamuju</v>
      </c>
      <c r="H298" s="12" t="str">
        <f>VLOOKUP(C298,[3]report!$A$2:$R$406,9,FALSE)</f>
        <v>11/08/2025 - 14/08/2025</v>
      </c>
      <c r="I298" s="13">
        <f>VLOOKUP(C298,[3]report!$A$2:$R$406,17,FALSE)</f>
        <v>715683</v>
      </c>
    </row>
    <row r="299" spans="2:9" x14ac:dyDescent="0.25">
      <c r="B299" s="7">
        <v>294</v>
      </c>
      <c r="C299" s="16">
        <v>1276213348</v>
      </c>
      <c r="D299" s="12" t="str">
        <f>VLOOKUP(C299,[3]report!$A$2:$R$406,3,FALSE)</f>
        <v>M. LUKMAN HAKIM</v>
      </c>
      <c r="E299" s="7">
        <f>VLOOKUP(C299,[3]report!$A$2:$R$406,4,FALSE)</f>
        <v>87127603</v>
      </c>
      <c r="F299" s="7">
        <f>VLOOKUP(C299,[3]report!$A$2:$R$406,5,FALSE)</f>
        <v>4120177103</v>
      </c>
      <c r="G299" s="12" t="str">
        <f>VLOOKUP(C299,[3]report!$A$2:$R$406,8,FALSE)</f>
        <v>Kota Makassar - Kab. Brebes - Kab. Banyumas - Kab. Cilacap</v>
      </c>
      <c r="H299" s="12" t="str">
        <f>VLOOKUP(C299,[3]report!$A$2:$R$406,9,FALSE)</f>
        <v>10/08/2025 - 16/08/2025</v>
      </c>
      <c r="I299" s="13">
        <f>VLOOKUP(C299,[3]report!$A$2:$R$406,17,FALSE)</f>
        <v>738000</v>
      </c>
    </row>
    <row r="300" spans="2:9" x14ac:dyDescent="0.25">
      <c r="B300" s="7">
        <v>295</v>
      </c>
      <c r="C300" s="16">
        <v>1276122601</v>
      </c>
      <c r="D300" s="12" t="str">
        <f>VLOOKUP(C300,[3]report!$A$2:$R$406,3,FALSE)</f>
        <v>LUKMAN HALIS JALIL</v>
      </c>
      <c r="E300" s="7">
        <f>VLOOKUP(C300,[3]report!$A$2:$R$406,4,FALSE)</f>
        <v>90167613</v>
      </c>
      <c r="F300" s="7">
        <f>VLOOKUP(C300,[3]report!$A$2:$R$406,5,FALSE)</f>
        <v>4120177053</v>
      </c>
      <c r="G300" s="12" t="str">
        <f>VLOOKUP(C300,[3]report!$A$2:$R$406,8,FALSE)</f>
        <v>Kota Baubau - Kota Makassar</v>
      </c>
      <c r="H300" s="12" t="str">
        <f>VLOOKUP(C300,[3]report!$A$2:$R$406,9,FALSE)</f>
        <v>14/08/2025 - 16/08/2025</v>
      </c>
      <c r="I300" s="13">
        <f>VLOOKUP(C300,[3]report!$A$2:$R$406,17,FALSE)</f>
        <v>744200</v>
      </c>
    </row>
    <row r="301" spans="2:9" x14ac:dyDescent="0.25">
      <c r="B301" s="7">
        <v>296</v>
      </c>
      <c r="C301" s="16">
        <v>1276185352</v>
      </c>
      <c r="D301" s="12" t="str">
        <f>VLOOKUP(C301,[3]report!$A$2:$R$406,3,FALSE)</f>
        <v xml:space="preserve">MIRSAN </v>
      </c>
      <c r="E301" s="7">
        <f>VLOOKUP(C301,[3]report!$A$2:$R$406,4,FALSE)</f>
        <v>84087802</v>
      </c>
      <c r="F301" s="7">
        <f>VLOOKUP(C301,[3]report!$A$2:$R$406,5,FALSE)</f>
        <v>4120177107</v>
      </c>
      <c r="G301" s="12" t="str">
        <f>VLOOKUP(C301,[3]report!$A$2:$R$406,8,FALSE)</f>
        <v>Kota Makassar - Jakarta Selatan</v>
      </c>
      <c r="H301" s="12" t="str">
        <f>VLOOKUP(C301,[3]report!$A$2:$R$406,9,FALSE)</f>
        <v>11/08/2025 - 12/08/2025</v>
      </c>
      <c r="I301" s="13">
        <f>VLOOKUP(C301,[3]report!$A$2:$R$406,17,FALSE)</f>
        <v>1425600</v>
      </c>
    </row>
    <row r="302" spans="2:9" x14ac:dyDescent="0.25">
      <c r="B302" s="7">
        <v>297</v>
      </c>
      <c r="C302" s="16">
        <v>1276236072</v>
      </c>
      <c r="D302" s="12" t="str">
        <f>VLOOKUP(C302,[3]report!$A$2:$R$406,3,FALSE)</f>
        <v xml:space="preserve">RIZALDI </v>
      </c>
      <c r="E302" s="7">
        <f>VLOOKUP(C302,[3]report!$A$2:$R$406,4,FALSE)</f>
        <v>98187619</v>
      </c>
      <c r="F302" s="7">
        <f>VLOOKUP(C302,[3]report!$A$2:$R$406,5,FALSE)</f>
        <v>4120177122</v>
      </c>
      <c r="G302" s="12" t="str">
        <f>VLOOKUP(C302,[3]report!$A$2:$R$406,8,FALSE)</f>
        <v>Kab. Mamuju - Kota Makassar</v>
      </c>
      <c r="H302" s="12" t="str">
        <f>VLOOKUP(C302,[3]report!$A$2:$R$406,9,FALSE)</f>
        <v>12/08/2025 - 15/08/2025</v>
      </c>
      <c r="I302" s="13">
        <f>VLOOKUP(C302,[3]report!$A$2:$R$406,17,FALSE)</f>
        <v>2170740</v>
      </c>
    </row>
    <row r="303" spans="2:9" x14ac:dyDescent="0.25">
      <c r="B303" s="7">
        <v>298</v>
      </c>
      <c r="C303" s="16">
        <v>1276212308</v>
      </c>
      <c r="D303" s="12" t="str">
        <f>VLOOKUP(C303,[3]report!$A$2:$R$406,3,FALSE)</f>
        <v xml:space="preserve">NASRUN </v>
      </c>
      <c r="E303" s="7">
        <f>VLOOKUP(C303,[3]report!$A$2:$R$406,4,FALSE)</f>
        <v>70907603</v>
      </c>
      <c r="F303" s="7">
        <f>VLOOKUP(C303,[3]report!$A$2:$R$406,5,FALSE)</f>
        <v>4120177118</v>
      </c>
      <c r="G303" s="12" t="str">
        <f>VLOOKUP(C303,[3]report!$A$2:$R$406,8,FALSE)</f>
        <v>Kota Makassar - Kab. Mamuju</v>
      </c>
      <c r="H303" s="12" t="str">
        <f>VLOOKUP(C303,[3]report!$A$2:$R$406,9,FALSE)</f>
        <v>11/08/2025 - 14/08/2025</v>
      </c>
      <c r="I303" s="13">
        <f>VLOOKUP(C303,[3]report!$A$2:$R$406,17,FALSE)</f>
        <v>2707500</v>
      </c>
    </row>
    <row r="304" spans="2:9" x14ac:dyDescent="0.25">
      <c r="B304" s="7">
        <v>299</v>
      </c>
      <c r="C304" s="16">
        <v>1276321823</v>
      </c>
      <c r="D304" s="12" t="str">
        <f>VLOOKUP(C304,[3]report!$A$2:$R$406,3,FALSE)</f>
        <v>APRIANTO ROMBEPAYUNG</v>
      </c>
      <c r="E304" s="7">
        <f>VLOOKUP(C304,[3]report!$A$2:$R$406,4,FALSE)</f>
        <v>92148010</v>
      </c>
      <c r="F304" s="7">
        <f>VLOOKUP(C304,[3]report!$A$2:$R$406,5,FALSE)</f>
        <v>4120177109</v>
      </c>
      <c r="G304" s="12" t="str">
        <f>VLOOKUP(C304,[3]report!$A$2:$R$406,8,FALSE)</f>
        <v>Kota Makassar - Kab. Mamuju</v>
      </c>
      <c r="H304" s="12" t="str">
        <f>VLOOKUP(C304,[3]report!$A$2:$R$406,9,FALSE)</f>
        <v>11/08/2025 - 14/08/2025</v>
      </c>
      <c r="I304" s="13">
        <f>VLOOKUP(C304,[3]report!$A$2:$R$406,17,FALSE)</f>
        <v>715683</v>
      </c>
    </row>
    <row r="305" spans="2:9" x14ac:dyDescent="0.25">
      <c r="B305" s="7">
        <v>300</v>
      </c>
      <c r="C305" s="16">
        <v>1276304141</v>
      </c>
      <c r="D305" s="12" t="str">
        <f>VLOOKUP(C305,[3]report!$A$2:$R$406,3,FALSE)</f>
        <v>IKHWANUL AKBAR AS'AD</v>
      </c>
      <c r="E305" s="7">
        <f>VLOOKUP(C305,[3]report!$A$2:$R$406,4,FALSE)</f>
        <v>89087621</v>
      </c>
      <c r="F305" s="7">
        <f>VLOOKUP(C305,[3]report!$A$2:$R$406,5,FALSE)</f>
        <v>4120177133</v>
      </c>
      <c r="G305" s="12" t="str">
        <f>VLOOKUP(C305,[3]report!$A$2:$R$406,8,FALSE)</f>
        <v>Kota Baubau - Kota Makassar</v>
      </c>
      <c r="H305" s="12" t="str">
        <f>VLOOKUP(C305,[3]report!$A$2:$R$406,9,FALSE)</f>
        <v>12/08/2025 - 15/08/2025</v>
      </c>
      <c r="I305" s="13">
        <f>VLOOKUP(C305,[3]report!$A$2:$R$406,17,FALSE)</f>
        <v>744200</v>
      </c>
    </row>
    <row r="306" spans="2:9" x14ac:dyDescent="0.25">
      <c r="B306" s="7">
        <v>301</v>
      </c>
      <c r="C306" s="16">
        <v>1276316180</v>
      </c>
      <c r="D306" s="12" t="str">
        <f>VLOOKUP(C306,[3]report!$A$2:$R$406,3,FALSE)</f>
        <v>ARDIKA YONATAN WICAKSONO</v>
      </c>
      <c r="E306" s="7">
        <f>VLOOKUP(C306,[3]report!$A$2:$R$406,4,FALSE)</f>
        <v>93196202</v>
      </c>
      <c r="F306" s="7">
        <f>VLOOKUP(C306,[3]report!$A$2:$R$406,5,FALSE)</f>
        <v>4120177135</v>
      </c>
      <c r="G306" s="12" t="str">
        <f>VLOOKUP(C306,[3]report!$A$2:$R$406,8,FALSE)</f>
        <v>Kota Baubau - Kab. Bulukumba</v>
      </c>
      <c r="H306" s="12" t="str">
        <f>VLOOKUP(C306,[3]report!$A$2:$R$406,9,FALSE)</f>
        <v>12/08/2025 - 15/08/2025</v>
      </c>
      <c r="I306" s="13">
        <f>VLOOKUP(C306,[3]report!$A$2:$R$406,17,FALSE)</f>
        <v>744200</v>
      </c>
    </row>
    <row r="307" spans="2:9" x14ac:dyDescent="0.25">
      <c r="B307" s="7">
        <v>302</v>
      </c>
      <c r="C307" s="16">
        <v>1276324364</v>
      </c>
      <c r="D307" s="12" t="str">
        <f>VLOOKUP(C307,[3]report!$A$2:$R$406,3,FALSE)</f>
        <v>MUHAMMAD IQBAAL MS</v>
      </c>
      <c r="E307" s="7">
        <f>VLOOKUP(C307,[3]report!$A$2:$R$406,4,FALSE)</f>
        <v>94177619</v>
      </c>
      <c r="F307" s="7">
        <f>VLOOKUP(C307,[3]report!$A$2:$R$406,5,FALSE)</f>
        <v>4120177136</v>
      </c>
      <c r="G307" s="12" t="str">
        <f>VLOOKUP(C307,[3]report!$A$2:$R$406,8,FALSE)</f>
        <v>Kota Kendari - Kab. Bulukumba</v>
      </c>
      <c r="H307" s="12" t="str">
        <f>VLOOKUP(C307,[3]report!$A$2:$R$406,9,FALSE)</f>
        <v>12/08/2025 - 15/08/2025</v>
      </c>
      <c r="I307" s="13">
        <f>VLOOKUP(C307,[3]report!$A$2:$R$406,17,FALSE)</f>
        <v>775100</v>
      </c>
    </row>
    <row r="308" spans="2:9" x14ac:dyDescent="0.25">
      <c r="B308" s="7">
        <v>303</v>
      </c>
      <c r="C308" s="16">
        <v>1276329850</v>
      </c>
      <c r="D308" s="12" t="str">
        <f>VLOOKUP(C308,[3]report!$A$2:$R$406,3,FALSE)</f>
        <v>MUHAMMAD IQBAAL MS</v>
      </c>
      <c r="E308" s="7">
        <f>VLOOKUP(C308,[3]report!$A$2:$R$406,4,FALSE)</f>
        <v>94177619</v>
      </c>
      <c r="F308" s="7">
        <f>VLOOKUP(C308,[3]report!$A$2:$R$406,5,FALSE)</f>
        <v>4120177136</v>
      </c>
      <c r="G308" s="12" t="str">
        <f>VLOOKUP(C308,[3]report!$A$2:$R$406,8,FALSE)</f>
        <v>Kota Kendari - Kab. Bulukumba</v>
      </c>
      <c r="H308" s="12" t="str">
        <f>VLOOKUP(C308,[3]report!$A$2:$R$406,9,FALSE)</f>
        <v>12/08/2025 - 15/08/2025</v>
      </c>
      <c r="I308" s="13">
        <f>VLOOKUP(C308,[3]report!$A$2:$R$406,17,FALSE)</f>
        <v>844100</v>
      </c>
    </row>
    <row r="309" spans="2:9" x14ac:dyDescent="0.25">
      <c r="B309" s="7">
        <v>304</v>
      </c>
      <c r="C309" s="16">
        <v>1276292839</v>
      </c>
      <c r="D309" s="12" t="str">
        <f>VLOOKUP(C309,[3]report!$A$2:$R$406,3,FALSE)</f>
        <v xml:space="preserve">SUHARWAN </v>
      </c>
      <c r="E309" s="7">
        <f>VLOOKUP(C309,[3]report!$A$2:$R$406,4,FALSE)</f>
        <v>96137672</v>
      </c>
      <c r="F309" s="7">
        <f>VLOOKUP(C309,[3]report!$A$2:$R$406,5,FALSE)</f>
        <v>4120177127</v>
      </c>
      <c r="G309" s="12" t="str">
        <f>VLOOKUP(C309,[3]report!$A$2:$R$406,8,FALSE)</f>
        <v>Kab. Wakatobi - Kota Baubau</v>
      </c>
      <c r="H309" s="12" t="str">
        <f>VLOOKUP(C309,[3]report!$A$2:$R$406,9,FALSE)</f>
        <v>12/08/2025 - 14/08/2025</v>
      </c>
      <c r="I309" s="13">
        <f>VLOOKUP(C309,[3]report!$A$2:$R$406,17,FALSE)</f>
        <v>1514680</v>
      </c>
    </row>
    <row r="310" spans="2:9" x14ac:dyDescent="0.25">
      <c r="B310" s="7">
        <v>305</v>
      </c>
      <c r="C310" s="16">
        <v>1276319583</v>
      </c>
      <c r="D310" s="12" t="str">
        <f>VLOOKUP(C310,[3]report!$A$2:$R$406,3,FALSE)</f>
        <v>ISRAN SUTOYO</v>
      </c>
      <c r="E310" s="7">
        <f>VLOOKUP(C310,[3]report!$A$2:$R$406,4,FALSE)</f>
        <v>90087601</v>
      </c>
      <c r="F310" s="7">
        <f>VLOOKUP(C310,[3]report!$A$2:$R$406,5,FALSE)</f>
        <v>4120177140</v>
      </c>
      <c r="G310" s="12" t="str">
        <f>VLOOKUP(C310,[3]report!$A$2:$R$406,8,FALSE)</f>
        <v>Kota Baubau - Kab. Bulukumba</v>
      </c>
      <c r="H310" s="12" t="str">
        <f>VLOOKUP(C310,[3]report!$A$2:$R$406,9,FALSE)</f>
        <v>12/08/2025 - 15/08/2025</v>
      </c>
      <c r="I310" s="13">
        <f>VLOOKUP(C310,[3]report!$A$2:$R$406,17,FALSE)</f>
        <v>1588300</v>
      </c>
    </row>
    <row r="311" spans="2:9" x14ac:dyDescent="0.25">
      <c r="B311" s="7">
        <v>306</v>
      </c>
      <c r="C311" s="16">
        <v>1276319515</v>
      </c>
      <c r="D311" s="12" t="str">
        <f>VLOOKUP(C311,[3]report!$A$2:$R$406,3,FALSE)</f>
        <v>RICKY TITIN TRIPUTRA</v>
      </c>
      <c r="E311" s="7">
        <f>VLOOKUP(C311,[3]report!$A$2:$R$406,4,FALSE)</f>
        <v>91157612</v>
      </c>
      <c r="F311" s="7">
        <f>VLOOKUP(C311,[3]report!$A$2:$R$406,5,FALSE)</f>
        <v>4120177126</v>
      </c>
      <c r="G311" s="12" t="str">
        <f>VLOOKUP(C311,[3]report!$A$2:$R$406,8,FALSE)</f>
        <v>Kab. Wakatobi - Kota Baubau</v>
      </c>
      <c r="H311" s="12" t="str">
        <f>VLOOKUP(C311,[3]report!$A$2:$R$406,9,FALSE)</f>
        <v>12/08/2025 - 14/08/2025</v>
      </c>
      <c r="I311" s="13">
        <f>VLOOKUP(C311,[3]report!$A$2:$R$406,17,FALSE)</f>
        <v>1640300</v>
      </c>
    </row>
    <row r="312" spans="2:9" x14ac:dyDescent="0.25">
      <c r="B312" s="7">
        <v>307</v>
      </c>
      <c r="C312" s="16">
        <v>1276460219</v>
      </c>
      <c r="D312" s="12" t="str">
        <f>VLOOKUP(C312,[3]report!$A$2:$R$406,3,FALSE)</f>
        <v>BASO NURAHMAN</v>
      </c>
      <c r="E312" s="7">
        <f>VLOOKUP(C312,[3]report!$A$2:$R$406,4,FALSE)</f>
        <v>72937611</v>
      </c>
      <c r="F312" s="7">
        <f>VLOOKUP(C312,[3]report!$A$2:$R$406,5,FALSE)</f>
        <v>4120177158</v>
      </c>
      <c r="G312" s="12" t="str">
        <f>VLOOKUP(C312,[3]report!$A$2:$R$406,8,FALSE)</f>
        <v>Kota Makassar - Jakarta Selatan</v>
      </c>
      <c r="H312" s="12" t="str">
        <f>VLOOKUP(C312,[3]report!$A$2:$R$406,9,FALSE)</f>
        <v>13/08/2025 - 14/08/2025</v>
      </c>
      <c r="I312" s="13">
        <f>VLOOKUP(C312,[3]report!$A$2:$R$406,17,FALSE)</f>
        <v>724680</v>
      </c>
    </row>
    <row r="313" spans="2:9" x14ac:dyDescent="0.25">
      <c r="B313" s="7">
        <v>308</v>
      </c>
      <c r="C313" s="16">
        <v>1276470045</v>
      </c>
      <c r="D313" s="12" t="str">
        <f>VLOOKUP(C313,[3]report!$A$2:$R$406,3,FALSE)</f>
        <v>YUSUF TRIADI</v>
      </c>
      <c r="E313" s="7">
        <f>VLOOKUP(C313,[3]report!$A$2:$R$406,4,FALSE)</f>
        <v>86108001</v>
      </c>
      <c r="F313" s="7">
        <f>VLOOKUP(C313,[3]report!$A$2:$R$406,5,FALSE)</f>
        <v>4120177095</v>
      </c>
      <c r="G313" s="12" t="str">
        <f>VLOOKUP(C313,[3]report!$A$2:$R$406,8,FALSE)</f>
        <v>Kota Makassar - Jakarta Pusat</v>
      </c>
      <c r="H313" s="12" t="str">
        <f>VLOOKUP(C313,[3]report!$A$2:$R$406,9,FALSE)</f>
        <v>11/08/2025 - 14/08/2025</v>
      </c>
      <c r="I313" s="13">
        <f>VLOOKUP(C313,[3]report!$A$2:$R$406,17,FALSE)</f>
        <v>892296</v>
      </c>
    </row>
    <row r="314" spans="2:9" x14ac:dyDescent="0.25">
      <c r="B314" s="7">
        <v>309</v>
      </c>
      <c r="C314" s="16">
        <v>1276352750</v>
      </c>
      <c r="D314" s="12" t="str">
        <f>VLOOKUP(C314,[3]report!$A$2:$R$406,3,FALSE)</f>
        <v>AKBAR KHASHEMI HAMZAH</v>
      </c>
      <c r="E314" s="7">
        <f>VLOOKUP(C314,[3]report!$A$2:$R$406,4,FALSE)</f>
        <v>89145602</v>
      </c>
      <c r="F314" s="7">
        <f>VLOOKUP(C314,[3]report!$A$2:$R$406,5,FALSE)</f>
        <v>4120177018</v>
      </c>
      <c r="G314" s="12" t="str">
        <f>VLOOKUP(C314,[3]report!$A$2:$R$406,8,FALSE)</f>
        <v>KotaMakassar-KotaSurabaya</v>
      </c>
      <c r="H314" s="12" t="str">
        <f>VLOOKUP(C314,[3]report!$A$2:$R$406,9,FALSE)</f>
        <v>10/08/2025 - 14/08/2025</v>
      </c>
      <c r="I314" s="13">
        <f>VLOOKUP(C314,[3]report!$A$2:$R$406,17,FALSE)</f>
        <v>1065100</v>
      </c>
    </row>
    <row r="315" spans="2:9" x14ac:dyDescent="0.25">
      <c r="B315" s="7">
        <v>310</v>
      </c>
      <c r="C315" s="16">
        <v>1276459423</v>
      </c>
      <c r="D315" s="12" t="str">
        <f>VLOOKUP(C315,[3]report!$A$2:$R$406,3,FALSE)</f>
        <v xml:space="preserve">ARMAN </v>
      </c>
      <c r="E315" s="7">
        <f>VLOOKUP(C315,[3]report!$A$2:$R$406,4,FALSE)</f>
        <v>74937601</v>
      </c>
      <c r="F315" s="7">
        <f>VLOOKUP(C315,[3]report!$A$2:$R$406,5,FALSE)</f>
        <v>4120177148</v>
      </c>
      <c r="G315" s="12" t="str">
        <f>VLOOKUP(C315,[3]report!$A$2:$R$406,8,FALSE)</f>
        <v>Kota Makassar - Jakarta Selatan</v>
      </c>
      <c r="H315" s="12" t="str">
        <f>VLOOKUP(C315,[3]report!$A$2:$R$406,9,FALSE)</f>
        <v>13/08/2025 - 15/08/2025</v>
      </c>
      <c r="I315" s="13">
        <f>VLOOKUP(C315,[3]report!$A$2:$R$406,17,FALSE)</f>
        <v>1284000</v>
      </c>
    </row>
    <row r="316" spans="2:9" x14ac:dyDescent="0.25">
      <c r="B316" s="7">
        <v>311</v>
      </c>
      <c r="C316" s="16">
        <v>1276449207</v>
      </c>
      <c r="D316" s="12" t="str">
        <f>VLOOKUP(C316,[3]report!$A$2:$R$406,3,FALSE)</f>
        <v>ISKANDAR AZHAR</v>
      </c>
      <c r="E316" s="7">
        <f>VLOOKUP(C316,[3]report!$A$2:$R$406,4,FALSE)</f>
        <v>88097609</v>
      </c>
      <c r="F316" s="7">
        <f>VLOOKUP(C316,[3]report!$A$2:$R$406,5,FALSE)</f>
        <v>4120177104</v>
      </c>
      <c r="G316" s="12" t="str">
        <f>VLOOKUP(C316,[3]report!$A$2:$R$406,8,FALSE)</f>
        <v>Kota Makassar - Kab. Kolaka</v>
      </c>
      <c r="H316" s="12" t="str">
        <f>VLOOKUP(C316,[3]report!$A$2:$R$406,9,FALSE)</f>
        <v>11/08/2025 - 14/08/2025</v>
      </c>
      <c r="I316" s="13">
        <f>VLOOKUP(C316,[3]report!$A$2:$R$406,17,FALSE)</f>
        <v>1315800</v>
      </c>
    </row>
    <row r="317" spans="2:9" x14ac:dyDescent="0.25">
      <c r="B317" s="7">
        <v>312</v>
      </c>
      <c r="C317" s="16">
        <v>1276416233</v>
      </c>
      <c r="D317" s="12" t="str">
        <f>VLOOKUP(C317,[3]report!$A$2:$R$406,3,FALSE)</f>
        <v>ISWANTO HAKIM</v>
      </c>
      <c r="E317" s="7">
        <f>VLOOKUP(C317,[3]report!$A$2:$R$406,4,FALSE)</f>
        <v>90117611</v>
      </c>
      <c r="F317" s="7">
        <f>VLOOKUP(C317,[3]report!$A$2:$R$406,5,FALSE)</f>
        <v>4120177130</v>
      </c>
      <c r="G317" s="12" t="str">
        <f>VLOOKUP(C317,[3]report!$A$2:$R$406,8,FALSE)</f>
        <v>Kab. Muna - Kota Baubau</v>
      </c>
      <c r="H317" s="12" t="str">
        <f>VLOOKUP(C317,[3]report!$A$2:$R$406,9,FALSE)</f>
        <v>12/08/2025 - 14/08/2025</v>
      </c>
      <c r="I317" s="13">
        <f>VLOOKUP(C317,[3]report!$A$2:$R$406,17,FALSE)</f>
        <v>1386300</v>
      </c>
    </row>
    <row r="318" spans="2:9" x14ac:dyDescent="0.25">
      <c r="B318" s="7">
        <v>313</v>
      </c>
      <c r="C318" s="16">
        <v>1276441941</v>
      </c>
      <c r="D318" s="12" t="str">
        <f>VLOOKUP(C318,[3]report!$A$2:$R$406,3,FALSE)</f>
        <v>EKO HANGGORO WICAKSONO</v>
      </c>
      <c r="E318" s="7">
        <f>VLOOKUP(C318,[3]report!$A$2:$R$406,4,FALSE)</f>
        <v>84067601</v>
      </c>
      <c r="F318" s="7">
        <f>VLOOKUP(C318,[3]report!$A$2:$R$406,5,FALSE)</f>
        <v>4120177149</v>
      </c>
      <c r="G318" s="12" t="str">
        <f>VLOOKUP(C318,[3]report!$A$2:$R$406,8,FALSE)</f>
        <v>Kota Makassar - Jakarta Pusat</v>
      </c>
      <c r="H318" s="12" t="str">
        <f>VLOOKUP(C318,[3]report!$A$2:$R$406,9,FALSE)</f>
        <v>13/08/2025 - 15/08/2025</v>
      </c>
      <c r="I318" s="13">
        <f>VLOOKUP(C318,[3]report!$A$2:$R$406,17,FALSE)</f>
        <v>1632558</v>
      </c>
    </row>
    <row r="319" spans="2:9" x14ac:dyDescent="0.25">
      <c r="B319" s="7">
        <v>314</v>
      </c>
      <c r="C319" s="16">
        <v>1276407266</v>
      </c>
      <c r="D319" s="12" t="str">
        <f>VLOOKUP(C319,[3]report!$A$2:$R$406,3,FALSE)</f>
        <v>RIAN PAMBUDHI</v>
      </c>
      <c r="E319" s="7">
        <f>VLOOKUP(C319,[3]report!$A$2:$R$406,4,FALSE)</f>
        <v>93197608</v>
      </c>
      <c r="F319" s="7">
        <f>VLOOKUP(C319,[3]report!$A$2:$R$406,5,FALSE)</f>
        <v>4120177132</v>
      </c>
      <c r="G319" s="12" t="str">
        <f>VLOOKUP(C319,[3]report!$A$2:$R$406,8,FALSE)</f>
        <v>Kab. Muna - Kota Baubau</v>
      </c>
      <c r="H319" s="12" t="str">
        <f>VLOOKUP(C319,[3]report!$A$2:$R$406,9,FALSE)</f>
        <v>12/08/2025 - 14/08/2025</v>
      </c>
      <c r="I319" s="13">
        <f>VLOOKUP(C319,[3]report!$A$2:$R$406,17,FALSE)</f>
        <v>1640300</v>
      </c>
    </row>
    <row r="320" spans="2:9" x14ac:dyDescent="0.25">
      <c r="B320" s="7">
        <v>315</v>
      </c>
      <c r="C320" s="16">
        <v>1276446116</v>
      </c>
      <c r="D320" s="12" t="str">
        <f>VLOOKUP(C320,[3]report!$A$2:$R$406,3,FALSE)</f>
        <v xml:space="preserve">LALLA </v>
      </c>
      <c r="E320" s="7">
        <f>VLOOKUP(C320,[3]report!$A$2:$R$406,4,FALSE)</f>
        <v>72937616</v>
      </c>
      <c r="F320" s="7">
        <f>VLOOKUP(C320,[3]report!$A$2:$R$406,5,FALSE)</f>
        <v>4120177155</v>
      </c>
      <c r="G320" s="12" t="str">
        <f>VLOOKUP(C320,[3]report!$A$2:$R$406,8,FALSE)</f>
        <v>Kota Makassar - Jakarta Selatan</v>
      </c>
      <c r="H320" s="12" t="str">
        <f>VLOOKUP(C320,[3]report!$A$2:$R$406,9,FALSE)</f>
        <v>13/08/2025 - 15/08/2025</v>
      </c>
      <c r="I320" s="13">
        <f>VLOOKUP(C320,[3]report!$A$2:$R$406,17,FALSE)</f>
        <v>1837700</v>
      </c>
    </row>
    <row r="321" spans="2:9" x14ac:dyDescent="0.25">
      <c r="B321" s="7">
        <v>316</v>
      </c>
      <c r="C321" s="16">
        <v>1276441687</v>
      </c>
      <c r="D321" s="12" t="str">
        <f>VLOOKUP(C321,[3]report!$A$2:$R$406,3,FALSE)</f>
        <v xml:space="preserve">LALLA </v>
      </c>
      <c r="E321" s="7">
        <f>VLOOKUP(C321,[3]report!$A$2:$R$406,4,FALSE)</f>
        <v>72937616</v>
      </c>
      <c r="F321" s="7">
        <f>VLOOKUP(C321,[3]report!$A$2:$R$406,5,FALSE)</f>
        <v>4120177155</v>
      </c>
      <c r="G321" s="12" t="str">
        <f>VLOOKUP(C321,[3]report!$A$2:$R$406,8,FALSE)</f>
        <v>Kota Makassar - Jakarta Selatan</v>
      </c>
      <c r="H321" s="12" t="str">
        <f>VLOOKUP(C321,[3]report!$A$2:$R$406,9,FALSE)</f>
        <v>13/08/2025 - 15/08/2025</v>
      </c>
      <c r="I321" s="13">
        <f>VLOOKUP(C321,[3]report!$A$2:$R$406,17,FALSE)</f>
        <v>1840300</v>
      </c>
    </row>
    <row r="322" spans="2:9" x14ac:dyDescent="0.25">
      <c r="B322" s="7">
        <v>317</v>
      </c>
      <c r="C322" s="16">
        <v>1276457758</v>
      </c>
      <c r="D322" s="12" t="str">
        <f>VLOOKUP(C322,[3]report!$A$2:$R$406,3,FALSE)</f>
        <v>BASO NURAHMAN</v>
      </c>
      <c r="E322" s="7">
        <f>VLOOKUP(C322,[3]report!$A$2:$R$406,4,FALSE)</f>
        <v>72937611</v>
      </c>
      <c r="F322" s="7">
        <f>VLOOKUP(C322,[3]report!$A$2:$R$406,5,FALSE)</f>
        <v>4120177158</v>
      </c>
      <c r="G322" s="12" t="str">
        <f>VLOOKUP(C322,[3]report!$A$2:$R$406,8,FALSE)</f>
        <v>Kota Makassar - Jakarta Selatan</v>
      </c>
      <c r="H322" s="12" t="str">
        <f>VLOOKUP(C322,[3]report!$A$2:$R$406,9,FALSE)</f>
        <v>13/08/2025 - 14/08/2025</v>
      </c>
      <c r="I322" s="13">
        <f>VLOOKUP(C322,[3]report!$A$2:$R$406,17,FALSE)</f>
        <v>1840300</v>
      </c>
    </row>
    <row r="323" spans="2:9" x14ac:dyDescent="0.25">
      <c r="B323" s="7">
        <v>318</v>
      </c>
      <c r="C323" s="16">
        <v>1276498445</v>
      </c>
      <c r="D323" s="12" t="str">
        <f>VLOOKUP(C323,[3]report!$A$2:$R$406,3,FALSE)</f>
        <v>HESFIALWAN B</v>
      </c>
      <c r="E323" s="7">
        <f>VLOOKUP(C323,[3]report!$A$2:$R$406,4,FALSE)</f>
        <v>89087601</v>
      </c>
      <c r="F323" s="7">
        <f>VLOOKUP(C323,[3]report!$A$2:$R$406,5,FALSE)</f>
        <v>4120177156</v>
      </c>
      <c r="G323" s="12" t="str">
        <f>VLOOKUP(C323,[3]report!$A$2:$R$406,8,FALSE)</f>
        <v>Kota Mataram - Kota Mataram</v>
      </c>
      <c r="H323" s="12" t="str">
        <f>VLOOKUP(C323,[3]report!$A$2:$R$406,9,FALSE)</f>
        <v>13/08/2025 - 16/08/2025</v>
      </c>
      <c r="I323" s="13">
        <f>VLOOKUP(C323,[3]report!$A$2:$R$406,17,FALSE)</f>
        <v>1964000</v>
      </c>
    </row>
    <row r="324" spans="2:9" x14ac:dyDescent="0.25">
      <c r="B324" s="7">
        <v>319</v>
      </c>
      <c r="C324" s="16">
        <v>1276499369</v>
      </c>
      <c r="D324" s="12" t="str">
        <f>VLOOKUP(C324,[3]report!$A$2:$R$406,3,FALSE)</f>
        <v>RACHMAT RAMLI</v>
      </c>
      <c r="E324" s="7">
        <f>VLOOKUP(C324,[3]report!$A$2:$R$406,4,FALSE)</f>
        <v>89160002</v>
      </c>
      <c r="F324" s="7">
        <f>VLOOKUP(C324,[3]report!$A$2:$R$406,5,FALSE)</f>
        <v>4120177146</v>
      </c>
      <c r="G324" s="12" t="str">
        <f>VLOOKUP(C324,[3]report!$A$2:$R$406,8,FALSE)</f>
        <v>Kota Makassar - Kota Mataram</v>
      </c>
      <c r="H324" s="12" t="str">
        <f>VLOOKUP(C324,[3]report!$A$2:$R$406,9,FALSE)</f>
        <v>13/08/2025 - 16/08/2025</v>
      </c>
      <c r="I324" s="13">
        <f>VLOOKUP(C324,[3]report!$A$2:$R$406,17,FALSE)</f>
        <v>1964000</v>
      </c>
    </row>
    <row r="325" spans="2:9" x14ac:dyDescent="0.25">
      <c r="B325" s="7">
        <v>320</v>
      </c>
      <c r="C325" s="16">
        <v>1276487623</v>
      </c>
      <c r="D325" s="12" t="str">
        <f>VLOOKUP(C325,[3]report!$A$2:$R$406,3,FALSE)</f>
        <v>YOGA YUNIAR B M</v>
      </c>
      <c r="E325" s="7">
        <f>VLOOKUP(C325,[3]report!$A$2:$R$406,4,FALSE)</f>
        <v>96196205</v>
      </c>
      <c r="F325" s="7">
        <f>VLOOKUP(C325,[3]report!$A$2:$R$406,5,FALSE)</f>
        <v>4120177144</v>
      </c>
      <c r="G325" s="12" t="str">
        <f>VLOOKUP(C325,[3]report!$A$2:$R$406,8,FALSE)</f>
        <v>Kab. Pinrang - Jakarta Selatan</v>
      </c>
      <c r="H325" s="12" t="str">
        <f>VLOOKUP(C325,[3]report!$A$2:$R$406,9,FALSE)</f>
        <v>13/08/2025 - 15/08/2025</v>
      </c>
      <c r="I325" s="13">
        <f>VLOOKUP(C325,[3]report!$A$2:$R$406,17,FALSE)</f>
        <v>2351400</v>
      </c>
    </row>
    <row r="326" spans="2:9" x14ac:dyDescent="0.25">
      <c r="B326" s="7">
        <v>321</v>
      </c>
      <c r="C326" s="16">
        <v>1276498801</v>
      </c>
      <c r="D326" s="12" t="str">
        <f>VLOOKUP(C326,[3]report!$A$2:$R$406,3,FALSE)</f>
        <v>MUHAMMAD YUSRA YUSUF</v>
      </c>
      <c r="E326" s="7">
        <f>VLOOKUP(C326,[3]report!$A$2:$R$406,4,FALSE)</f>
        <v>90117620</v>
      </c>
      <c r="F326" s="7">
        <f>VLOOKUP(C326,[3]report!$A$2:$R$406,5,FALSE)</f>
        <v>4120177147</v>
      </c>
      <c r="G326" s="12" t="str">
        <f>VLOOKUP(C326,[3]report!$A$2:$R$406,8,FALSE)</f>
        <v>Kab. Mamuju - Kota Makassar</v>
      </c>
      <c r="H326" s="12" t="str">
        <f>VLOOKUP(C326,[3]report!$A$2:$R$406,9,FALSE)</f>
        <v>12/08/2025 - 15/08/2025</v>
      </c>
      <c r="I326" s="13">
        <f>VLOOKUP(C326,[3]report!$A$2:$R$406,17,FALSE)</f>
        <v>2494140</v>
      </c>
    </row>
    <row r="327" spans="2:9" x14ac:dyDescent="0.25">
      <c r="B327" s="7">
        <v>322</v>
      </c>
      <c r="C327" s="16">
        <v>1276461678</v>
      </c>
      <c r="D327" s="12" t="str">
        <f>VLOOKUP(C327,[3]report!$A$2:$R$406,3,FALSE)</f>
        <v xml:space="preserve">ARMAN </v>
      </c>
      <c r="E327" s="7">
        <f>VLOOKUP(C327,[3]report!$A$2:$R$406,4,FALSE)</f>
        <v>74937601</v>
      </c>
      <c r="F327" s="7">
        <f>VLOOKUP(C327,[3]report!$A$2:$R$406,5,FALSE)</f>
        <v>4120177148</v>
      </c>
      <c r="G327" s="12" t="str">
        <f>VLOOKUP(C327,[3]report!$A$2:$R$406,8,FALSE)</f>
        <v>Kota Makassar - Jakarta Selatan</v>
      </c>
      <c r="H327" s="12" t="str">
        <f>VLOOKUP(C327,[3]report!$A$2:$R$406,9,FALSE)</f>
        <v>13/08/2025 - 15/08/2025</v>
      </c>
      <c r="I327" s="13">
        <f>VLOOKUP(C327,[3]report!$A$2:$R$406,17,FALSE)</f>
        <v>2668000</v>
      </c>
    </row>
    <row r="328" spans="2:9" x14ac:dyDescent="0.25">
      <c r="B328" s="7">
        <v>323</v>
      </c>
      <c r="C328" s="16">
        <v>1276441395</v>
      </c>
      <c r="D328" s="12" t="str">
        <f>VLOOKUP(C328,[3]report!$A$2:$R$406,3,FALSE)</f>
        <v xml:space="preserve">LALLA </v>
      </c>
      <c r="E328" s="7">
        <f>VLOOKUP(C328,[3]report!$A$2:$R$406,4,FALSE)</f>
        <v>72937616</v>
      </c>
      <c r="F328" s="7">
        <f>VLOOKUP(C328,[3]report!$A$2:$R$406,5,FALSE)</f>
        <v>4120177155</v>
      </c>
      <c r="G328" s="12" t="str">
        <f>VLOOKUP(C328,[3]report!$A$2:$R$406,8,FALSE)</f>
        <v>Kota Makassar - Jakarta Selatan</v>
      </c>
      <c r="H328" s="12" t="str">
        <f>VLOOKUP(C328,[3]report!$A$2:$R$406,9,FALSE)</f>
        <v>13/08/2025 - 15/08/2025</v>
      </c>
      <c r="I328" s="13">
        <f>VLOOKUP(C328,[3]report!$A$2:$R$406,17,FALSE)</f>
        <v>2668000</v>
      </c>
    </row>
    <row r="329" spans="2:9" x14ac:dyDescent="0.25">
      <c r="B329" s="7">
        <v>324</v>
      </c>
      <c r="C329" s="16">
        <v>1276437849</v>
      </c>
      <c r="D329" s="12" t="str">
        <f>VLOOKUP(C329,[3]report!$A$2:$R$406,3,FALSE)</f>
        <v>EKO HANGGORO WICAKSONO</v>
      </c>
      <c r="E329" s="7">
        <f>VLOOKUP(C329,[3]report!$A$2:$R$406,4,FALSE)</f>
        <v>84067601</v>
      </c>
      <c r="F329" s="7">
        <f>VLOOKUP(C329,[3]report!$A$2:$R$406,5,FALSE)</f>
        <v>4120177149</v>
      </c>
      <c r="G329" s="12" t="str">
        <f>VLOOKUP(C329,[3]report!$A$2:$R$406,8,FALSE)</f>
        <v>Kota Makassar - Jakarta Pusat</v>
      </c>
      <c r="H329" s="12" t="str">
        <f>VLOOKUP(C329,[3]report!$A$2:$R$406,9,FALSE)</f>
        <v>13/08/2025 - 15/08/2025</v>
      </c>
      <c r="I329" s="13">
        <f>VLOOKUP(C329,[3]report!$A$2:$R$406,17,FALSE)</f>
        <v>3210000</v>
      </c>
    </row>
    <row r="330" spans="2:9" x14ac:dyDescent="0.25">
      <c r="B330" s="7">
        <v>325</v>
      </c>
      <c r="C330" s="16">
        <v>1276533962</v>
      </c>
      <c r="D330" s="12" t="str">
        <f>VLOOKUP(C330,[3]report!$A$2:$R$406,3,FALSE)</f>
        <v>MOH BAYU AJI SAMUDRO</v>
      </c>
      <c r="E330" s="7">
        <f>VLOOKUP(C330,[3]report!$A$2:$R$406,4,FALSE)</f>
        <v>97207604</v>
      </c>
      <c r="F330" s="7">
        <f>VLOOKUP(C330,[3]report!$A$2:$R$406,5,FALSE)</f>
        <v>4120177161</v>
      </c>
      <c r="G330" s="12" t="str">
        <f>VLOOKUP(C330,[3]report!$A$2:$R$406,8,FALSE)</f>
        <v>Kab. Polewali Mandar - Kab. Mamuju</v>
      </c>
      <c r="H330" s="12" t="str">
        <f>VLOOKUP(C330,[3]report!$A$2:$R$406,9,FALSE)</f>
        <v>12/08/2025 - 15/08/2025</v>
      </c>
      <c r="I330" s="13">
        <f>VLOOKUP(C330,[3]report!$A$2:$R$406,17,FALSE)</f>
        <v>345000</v>
      </c>
    </row>
    <row r="331" spans="2:9" x14ac:dyDescent="0.25">
      <c r="B331" s="7">
        <v>326</v>
      </c>
      <c r="C331" s="16">
        <v>1276548323</v>
      </c>
      <c r="D331" s="12" t="str">
        <f>VLOOKUP(C331,[3]report!$A$2:$R$406,3,FALSE)</f>
        <v>M. LUKMAN HAKIM</v>
      </c>
      <c r="E331" s="7">
        <f>VLOOKUP(C331,[3]report!$A$2:$R$406,4,FALSE)</f>
        <v>87127603</v>
      </c>
      <c r="F331" s="7">
        <f>VLOOKUP(C331,[3]report!$A$2:$R$406,5,FALSE)</f>
        <v>4120177103</v>
      </c>
      <c r="G331" s="12" t="str">
        <f>VLOOKUP(C331,[3]report!$A$2:$R$406,8,FALSE)</f>
        <v>Kota Makassar - Kab. Brebes - Kab. Banyumas - Kab. Cilacap</v>
      </c>
      <c r="H331" s="12" t="str">
        <f>VLOOKUP(C331,[3]report!$A$2:$R$406,9,FALSE)</f>
        <v>10/08/2025 - 16/08/2025</v>
      </c>
      <c r="I331" s="13">
        <f>VLOOKUP(C331,[3]report!$A$2:$R$406,17,FALSE)</f>
        <v>700000</v>
      </c>
    </row>
    <row r="332" spans="2:9" x14ac:dyDescent="0.25">
      <c r="B332" s="7">
        <v>327</v>
      </c>
      <c r="C332" s="16">
        <v>1276544716</v>
      </c>
      <c r="D332" s="12" t="str">
        <f>VLOOKUP(C332,[3]report!$A$2:$R$406,3,FALSE)</f>
        <v>MUJIONO YUNUS</v>
      </c>
      <c r="E332" s="7">
        <f>VLOOKUP(C332,[3]report!$A$2:$R$406,4,FALSE)</f>
        <v>91167606</v>
      </c>
      <c r="F332" s="7">
        <f>VLOOKUP(C332,[3]report!$A$2:$R$406,5,FALSE)</f>
        <v>4120177172</v>
      </c>
      <c r="G332" s="12" t="str">
        <f>VLOOKUP(C332,[3]report!$A$2:$R$406,8,FALSE)</f>
        <v>Kota Palopo - Kota Manado</v>
      </c>
      <c r="H332" s="12" t="str">
        <f>VLOOKUP(C332,[3]report!$A$2:$R$406,9,FALSE)</f>
        <v>13/08/2025 - 16/08/2025</v>
      </c>
      <c r="I332" s="13">
        <f>VLOOKUP(C332,[3]report!$A$2:$R$406,17,FALSE)</f>
        <v>2100000</v>
      </c>
    </row>
    <row r="333" spans="2:9" x14ac:dyDescent="0.25">
      <c r="B333" s="7">
        <v>328</v>
      </c>
      <c r="C333" s="16">
        <v>1276561552</v>
      </c>
      <c r="D333" s="12" t="str">
        <f>VLOOKUP(C333,[3]report!$A$2:$R$406,3,FALSE)</f>
        <v>MUJIONO YUNUS</v>
      </c>
      <c r="E333" s="7">
        <f>VLOOKUP(C333,[3]report!$A$2:$R$406,4,FALSE)</f>
        <v>91167606</v>
      </c>
      <c r="F333" s="7">
        <f>VLOOKUP(C333,[3]report!$A$2:$R$406,5,FALSE)</f>
        <v>4120177172</v>
      </c>
      <c r="G333" s="12" t="str">
        <f>VLOOKUP(C333,[3]report!$A$2:$R$406,8,FALSE)</f>
        <v>Kota Palopo - Kota Manado</v>
      </c>
      <c r="H333" s="12" t="str">
        <f>VLOOKUP(C333,[3]report!$A$2:$R$406,9,FALSE)</f>
        <v>13/08/2025 - 16/08/2025</v>
      </c>
      <c r="I333" s="13">
        <f>VLOOKUP(C333,[3]report!$A$2:$R$406,17,FALSE)</f>
        <v>2922300</v>
      </c>
    </row>
    <row r="334" spans="2:9" x14ac:dyDescent="0.25">
      <c r="B334" s="7">
        <v>329</v>
      </c>
      <c r="C334" s="16">
        <v>1276539742</v>
      </c>
      <c r="D334" s="12" t="str">
        <f>VLOOKUP(C334,[3]report!$A$2:$R$406,3,FALSE)</f>
        <v>MUJIONO YUNUS</v>
      </c>
      <c r="E334" s="7">
        <f>VLOOKUP(C334,[3]report!$A$2:$R$406,4,FALSE)</f>
        <v>91167606</v>
      </c>
      <c r="F334" s="7">
        <f>VLOOKUP(C334,[3]report!$A$2:$R$406,5,FALSE)</f>
        <v>4120177172</v>
      </c>
      <c r="G334" s="12" t="str">
        <f>VLOOKUP(C334,[3]report!$A$2:$R$406,8,FALSE)</f>
        <v>Kota Palopo - Kota Manado</v>
      </c>
      <c r="H334" s="12" t="str">
        <f>VLOOKUP(C334,[3]report!$A$2:$R$406,9,FALSE)</f>
        <v>13/08/2025 - 16/08/2025</v>
      </c>
      <c r="I334" s="13">
        <f>VLOOKUP(C334,[3]report!$A$2:$R$406,17,FALSE)</f>
        <v>2988900</v>
      </c>
    </row>
    <row r="335" spans="2:9" x14ac:dyDescent="0.25">
      <c r="B335" s="7">
        <v>330</v>
      </c>
      <c r="C335" s="16">
        <v>1276649752</v>
      </c>
      <c r="D335" s="12" t="str">
        <f>VLOOKUP(C335,[3]report!$A$2:$R$406,3,FALSE)</f>
        <v>JONI ALEXANDER HEYT SITORUS</v>
      </c>
      <c r="E335" s="7">
        <f>VLOOKUP(C335,[3]report!$A$2:$R$406,4,FALSE)</f>
        <v>83075800</v>
      </c>
      <c r="F335" s="7">
        <f>VLOOKUP(C335,[3]report!$A$2:$R$406,5,FALSE)</f>
        <v>4120177193</v>
      </c>
      <c r="G335" s="12" t="str">
        <f>VLOOKUP(C335,[3]report!$A$2:$R$406,8,FALSE)</f>
        <v>Kota Kendari - Kota Makassar</v>
      </c>
      <c r="H335" s="12" t="str">
        <f>VLOOKUP(C335,[3]report!$A$2:$R$406,9,FALSE)</f>
        <v>13/08/2025 - 15/08/2025</v>
      </c>
      <c r="I335" s="13">
        <f>VLOOKUP(C335,[3]report!$A$2:$R$406,17,FALSE)</f>
        <v>775100</v>
      </c>
    </row>
    <row r="336" spans="2:9" x14ac:dyDescent="0.25">
      <c r="B336" s="7">
        <v>331</v>
      </c>
      <c r="C336" s="16">
        <v>1276767943</v>
      </c>
      <c r="D336" s="12" t="str">
        <f>VLOOKUP(C336,[3]report!$A$2:$R$406,3,FALSE)</f>
        <v>RACHMAT RAMLI</v>
      </c>
      <c r="E336" s="7">
        <f>VLOOKUP(C336,[3]report!$A$2:$R$406,4,FALSE)</f>
        <v>89160002</v>
      </c>
      <c r="F336" s="7">
        <f>VLOOKUP(C336,[3]report!$A$2:$R$406,5,FALSE)</f>
        <v>4120177146</v>
      </c>
      <c r="G336" s="12" t="str">
        <f>VLOOKUP(C336,[3]report!$A$2:$R$406,8,FALSE)</f>
        <v>Kota Makassar - Kota Mataram</v>
      </c>
      <c r="H336" s="12" t="str">
        <f>VLOOKUP(C336,[3]report!$A$2:$R$406,9,FALSE)</f>
        <v>13/08/2025 - 16/08/2025</v>
      </c>
      <c r="I336" s="13">
        <f>VLOOKUP(C336,[3]report!$A$2:$R$406,17,FALSE)</f>
        <v>800000</v>
      </c>
    </row>
    <row r="337" spans="2:9" x14ac:dyDescent="0.25">
      <c r="B337" s="7">
        <v>332</v>
      </c>
      <c r="C337" s="16">
        <v>1276667588</v>
      </c>
      <c r="D337" s="12" t="str">
        <f>VLOOKUP(C337,[3]report!$A$2:$R$406,3,FALSE)</f>
        <v>HADHI BAGUS SETYANTO</v>
      </c>
      <c r="E337" s="7">
        <f>VLOOKUP(C337,[3]report!$A$2:$R$406,4,FALSE)</f>
        <v>87117602</v>
      </c>
      <c r="F337" s="7">
        <f>VLOOKUP(C337,[3]report!$A$2:$R$406,5,FALSE)</f>
        <v>4120177180</v>
      </c>
      <c r="G337" s="12" t="str">
        <f>VLOOKUP(C337,[3]report!$A$2:$R$406,8,FALSE)</f>
        <v>Kota Makassar - Kota Manado</v>
      </c>
      <c r="H337" s="12" t="str">
        <f>VLOOKUP(C337,[3]report!$A$2:$R$406,9,FALSE)</f>
        <v>13/08/2025 - 16/08/2025</v>
      </c>
      <c r="I337" s="13">
        <f>VLOOKUP(C337,[3]report!$A$2:$R$406,17,FALSE)</f>
        <v>900000</v>
      </c>
    </row>
    <row r="338" spans="2:9" x14ac:dyDescent="0.25">
      <c r="B338" s="7">
        <v>333</v>
      </c>
      <c r="C338" s="16">
        <v>1276652497</v>
      </c>
      <c r="D338" s="12" t="str">
        <f>VLOOKUP(C338,[3]report!$A$2:$R$406,3,FALSE)</f>
        <v>JONI ALEXANDER HEYT SITORUS</v>
      </c>
      <c r="E338" s="7">
        <f>VLOOKUP(C338,[3]report!$A$2:$R$406,4,FALSE)</f>
        <v>83075800</v>
      </c>
      <c r="F338" s="7">
        <f>VLOOKUP(C338,[3]report!$A$2:$R$406,5,FALSE)</f>
        <v>4120177193</v>
      </c>
      <c r="G338" s="12" t="str">
        <f>VLOOKUP(C338,[3]report!$A$2:$R$406,8,FALSE)</f>
        <v>Kota Kendari - Kota Makassar</v>
      </c>
      <c r="H338" s="12" t="str">
        <f>VLOOKUP(C338,[3]report!$A$2:$R$406,9,FALSE)</f>
        <v>13/08/2025 - 15/08/2025</v>
      </c>
      <c r="I338" s="13">
        <f>VLOOKUP(C338,[3]report!$A$2:$R$406,17,FALSE)</f>
        <v>1028125</v>
      </c>
    </row>
    <row r="339" spans="2:9" x14ac:dyDescent="0.25">
      <c r="B339" s="7">
        <v>334</v>
      </c>
      <c r="C339" s="16">
        <v>1276652079</v>
      </c>
      <c r="D339" s="12" t="str">
        <f>VLOOKUP(C339,[3]report!$A$2:$R$406,3,FALSE)</f>
        <v>YUSUF TRIADI</v>
      </c>
      <c r="E339" s="7">
        <f>VLOOKUP(C339,[3]report!$A$2:$R$406,4,FALSE)</f>
        <v>86108001</v>
      </c>
      <c r="F339" s="7">
        <f>VLOOKUP(C339,[3]report!$A$2:$R$406,5,FALSE)</f>
        <v>4120177095</v>
      </c>
      <c r="G339" s="12" t="str">
        <f>VLOOKUP(C339,[3]report!$A$2:$R$406,8,FALSE)</f>
        <v>Kota Makassar - Jakarta Pusat</v>
      </c>
      <c r="H339" s="12" t="str">
        <f>VLOOKUP(C339,[3]report!$A$2:$R$406,9,FALSE)</f>
        <v>11/08/2025 - 14/08/2025</v>
      </c>
      <c r="I339" s="13">
        <f>VLOOKUP(C339,[3]report!$A$2:$R$406,17,FALSE)</f>
        <v>1433700</v>
      </c>
    </row>
    <row r="340" spans="2:9" x14ac:dyDescent="0.25">
      <c r="B340" s="7">
        <v>335</v>
      </c>
      <c r="C340" s="16">
        <v>1276684014</v>
      </c>
      <c r="D340" s="12" t="str">
        <f>VLOOKUP(C340,[3]report!$A$2:$R$406,3,FALSE)</f>
        <v xml:space="preserve">ASDAR </v>
      </c>
      <c r="E340" s="7">
        <f>VLOOKUP(C340,[3]report!$A$2:$R$406,4,FALSE)</f>
        <v>96137745</v>
      </c>
      <c r="F340" s="7">
        <f>VLOOKUP(C340,[3]report!$A$2:$R$406,5,FALSE)</f>
        <v>4120177197</v>
      </c>
      <c r="G340" s="12" t="str">
        <f>VLOOKUP(C340,[3]report!$A$2:$R$406,8,FALSE)</f>
        <v>Kota Makassar - Kota Manado</v>
      </c>
      <c r="H340" s="12" t="str">
        <f>VLOOKUP(C340,[3]report!$A$2:$R$406,9,FALSE)</f>
        <v>13/08/2025 - 16/08/2025</v>
      </c>
      <c r="I340" s="13">
        <f>VLOOKUP(C340,[3]report!$A$2:$R$406,17,FALSE)</f>
        <v>1463200</v>
      </c>
    </row>
    <row r="341" spans="2:9" x14ac:dyDescent="0.25">
      <c r="B341" s="7">
        <v>336</v>
      </c>
      <c r="C341" s="16">
        <v>1276684072</v>
      </c>
      <c r="D341" s="12" t="str">
        <f>VLOOKUP(C341,[3]report!$A$2:$R$406,3,FALSE)</f>
        <v>ANDY PRADIPTA</v>
      </c>
      <c r="E341" s="7">
        <f>VLOOKUP(C341,[3]report!$A$2:$R$406,4,FALSE)</f>
        <v>92157614</v>
      </c>
      <c r="F341" s="7">
        <f>VLOOKUP(C341,[3]report!$A$2:$R$406,5,FALSE)</f>
        <v>4120177175</v>
      </c>
      <c r="G341" s="12" t="str">
        <f>VLOOKUP(C341,[3]report!$A$2:$R$406,8,FALSE)</f>
        <v>Kota Makassar - Kota Manado</v>
      </c>
      <c r="H341" s="12" t="str">
        <f>VLOOKUP(C341,[3]report!$A$2:$R$406,9,FALSE)</f>
        <v>13/08/2025 - 16/08/2025</v>
      </c>
      <c r="I341" s="13">
        <f>VLOOKUP(C341,[3]report!$A$2:$R$406,17,FALSE)</f>
        <v>1463200</v>
      </c>
    </row>
    <row r="342" spans="2:9" x14ac:dyDescent="0.25">
      <c r="B342" s="7">
        <v>337</v>
      </c>
      <c r="C342" s="16">
        <v>1276751505</v>
      </c>
      <c r="D342" s="12" t="str">
        <f>VLOOKUP(C342,[3]report!$A$2:$R$406,3,FALSE)</f>
        <v>ANDY PRADIPTA</v>
      </c>
      <c r="E342" s="7">
        <f>VLOOKUP(C342,[3]report!$A$2:$R$406,4,FALSE)</f>
        <v>92157614</v>
      </c>
      <c r="F342" s="7">
        <f>VLOOKUP(C342,[3]report!$A$2:$R$406,5,FALSE)</f>
        <v>4120177175</v>
      </c>
      <c r="G342" s="12" t="str">
        <f>VLOOKUP(C342,[3]report!$A$2:$R$406,8,FALSE)</f>
        <v>Kota Makassar - Kota Manado</v>
      </c>
      <c r="H342" s="12" t="str">
        <f>VLOOKUP(C342,[3]report!$A$2:$R$406,9,FALSE)</f>
        <v>13/08/2025 - 16/08/2025</v>
      </c>
      <c r="I342" s="13">
        <f>VLOOKUP(C342,[3]report!$A$2:$R$406,17,FALSE)</f>
        <v>1494000</v>
      </c>
    </row>
    <row r="343" spans="2:9" x14ac:dyDescent="0.25">
      <c r="B343" s="7">
        <v>338</v>
      </c>
      <c r="C343" s="16">
        <v>1276752762</v>
      </c>
      <c r="D343" s="12" t="str">
        <f>VLOOKUP(C343,[3]report!$A$2:$R$406,3,FALSE)</f>
        <v xml:space="preserve">ASDAR </v>
      </c>
      <c r="E343" s="7">
        <f>VLOOKUP(C343,[3]report!$A$2:$R$406,4,FALSE)</f>
        <v>96137745</v>
      </c>
      <c r="F343" s="7">
        <f>VLOOKUP(C343,[3]report!$A$2:$R$406,5,FALSE)</f>
        <v>4120177197</v>
      </c>
      <c r="G343" s="12" t="str">
        <f>VLOOKUP(C343,[3]report!$A$2:$R$406,8,FALSE)</f>
        <v>Kota Makassar - Kota Manado</v>
      </c>
      <c r="H343" s="12" t="str">
        <f>VLOOKUP(C343,[3]report!$A$2:$R$406,9,FALSE)</f>
        <v>13/08/2025 - 16/08/2025</v>
      </c>
      <c r="I343" s="13">
        <f>VLOOKUP(C343,[3]report!$A$2:$R$406,17,FALSE)</f>
        <v>1494000</v>
      </c>
    </row>
    <row r="344" spans="2:9" x14ac:dyDescent="0.25">
      <c r="B344" s="7">
        <v>339</v>
      </c>
      <c r="C344" s="16">
        <v>1276748552</v>
      </c>
      <c r="D344" s="12" t="str">
        <f>VLOOKUP(C344,[3]report!$A$2:$R$406,3,FALSE)</f>
        <v xml:space="preserve">ASDAR </v>
      </c>
      <c r="E344" s="7">
        <f>VLOOKUP(C344,[3]report!$A$2:$R$406,4,FALSE)</f>
        <v>96137745</v>
      </c>
      <c r="F344" s="7">
        <f>VLOOKUP(C344,[3]report!$A$2:$R$406,5,FALSE)</f>
        <v>4120177197</v>
      </c>
      <c r="G344" s="12" t="str">
        <f>VLOOKUP(C344,[3]report!$A$2:$R$406,8,FALSE)</f>
        <v>Kota Makassar - Kota Manado</v>
      </c>
      <c r="H344" s="12" t="str">
        <f>VLOOKUP(C344,[3]report!$A$2:$R$406,9,FALSE)</f>
        <v>13/08/2025 - 16/08/2025</v>
      </c>
      <c r="I344" s="13">
        <f>VLOOKUP(C344,[3]report!$A$2:$R$406,17,FALSE)</f>
        <v>1525700</v>
      </c>
    </row>
    <row r="345" spans="2:9" x14ac:dyDescent="0.25">
      <c r="B345" s="7">
        <v>340</v>
      </c>
      <c r="C345" s="16">
        <v>1276748753</v>
      </c>
      <c r="D345" s="12" t="str">
        <f>VLOOKUP(C345,[3]report!$A$2:$R$406,3,FALSE)</f>
        <v>ANDY PRADIPTA</v>
      </c>
      <c r="E345" s="7">
        <f>VLOOKUP(C345,[3]report!$A$2:$R$406,4,FALSE)</f>
        <v>92157614</v>
      </c>
      <c r="F345" s="7">
        <f>VLOOKUP(C345,[3]report!$A$2:$R$406,5,FALSE)</f>
        <v>4120177175</v>
      </c>
      <c r="G345" s="12" t="str">
        <f>VLOOKUP(C345,[3]report!$A$2:$R$406,8,FALSE)</f>
        <v>Kota Makassar - Kota Manado</v>
      </c>
      <c r="H345" s="12" t="str">
        <f>VLOOKUP(C345,[3]report!$A$2:$R$406,9,FALSE)</f>
        <v>13/08/2025 - 16/08/2025</v>
      </c>
      <c r="I345" s="13">
        <f>VLOOKUP(C345,[3]report!$A$2:$R$406,17,FALSE)</f>
        <v>1525700</v>
      </c>
    </row>
    <row r="346" spans="2:9" x14ac:dyDescent="0.25">
      <c r="B346" s="7">
        <v>341</v>
      </c>
      <c r="C346" s="16">
        <v>1276668483</v>
      </c>
      <c r="D346" s="12" t="str">
        <f>VLOOKUP(C346,[3]report!$A$2:$R$406,3,FALSE)</f>
        <v>YOGA YUNIAR B M</v>
      </c>
      <c r="E346" s="7">
        <f>VLOOKUP(C346,[3]report!$A$2:$R$406,4,FALSE)</f>
        <v>96196205</v>
      </c>
      <c r="F346" s="7">
        <f>VLOOKUP(C346,[3]report!$A$2:$R$406,5,FALSE)</f>
        <v>4120177144</v>
      </c>
      <c r="G346" s="12" t="str">
        <f>VLOOKUP(C346,[3]report!$A$2:$R$406,8,FALSE)</f>
        <v>Kab. Pinrang - Jakarta Selatan</v>
      </c>
      <c r="H346" s="12" t="str">
        <f>VLOOKUP(C346,[3]report!$A$2:$R$406,9,FALSE)</f>
        <v>13/08/2025 - 15/08/2025</v>
      </c>
      <c r="I346" s="13">
        <f>VLOOKUP(C346,[3]report!$A$2:$R$406,17,FALSE)</f>
        <v>1633561</v>
      </c>
    </row>
    <row r="347" spans="2:9" x14ac:dyDescent="0.25">
      <c r="B347" s="7">
        <v>342</v>
      </c>
      <c r="C347" s="16">
        <v>1276678229</v>
      </c>
      <c r="D347" s="12" t="str">
        <f>VLOOKUP(C347,[3]report!$A$2:$R$406,3,FALSE)</f>
        <v>MUHAMMAD SOFYAN SUSANTO</v>
      </c>
      <c r="E347" s="7">
        <f>VLOOKUP(C347,[3]report!$A$2:$R$406,4,FALSE)</f>
        <v>97167841</v>
      </c>
      <c r="F347" s="7">
        <f>VLOOKUP(C347,[3]report!$A$2:$R$406,5,FALSE)</f>
        <v>4120177176</v>
      </c>
      <c r="G347" s="12" t="str">
        <f>VLOOKUP(C347,[3]report!$A$2:$R$406,8,FALSE)</f>
        <v>Kota Makassar - Kota Manado</v>
      </c>
      <c r="H347" s="12" t="str">
        <f>VLOOKUP(C347,[3]report!$A$2:$R$406,9,FALSE)</f>
        <v>13/08/2025 - 16/08/2025</v>
      </c>
      <c r="I347" s="13">
        <f>VLOOKUP(C347,[3]report!$A$2:$R$406,17,FALSE)</f>
        <v>1680000</v>
      </c>
    </row>
    <row r="348" spans="2:9" x14ac:dyDescent="0.25">
      <c r="B348" s="7">
        <v>343</v>
      </c>
      <c r="C348" s="16">
        <v>1276643200</v>
      </c>
      <c r="D348" s="12" t="str">
        <f>VLOOKUP(C348,[3]report!$A$2:$R$406,3,FALSE)</f>
        <v>HADHI BAGUS SETYANTO</v>
      </c>
      <c r="E348" s="7">
        <f>VLOOKUP(C348,[3]report!$A$2:$R$406,4,FALSE)</f>
        <v>87117602</v>
      </c>
      <c r="F348" s="7">
        <f>VLOOKUP(C348,[3]report!$A$2:$R$406,5,FALSE)</f>
        <v>4120177180</v>
      </c>
      <c r="G348" s="12" t="str">
        <f>VLOOKUP(C348,[3]report!$A$2:$R$406,8,FALSE)</f>
        <v>Kota Makassar - Kota Manado</v>
      </c>
      <c r="H348" s="12" t="str">
        <f>VLOOKUP(C348,[3]report!$A$2:$R$406,9,FALSE)</f>
        <v>13/08/2025 - 16/08/2025</v>
      </c>
      <c r="I348" s="13">
        <f>VLOOKUP(C348,[3]report!$A$2:$R$406,17,FALSE)</f>
        <v>1857500</v>
      </c>
    </row>
    <row r="349" spans="2:9" x14ac:dyDescent="0.25">
      <c r="B349" s="7">
        <v>344</v>
      </c>
      <c r="C349" s="16">
        <v>1276766085</v>
      </c>
      <c r="D349" s="12" t="str">
        <f>VLOOKUP(C349,[3]report!$A$2:$R$406,3,FALSE)</f>
        <v>HESFIALWAN B</v>
      </c>
      <c r="E349" s="7">
        <f>VLOOKUP(C349,[3]report!$A$2:$R$406,4,FALSE)</f>
        <v>89087601</v>
      </c>
      <c r="F349" s="7">
        <f>VLOOKUP(C349,[3]report!$A$2:$R$406,5,FALSE)</f>
        <v>4120177156</v>
      </c>
      <c r="G349" s="12" t="str">
        <f>VLOOKUP(C349,[3]report!$A$2:$R$406,8,FALSE)</f>
        <v>Kota Mataram - Kota Mataram</v>
      </c>
      <c r="H349" s="12" t="str">
        <f>VLOOKUP(C349,[3]report!$A$2:$R$406,9,FALSE)</f>
        <v>13/08/2025 - 16/08/2025</v>
      </c>
      <c r="I349" s="13">
        <f>VLOOKUP(C349,[3]report!$A$2:$R$406,17,FALSE)</f>
        <v>2149000</v>
      </c>
    </row>
    <row r="350" spans="2:9" x14ac:dyDescent="0.25">
      <c r="B350" s="7">
        <v>345</v>
      </c>
      <c r="C350" s="16">
        <v>1276674635</v>
      </c>
      <c r="D350" s="12" t="str">
        <f>VLOOKUP(C350,[3]report!$A$2:$R$406,3,FALSE)</f>
        <v>ACHYAR MAULANA PRATAMA</v>
      </c>
      <c r="E350" s="7">
        <f>VLOOKUP(C350,[3]report!$A$2:$R$406,4,FALSE)</f>
        <v>95177601</v>
      </c>
      <c r="F350" s="7">
        <f>VLOOKUP(C350,[3]report!$A$2:$R$406,5,FALSE)</f>
        <v>4120177194</v>
      </c>
      <c r="G350" s="12" t="str">
        <f>VLOOKUP(C350,[3]report!$A$2:$R$406,8,FALSE)</f>
        <v>Kota Baubau - Kota Makassar - Kota Manado</v>
      </c>
      <c r="H350" s="12" t="str">
        <f>VLOOKUP(C350,[3]report!$A$2:$R$406,9,FALSE)</f>
        <v>13/08/2025 - 16/08/2025</v>
      </c>
      <c r="I350" s="13">
        <f>VLOOKUP(C350,[3]report!$A$2:$R$406,17,FALSE)</f>
        <v>3013500</v>
      </c>
    </row>
    <row r="351" spans="2:9" x14ac:dyDescent="0.25">
      <c r="B351" s="7">
        <v>346</v>
      </c>
      <c r="C351" s="16">
        <v>1276778254</v>
      </c>
      <c r="D351" s="12" t="str">
        <f>VLOOKUP(C351,[3]report!$A$2:$R$406,3,FALSE)</f>
        <v>M. LUKMAN HAKIM</v>
      </c>
      <c r="E351" s="7">
        <f>VLOOKUP(C351,[3]report!$A$2:$R$406,4,FALSE)</f>
        <v>87127603</v>
      </c>
      <c r="F351" s="7">
        <f>VLOOKUP(C351,[3]report!$A$2:$R$406,5,FALSE)</f>
        <v>4120177103</v>
      </c>
      <c r="G351" s="12" t="str">
        <f>VLOOKUP(C351,[3]report!$A$2:$R$406,8,FALSE)</f>
        <v>Kota Makassar - Kab. Brebes - Kab. Banyumas - Kab. Cilacap</v>
      </c>
      <c r="H351" s="12" t="str">
        <f>VLOOKUP(C351,[3]report!$A$2:$R$406,9,FALSE)</f>
        <v>10/08/2025 - 16/08/2025</v>
      </c>
      <c r="I351" s="13">
        <f>VLOOKUP(C351,[3]report!$A$2:$R$406,17,FALSE)</f>
        <v>687068</v>
      </c>
    </row>
    <row r="352" spans="2:9" x14ac:dyDescent="0.25">
      <c r="B352" s="7">
        <v>347</v>
      </c>
      <c r="C352" s="16">
        <v>1276779453</v>
      </c>
      <c r="D352" s="12" t="str">
        <f>VLOOKUP(C352,[3]report!$A$2:$R$406,3,FALSE)</f>
        <v>ARDIKA YONATAN WICAKSONO</v>
      </c>
      <c r="E352" s="7">
        <f>VLOOKUP(C352,[3]report!$A$2:$R$406,4,FALSE)</f>
        <v>93196202</v>
      </c>
      <c r="F352" s="7">
        <f>VLOOKUP(C352,[3]report!$A$2:$R$406,5,FALSE)</f>
        <v>4120177135</v>
      </c>
      <c r="G352" s="12" t="str">
        <f>VLOOKUP(C352,[3]report!$A$2:$R$406,8,FALSE)</f>
        <v>Kota Baubau - Kab. Bulukumba</v>
      </c>
      <c r="H352" s="12" t="str">
        <f>VLOOKUP(C352,[3]report!$A$2:$R$406,9,FALSE)</f>
        <v>12/08/2025 - 15/08/2025</v>
      </c>
      <c r="I352" s="13">
        <f>VLOOKUP(C352,[3]report!$A$2:$R$406,17,FALSE)</f>
        <v>844100</v>
      </c>
    </row>
    <row r="353" spans="2:9" x14ac:dyDescent="0.25">
      <c r="B353" s="7">
        <v>348</v>
      </c>
      <c r="C353" s="16">
        <v>1276783881</v>
      </c>
      <c r="D353" s="12" t="str">
        <f>VLOOKUP(C353,[3]report!$A$2:$R$406,3,FALSE)</f>
        <v>IKHWANUL AKBAR AS'AD</v>
      </c>
      <c r="E353" s="7">
        <f>VLOOKUP(C353,[3]report!$A$2:$R$406,4,FALSE)</f>
        <v>89087621</v>
      </c>
      <c r="F353" s="7">
        <f>VLOOKUP(C353,[3]report!$A$2:$R$406,5,FALSE)</f>
        <v>4120177133</v>
      </c>
      <c r="G353" s="12" t="str">
        <f>VLOOKUP(C353,[3]report!$A$2:$R$406,8,FALSE)</f>
        <v>Kota Baubau - Kota Makassar</v>
      </c>
      <c r="H353" s="12" t="str">
        <f>VLOOKUP(C353,[3]report!$A$2:$R$406,9,FALSE)</f>
        <v>12/08/2025 - 15/08/2025</v>
      </c>
      <c r="I353" s="13">
        <f>VLOOKUP(C353,[3]report!$A$2:$R$406,17,FALSE)</f>
        <v>844100</v>
      </c>
    </row>
    <row r="354" spans="2:9" x14ac:dyDescent="0.25">
      <c r="B354" s="7">
        <v>349</v>
      </c>
      <c r="C354" s="16">
        <v>1276806558</v>
      </c>
      <c r="D354" s="12" t="str">
        <f>VLOOKUP(C354,[3]report!$A$2:$R$406,3,FALSE)</f>
        <v xml:space="preserve">IBNUSABIL </v>
      </c>
      <c r="E354" s="7">
        <f>VLOOKUP(C354,[3]report!$A$2:$R$406,4,FALSE)</f>
        <v>89087629</v>
      </c>
      <c r="F354" s="7">
        <f>VLOOKUP(C354,[3]report!$A$2:$R$406,5,FALSE)</f>
        <v>4120177217</v>
      </c>
      <c r="G354" s="12" t="str">
        <f>VLOOKUP(C354,[3]report!$A$2:$R$406,8,FALSE)</f>
        <v>Kab. Bone - Kota Manado</v>
      </c>
      <c r="H354" s="12" t="str">
        <f>VLOOKUP(C354,[3]report!$A$2:$R$406,9,FALSE)</f>
        <v>13/08/2025 - 16/08/2025</v>
      </c>
      <c r="I354" s="13">
        <f>VLOOKUP(C354,[3]report!$A$2:$R$406,17,FALSE)</f>
        <v>1525700</v>
      </c>
    </row>
    <row r="355" spans="2:9" x14ac:dyDescent="0.25">
      <c r="B355" s="7">
        <v>350</v>
      </c>
      <c r="C355" s="16">
        <v>1276919398</v>
      </c>
      <c r="D355" s="12" t="str">
        <f>VLOOKUP(C355,[3]report!$A$2:$R$406,3,FALSE)</f>
        <v>KRISNA DIAN SAPUTRA</v>
      </c>
      <c r="E355" s="7">
        <f>VLOOKUP(C355,[3]report!$A$2:$R$406,4,FALSE)</f>
        <v>96196204</v>
      </c>
      <c r="F355" s="7">
        <f>VLOOKUP(C355,[3]report!$A$2:$R$406,5,FALSE)</f>
        <v>4120177229</v>
      </c>
      <c r="G355" s="12" t="str">
        <f>VLOOKUP(C355,[3]report!$A$2:$R$406,8,FALSE)</f>
        <v>Kota Baubau - Kota Makassar</v>
      </c>
      <c r="H355" s="12" t="str">
        <f>VLOOKUP(C355,[3]report!$A$2:$R$406,9,FALSE)</f>
        <v>18/08/2025 - 20/08/2025</v>
      </c>
      <c r="I355" s="13">
        <f>VLOOKUP(C355,[3]report!$A$2:$R$406,17,FALSE)</f>
        <v>744200</v>
      </c>
    </row>
    <row r="356" spans="2:9" x14ac:dyDescent="0.25">
      <c r="B356" s="7">
        <v>351</v>
      </c>
      <c r="C356" s="16">
        <v>1276881341</v>
      </c>
      <c r="D356" s="12" t="str">
        <f>VLOOKUP(C356,[3]report!$A$2:$R$406,3,FALSE)</f>
        <v xml:space="preserve">IBNUSABIL </v>
      </c>
      <c r="E356" s="7">
        <f>VLOOKUP(C356,[3]report!$A$2:$R$406,4,FALSE)</f>
        <v>89087629</v>
      </c>
      <c r="F356" s="7">
        <f>VLOOKUP(C356,[3]report!$A$2:$R$406,5,FALSE)</f>
        <v>4120177217</v>
      </c>
      <c r="G356" s="12" t="str">
        <f>VLOOKUP(C356,[3]report!$A$2:$R$406,8,FALSE)</f>
        <v>Kab. Bone - Kota Manado</v>
      </c>
      <c r="H356" s="12" t="str">
        <f>VLOOKUP(C356,[3]report!$A$2:$R$406,9,FALSE)</f>
        <v>13/08/2025 - 16/08/2025</v>
      </c>
      <c r="I356" s="13">
        <f>VLOOKUP(C356,[3]report!$A$2:$R$406,17,FALSE)</f>
        <v>790000</v>
      </c>
    </row>
    <row r="357" spans="2:9" x14ac:dyDescent="0.25">
      <c r="B357" s="7">
        <v>352</v>
      </c>
      <c r="C357" s="16">
        <v>1276881539</v>
      </c>
      <c r="D357" s="12" t="str">
        <f>VLOOKUP(C357,[3]report!$A$2:$R$406,3,FALSE)</f>
        <v>RACHMAT RAMLI</v>
      </c>
      <c r="E357" s="7">
        <f>VLOOKUP(C357,[3]report!$A$2:$R$406,4,FALSE)</f>
        <v>89160002</v>
      </c>
      <c r="F357" s="7">
        <f>VLOOKUP(C357,[3]report!$A$2:$R$406,5,FALSE)</f>
        <v>4120177146</v>
      </c>
      <c r="G357" s="12" t="str">
        <f>VLOOKUP(C357,[3]report!$A$2:$R$406,8,FALSE)</f>
        <v>Kota Makassar - Kota Mataram</v>
      </c>
      <c r="H357" s="12" t="str">
        <f>VLOOKUP(C357,[3]report!$A$2:$R$406,9,FALSE)</f>
        <v>13/08/2025 - 16/08/2025</v>
      </c>
      <c r="I357" s="13">
        <f>VLOOKUP(C357,[3]report!$A$2:$R$406,17,FALSE)</f>
        <v>800000</v>
      </c>
    </row>
    <row r="358" spans="2:9" x14ac:dyDescent="0.25">
      <c r="B358" s="7">
        <v>353</v>
      </c>
      <c r="C358" s="16">
        <v>1276881640</v>
      </c>
      <c r="D358" s="12" t="str">
        <f>VLOOKUP(C358,[3]report!$A$2:$R$406,3,FALSE)</f>
        <v xml:space="preserve">IBNUSABIL </v>
      </c>
      <c r="E358" s="7">
        <f>VLOOKUP(C358,[3]report!$A$2:$R$406,4,FALSE)</f>
        <v>89087629</v>
      </c>
      <c r="F358" s="7">
        <f>VLOOKUP(C358,[3]report!$A$2:$R$406,5,FALSE)</f>
        <v>4120177217</v>
      </c>
      <c r="G358" s="12" t="str">
        <f>VLOOKUP(C358,[3]report!$A$2:$R$406,8,FALSE)</f>
        <v>Kab. Bone - Kota Manado</v>
      </c>
      <c r="H358" s="12" t="str">
        <f>VLOOKUP(C358,[3]report!$A$2:$R$406,9,FALSE)</f>
        <v>13/08/2025 - 16/08/2025</v>
      </c>
      <c r="I358" s="13">
        <f>VLOOKUP(C358,[3]report!$A$2:$R$406,17,FALSE)</f>
        <v>800000</v>
      </c>
    </row>
    <row r="359" spans="2:9" x14ac:dyDescent="0.25">
      <c r="B359" s="7">
        <v>354</v>
      </c>
      <c r="C359" s="16">
        <v>1276914956</v>
      </c>
      <c r="D359" s="12" t="str">
        <f>VLOOKUP(C359,[3]report!$A$2:$R$406,3,FALSE)</f>
        <v>JONI ALEXANDER HEYT SITORUS</v>
      </c>
      <c r="E359" s="7">
        <f>VLOOKUP(C359,[3]report!$A$2:$R$406,4,FALSE)</f>
        <v>83075800</v>
      </c>
      <c r="F359" s="7">
        <f>VLOOKUP(C359,[3]report!$A$2:$R$406,5,FALSE)</f>
        <v>4120177193</v>
      </c>
      <c r="G359" s="12" t="str">
        <f>VLOOKUP(C359,[3]report!$A$2:$R$406,8,FALSE)</f>
        <v>Kota Kendari - Kota Makassar</v>
      </c>
      <c r="H359" s="12" t="str">
        <f>VLOOKUP(C359,[3]report!$A$2:$R$406,9,FALSE)</f>
        <v>13/08/2025 - 15/08/2025</v>
      </c>
      <c r="I359" s="13">
        <f>VLOOKUP(C359,[3]report!$A$2:$R$406,17,FALSE)</f>
        <v>823000</v>
      </c>
    </row>
    <row r="360" spans="2:9" x14ac:dyDescent="0.25">
      <c r="B360" s="7">
        <v>355</v>
      </c>
      <c r="C360" s="16">
        <v>1276977293</v>
      </c>
      <c r="D360" s="12" t="str">
        <f>VLOOKUP(C360,[3]report!$A$2:$R$406,3,FALSE)</f>
        <v>ANDI WARIS</v>
      </c>
      <c r="E360" s="7">
        <f>VLOOKUP(C360,[3]report!$A$2:$R$406,4,FALSE)</f>
        <v>95197613</v>
      </c>
      <c r="F360" s="7">
        <f>VLOOKUP(C360,[3]report!$A$2:$R$406,5,FALSE)</f>
        <v>4120177210</v>
      </c>
      <c r="G360" s="12" t="str">
        <f>VLOOKUP(C360,[3]report!$A$2:$R$406,8,FALSE)</f>
        <v>Kota Kendari - Kota Makassar</v>
      </c>
      <c r="H360" s="12" t="str">
        <f>VLOOKUP(C360,[3]report!$A$2:$R$406,9,FALSE)</f>
        <v>18/08/2025 - 20/08/2025</v>
      </c>
      <c r="I360" s="13">
        <f>VLOOKUP(C360,[3]report!$A$2:$R$406,17,FALSE)</f>
        <v>857400</v>
      </c>
    </row>
    <row r="361" spans="2:9" x14ac:dyDescent="0.25">
      <c r="B361" s="7">
        <v>356</v>
      </c>
      <c r="C361" s="16">
        <v>1276884396</v>
      </c>
      <c r="D361" s="12" t="str">
        <f>VLOOKUP(C361,[3]report!$A$2:$R$406,3,FALSE)</f>
        <v>HADHI BAGUS SETYANTO</v>
      </c>
      <c r="E361" s="7">
        <f>VLOOKUP(C361,[3]report!$A$2:$R$406,4,FALSE)</f>
        <v>87117602</v>
      </c>
      <c r="F361" s="7">
        <f>VLOOKUP(C361,[3]report!$A$2:$R$406,5,FALSE)</f>
        <v>4120177180</v>
      </c>
      <c r="G361" s="12" t="str">
        <f>VLOOKUP(C361,[3]report!$A$2:$R$406,8,FALSE)</f>
        <v>Kota Makassar - Kota Manado</v>
      </c>
      <c r="H361" s="12" t="str">
        <f>VLOOKUP(C361,[3]report!$A$2:$R$406,9,FALSE)</f>
        <v>13/08/2025 - 16/08/2025</v>
      </c>
      <c r="I361" s="13">
        <f>VLOOKUP(C361,[3]report!$A$2:$R$406,17,FALSE)</f>
        <v>913000</v>
      </c>
    </row>
    <row r="362" spans="2:9" x14ac:dyDescent="0.25">
      <c r="B362" s="7">
        <v>357</v>
      </c>
      <c r="C362" s="16">
        <v>1276993830</v>
      </c>
      <c r="D362" s="12" t="str">
        <f>VLOOKUP(C362,[3]report!$A$2:$R$406,3,FALSE)</f>
        <v>M. LUKMAN HAKIM</v>
      </c>
      <c r="E362" s="7">
        <f>VLOOKUP(C362,[3]report!$A$2:$R$406,4,FALSE)</f>
        <v>87127603</v>
      </c>
      <c r="F362" s="7">
        <f>VLOOKUP(C362,[3]report!$A$2:$R$406,5,FALSE)</f>
        <v>4120177103</v>
      </c>
      <c r="G362" s="12" t="str">
        <f>VLOOKUP(C362,[3]report!$A$2:$R$406,8,FALSE)</f>
        <v>Kota Makassar - Kab. Brebes - Kab. Banyumas - Kab. Cilacap</v>
      </c>
      <c r="H362" s="12" t="str">
        <f>VLOOKUP(C362,[3]report!$A$2:$R$406,9,FALSE)</f>
        <v>10/08/2025 - 16/08/2025</v>
      </c>
      <c r="I362" s="13">
        <f>VLOOKUP(C362,[3]report!$A$2:$R$406,17,FALSE)</f>
        <v>971028</v>
      </c>
    </row>
    <row r="363" spans="2:9" x14ac:dyDescent="0.25">
      <c r="B363" s="7">
        <v>358</v>
      </c>
      <c r="C363" s="16">
        <v>1276915918</v>
      </c>
      <c r="D363" s="12" t="str">
        <f>VLOOKUP(C363,[3]report!$A$2:$R$406,3,FALSE)</f>
        <v>JONI ALEXANDER HEYT SITORUS</v>
      </c>
      <c r="E363" s="7">
        <f>VLOOKUP(C363,[3]report!$A$2:$R$406,4,FALSE)</f>
        <v>83075800</v>
      </c>
      <c r="F363" s="7">
        <f>VLOOKUP(C363,[3]report!$A$2:$R$406,5,FALSE)</f>
        <v>4120177193</v>
      </c>
      <c r="G363" s="12" t="str">
        <f>VLOOKUP(C363,[3]report!$A$2:$R$406,8,FALSE)</f>
        <v>Kota Kendari - Kota Makassar</v>
      </c>
      <c r="H363" s="12" t="str">
        <f>VLOOKUP(C363,[3]report!$A$2:$R$406,9,FALSE)</f>
        <v>13/08/2025 - 15/08/2025</v>
      </c>
      <c r="I363" s="13">
        <f>VLOOKUP(C363,[3]report!$A$2:$R$406,17,FALSE)</f>
        <v>1028125</v>
      </c>
    </row>
    <row r="364" spans="2:9" x14ac:dyDescent="0.25">
      <c r="B364" s="7">
        <v>359</v>
      </c>
      <c r="C364" s="16">
        <v>1276907445</v>
      </c>
      <c r="D364" s="12" t="str">
        <f>VLOOKUP(C364,[3]report!$A$2:$R$406,3,FALSE)</f>
        <v>BASO NURAHMAN</v>
      </c>
      <c r="E364" s="7">
        <f>VLOOKUP(C364,[3]report!$A$2:$R$406,4,FALSE)</f>
        <v>72937611</v>
      </c>
      <c r="F364" s="7">
        <f>VLOOKUP(C364,[3]report!$A$2:$R$406,5,FALSE)</f>
        <v>4120177158</v>
      </c>
      <c r="G364" s="12" t="str">
        <f>VLOOKUP(C364,[3]report!$A$2:$R$406,8,FALSE)</f>
        <v>Kota Makassar - Jakarta Selatan</v>
      </c>
      <c r="H364" s="12" t="str">
        <f>VLOOKUP(C364,[3]report!$A$2:$R$406,9,FALSE)</f>
        <v>13/08/2025 - 14/08/2025</v>
      </c>
      <c r="I364" s="13">
        <f>VLOOKUP(C364,[3]report!$A$2:$R$406,17,FALSE)</f>
        <v>1039600</v>
      </c>
    </row>
    <row r="365" spans="2:9" x14ac:dyDescent="0.25">
      <c r="B365" s="7">
        <v>360</v>
      </c>
      <c r="C365" s="16">
        <v>1276981890</v>
      </c>
      <c r="D365" s="12" t="str">
        <f>VLOOKUP(C365,[3]report!$A$2:$R$406,3,FALSE)</f>
        <v>HESFIALWAN B</v>
      </c>
      <c r="E365" s="7">
        <f>VLOOKUP(C365,[3]report!$A$2:$R$406,4,FALSE)</f>
        <v>89087601</v>
      </c>
      <c r="F365" s="7">
        <f>VLOOKUP(C365,[3]report!$A$2:$R$406,5,FALSE)</f>
        <v>4120177156</v>
      </c>
      <c r="G365" s="12" t="str">
        <f>VLOOKUP(C365,[3]report!$A$2:$R$406,8,FALSE)</f>
        <v>Kota Mataram - Kota Mataram</v>
      </c>
      <c r="H365" s="12" t="str">
        <f>VLOOKUP(C365,[3]report!$A$2:$R$406,9,FALSE)</f>
        <v>13/08/2025 - 16/08/2025</v>
      </c>
      <c r="I365" s="13">
        <f>VLOOKUP(C365,[3]report!$A$2:$R$406,17,FALSE)</f>
        <v>1247500</v>
      </c>
    </row>
    <row r="366" spans="2:9" x14ac:dyDescent="0.25">
      <c r="B366" s="7">
        <v>361</v>
      </c>
      <c r="C366" s="16">
        <v>1276886536</v>
      </c>
      <c r="D366" s="12" t="str">
        <f>VLOOKUP(C366,[3]report!$A$2:$R$406,3,FALSE)</f>
        <v>ACHYAR MAULANA PRATAMA</v>
      </c>
      <c r="E366" s="7">
        <f>VLOOKUP(C366,[3]report!$A$2:$R$406,4,FALSE)</f>
        <v>95177601</v>
      </c>
      <c r="F366" s="7">
        <f>VLOOKUP(C366,[3]report!$A$2:$R$406,5,FALSE)</f>
        <v>4120177194</v>
      </c>
      <c r="G366" s="12" t="str">
        <f>VLOOKUP(C366,[3]report!$A$2:$R$406,8,FALSE)</f>
        <v>Kota Baubau - Kota Makassar - Kota Manado</v>
      </c>
      <c r="H366" s="12" t="str">
        <f>VLOOKUP(C366,[3]report!$A$2:$R$406,9,FALSE)</f>
        <v>13/08/2025 - 16/08/2025</v>
      </c>
      <c r="I366" s="13">
        <f>VLOOKUP(C366,[3]report!$A$2:$R$406,17,FALSE)</f>
        <v>2303900</v>
      </c>
    </row>
    <row r="367" spans="2:9" x14ac:dyDescent="0.25">
      <c r="B367" s="7">
        <v>362</v>
      </c>
      <c r="C367" s="16">
        <v>1277067808</v>
      </c>
      <c r="D367" s="12" t="str">
        <f>VLOOKUP(C367,[3]report!$A$2:$R$406,3,FALSE)</f>
        <v>M. LUKMAN HAKIM</v>
      </c>
      <c r="E367" s="7">
        <f>VLOOKUP(C367,[3]report!$A$2:$R$406,4,FALSE)</f>
        <v>87127603</v>
      </c>
      <c r="F367" s="7">
        <f>VLOOKUP(C367,[3]report!$A$2:$R$406,5,FALSE)</f>
        <v>4120177103</v>
      </c>
      <c r="G367" s="12" t="str">
        <f>VLOOKUP(C367,[3]report!$A$2:$R$406,8,FALSE)</f>
        <v>Kota Makassar - Kab. Brebes - Kab. Banyumas - Kab. Cilacap</v>
      </c>
      <c r="H367" s="12" t="str">
        <f>VLOOKUP(C367,[3]report!$A$2:$R$406,9,FALSE)</f>
        <v>10/08/2025 - 16/08/2025</v>
      </c>
      <c r="I367" s="13">
        <f>VLOOKUP(C367,[3]report!$A$2:$R$406,17,FALSE)</f>
        <v>866600</v>
      </c>
    </row>
    <row r="368" spans="2:9" x14ac:dyDescent="0.25">
      <c r="B368" s="7">
        <v>363</v>
      </c>
      <c r="C368" s="16">
        <v>1277031125</v>
      </c>
      <c r="D368" s="12" t="str">
        <f>VLOOKUP(C368,[3]report!$A$2:$R$406,3,FALSE)</f>
        <v>MANSYUR FAHMI</v>
      </c>
      <c r="E368" s="7">
        <f>VLOOKUP(C368,[3]report!$A$2:$R$406,4,FALSE)</f>
        <v>96197639</v>
      </c>
      <c r="F368" s="7">
        <f>VLOOKUP(C368,[3]report!$A$2:$R$406,5,FALSE)</f>
        <v>4120177195</v>
      </c>
      <c r="G368" s="12" t="str">
        <f>VLOOKUP(C368,[3]report!$A$2:$R$406,8,FALSE)</f>
        <v>Kab.Mamuju-KotaMakassar</v>
      </c>
      <c r="H368" s="12" t="str">
        <f>VLOOKUP(C368,[3]report!$A$2:$R$406,9,FALSE)</f>
        <v>13/08/2025 - 15/08/2025</v>
      </c>
      <c r="I368" s="13">
        <f>VLOOKUP(C368,[3]report!$A$2:$R$406,17,FALSE)</f>
        <v>873400</v>
      </c>
    </row>
    <row r="369" spans="2:9" x14ac:dyDescent="0.25">
      <c r="B369" s="7">
        <v>364</v>
      </c>
      <c r="C369" s="16">
        <v>1277059543</v>
      </c>
      <c r="D369" s="12" t="str">
        <f>VLOOKUP(C369,[3]report!$A$2:$R$406,3,FALSE)</f>
        <v>RACHMAT RAMLI</v>
      </c>
      <c r="E369" s="7">
        <f>VLOOKUP(C369,[3]report!$A$2:$R$406,4,FALSE)</f>
        <v>89160002</v>
      </c>
      <c r="F369" s="7">
        <f>VLOOKUP(C369,[3]report!$A$2:$R$406,5,FALSE)</f>
        <v>4120177146</v>
      </c>
      <c r="G369" s="12" t="str">
        <f>VLOOKUP(C369,[3]report!$A$2:$R$406,8,FALSE)</f>
        <v>Kota Makassar - Kota Mataram</v>
      </c>
      <c r="H369" s="12" t="str">
        <f>VLOOKUP(C369,[3]report!$A$2:$R$406,9,FALSE)</f>
        <v>13/08/2025 - 16/08/2025</v>
      </c>
      <c r="I369" s="13">
        <f>VLOOKUP(C369,[3]report!$A$2:$R$406,17,FALSE)</f>
        <v>1247500</v>
      </c>
    </row>
    <row r="370" spans="2:9" x14ac:dyDescent="0.25">
      <c r="B370" s="7">
        <v>365</v>
      </c>
      <c r="C370" s="16">
        <v>1277078103</v>
      </c>
      <c r="D370" s="12" t="str">
        <f>VLOOKUP(C370,[3]report!$A$2:$R$406,3,FALSE)</f>
        <v xml:space="preserve">ARMAN </v>
      </c>
      <c r="E370" s="7">
        <f>VLOOKUP(C370,[3]report!$A$2:$R$406,4,FALSE)</f>
        <v>74937601</v>
      </c>
      <c r="F370" s="7">
        <f>VLOOKUP(C370,[3]report!$A$2:$R$406,5,FALSE)</f>
        <v>4120177148</v>
      </c>
      <c r="G370" s="12" t="str">
        <f>VLOOKUP(C370,[3]report!$A$2:$R$406,8,FALSE)</f>
        <v>Kota Makassar - Jakarta Selatan</v>
      </c>
      <c r="H370" s="12" t="str">
        <f>VLOOKUP(C370,[3]report!$A$2:$R$406,9,FALSE)</f>
        <v>13/08/2025 - 15/08/2025</v>
      </c>
      <c r="I370" s="13">
        <f>VLOOKUP(C370,[3]report!$A$2:$R$406,17,FALSE)</f>
        <v>1333000</v>
      </c>
    </row>
    <row r="371" spans="2:9" x14ac:dyDescent="0.25">
      <c r="B371" s="7">
        <v>366</v>
      </c>
      <c r="C371" s="16">
        <v>1277078537</v>
      </c>
      <c r="D371" s="12" t="str">
        <f>VLOOKUP(C371,[3]report!$A$2:$R$406,3,FALSE)</f>
        <v>YOGA YUNIAR B M</v>
      </c>
      <c r="E371" s="7">
        <f>VLOOKUP(C371,[3]report!$A$2:$R$406,4,FALSE)</f>
        <v>96196205</v>
      </c>
      <c r="F371" s="7">
        <f>VLOOKUP(C371,[3]report!$A$2:$R$406,5,FALSE)</f>
        <v>4120177144</v>
      </c>
      <c r="G371" s="12" t="str">
        <f>VLOOKUP(C371,[3]report!$A$2:$R$406,8,FALSE)</f>
        <v>Kab. Pinrang - Jakarta Selatan</v>
      </c>
      <c r="H371" s="12" t="str">
        <f>VLOOKUP(C371,[3]report!$A$2:$R$406,9,FALSE)</f>
        <v>13/08/2025 - 15/08/2025</v>
      </c>
      <c r="I371" s="13">
        <f>VLOOKUP(C371,[3]report!$A$2:$R$406,17,FALSE)</f>
        <v>1333000</v>
      </c>
    </row>
    <row r="372" spans="2:9" x14ac:dyDescent="0.25">
      <c r="B372" s="7">
        <v>367</v>
      </c>
      <c r="C372" s="16">
        <v>1277127851</v>
      </c>
      <c r="D372" s="12" t="str">
        <f>VLOOKUP(C372,[3]report!$A$2:$R$406,3,FALSE)</f>
        <v xml:space="preserve">ASDAR </v>
      </c>
      <c r="E372" s="7">
        <f>VLOOKUP(C372,[3]report!$A$2:$R$406,4,FALSE)</f>
        <v>96137745</v>
      </c>
      <c r="F372" s="7">
        <f>VLOOKUP(C372,[3]report!$A$2:$R$406,5,FALSE)</f>
        <v>4120177197</v>
      </c>
      <c r="G372" s="12" t="str">
        <f>VLOOKUP(C372,[3]report!$A$2:$R$406,8,FALSE)</f>
        <v>Kota Makassar - Kota Manado</v>
      </c>
      <c r="H372" s="12" t="str">
        <f>VLOOKUP(C372,[3]report!$A$2:$R$406,9,FALSE)</f>
        <v>13/08/2025 - 16/08/2025</v>
      </c>
      <c r="I372" s="13">
        <f>VLOOKUP(C372,[3]report!$A$2:$R$406,17,FALSE)</f>
        <v>537642</v>
      </c>
    </row>
    <row r="373" spans="2:9" x14ac:dyDescent="0.25">
      <c r="B373" s="7">
        <v>368</v>
      </c>
      <c r="C373" s="16">
        <v>1277267042</v>
      </c>
      <c r="D373" s="12" t="str">
        <f>VLOOKUP(C373,[3]report!$A$2:$R$406,3,FALSE)</f>
        <v>AHMAD FATHAN MAARIF</v>
      </c>
      <c r="E373" s="7">
        <f>VLOOKUP(C373,[3]report!$A$2:$R$406,4,FALSE)</f>
        <v>96197614</v>
      </c>
      <c r="F373" s="7">
        <f>VLOOKUP(C373,[3]report!$A$2:$R$406,5,FALSE)</f>
        <v>4120177235</v>
      </c>
      <c r="G373" s="12" t="str">
        <f>VLOOKUP(C373,[3]report!$A$2:$R$406,8,FALSE)</f>
        <v>Kota Kendari - Kota Makassar</v>
      </c>
      <c r="H373" s="12" t="str">
        <f>VLOOKUP(C373,[3]report!$A$2:$R$406,9,FALSE)</f>
        <v>19/08/2025 - 21/08/2025</v>
      </c>
      <c r="I373" s="13">
        <f>VLOOKUP(C373,[3]report!$A$2:$R$406,17,FALSE)</f>
        <v>740700</v>
      </c>
    </row>
    <row r="374" spans="2:9" x14ac:dyDescent="0.25">
      <c r="B374" s="7">
        <v>369</v>
      </c>
      <c r="C374" s="16">
        <v>1277270148</v>
      </c>
      <c r="D374" s="12" t="str">
        <f>VLOOKUP(C374,[3]report!$A$2:$R$406,3,FALSE)</f>
        <v>ANDI FAKHRUL SAM</v>
      </c>
      <c r="E374" s="7">
        <f>VLOOKUP(C374,[3]report!$A$2:$R$406,4,FALSE)</f>
        <v>93137642</v>
      </c>
      <c r="F374" s="7">
        <f>VLOOKUP(C374,[3]report!$A$2:$R$406,5,FALSE)</f>
        <v>4120177249</v>
      </c>
      <c r="G374" s="12" t="str">
        <f>VLOOKUP(C374,[3]report!$A$2:$R$406,8,FALSE)</f>
        <v>Kota Baubau - Kota Makassar</v>
      </c>
      <c r="H374" s="12" t="str">
        <f>VLOOKUP(C374,[3]report!$A$2:$R$406,9,FALSE)</f>
        <v>18/08/2025 - 20/08/2025</v>
      </c>
      <c r="I374" s="13">
        <f>VLOOKUP(C374,[3]report!$A$2:$R$406,17,FALSE)</f>
        <v>744200</v>
      </c>
    </row>
    <row r="375" spans="2:9" x14ac:dyDescent="0.25">
      <c r="B375" s="7">
        <v>370</v>
      </c>
      <c r="C375" s="16">
        <v>1277131948</v>
      </c>
      <c r="D375" s="12" t="str">
        <f>VLOOKUP(C375,[3]report!$A$2:$R$406,3,FALSE)</f>
        <v>ANDY PRADIPTA</v>
      </c>
      <c r="E375" s="7">
        <f>VLOOKUP(C375,[3]report!$A$2:$R$406,4,FALSE)</f>
        <v>92157614</v>
      </c>
      <c r="F375" s="7">
        <f>VLOOKUP(C375,[3]report!$A$2:$R$406,5,FALSE)</f>
        <v>4120177175</v>
      </c>
      <c r="G375" s="12" t="str">
        <f>VLOOKUP(C375,[3]report!$A$2:$R$406,8,FALSE)</f>
        <v>Kota Makassar - Kota Manado</v>
      </c>
      <c r="H375" s="12" t="str">
        <f>VLOOKUP(C375,[3]report!$A$2:$R$406,9,FALSE)</f>
        <v>13/08/2025 - 16/08/2025</v>
      </c>
      <c r="I375" s="13">
        <f>VLOOKUP(C375,[3]report!$A$2:$R$406,17,FALSE)</f>
        <v>769681</v>
      </c>
    </row>
    <row r="376" spans="2:9" x14ac:dyDescent="0.25">
      <c r="B376" s="7">
        <v>371</v>
      </c>
      <c r="C376" s="16">
        <v>1277287667</v>
      </c>
      <c r="D376" s="12" t="str">
        <f>VLOOKUP(C376,[3]report!$A$2:$R$406,3,FALSE)</f>
        <v>KRISNA DIAN SAPUTRA</v>
      </c>
      <c r="E376" s="7">
        <f>VLOOKUP(C376,[3]report!$A$2:$R$406,4,FALSE)</f>
        <v>96196204</v>
      </c>
      <c r="F376" s="7">
        <f>VLOOKUP(C376,[3]report!$A$2:$R$406,5,FALSE)</f>
        <v>4120177229</v>
      </c>
      <c r="G376" s="12" t="str">
        <f>VLOOKUP(C376,[3]report!$A$2:$R$406,8,FALSE)</f>
        <v>Kota Baubau - Kota Makassar</v>
      </c>
      <c r="H376" s="12" t="str">
        <f>VLOOKUP(C376,[3]report!$A$2:$R$406,9,FALSE)</f>
        <v>18/08/2025 - 20/08/2025</v>
      </c>
      <c r="I376" s="13">
        <f>VLOOKUP(C376,[3]report!$A$2:$R$406,17,FALSE)</f>
        <v>806250</v>
      </c>
    </row>
    <row r="377" spans="2:9" x14ac:dyDescent="0.25">
      <c r="B377" s="7">
        <v>372</v>
      </c>
      <c r="C377" s="16">
        <v>1277304535</v>
      </c>
      <c r="D377" s="12" t="str">
        <f>VLOOKUP(C377,[3]report!$A$2:$R$406,3,FALSE)</f>
        <v>MUHAMMAD HUSNI TAMRIN</v>
      </c>
      <c r="E377" s="7">
        <f>VLOOKUP(C377,[3]report!$A$2:$R$406,4,FALSE)</f>
        <v>92187600</v>
      </c>
      <c r="F377" s="7">
        <f>VLOOKUP(C377,[3]report!$A$2:$R$406,5,FALSE)</f>
        <v>4120177248</v>
      </c>
      <c r="G377" s="12" t="str">
        <f>VLOOKUP(C377,[3]report!$A$2:$R$406,8,FALSE)</f>
        <v>Kota Kendari - Kota Makassar</v>
      </c>
      <c r="H377" s="12" t="str">
        <f>VLOOKUP(C377,[3]report!$A$2:$R$406,9,FALSE)</f>
        <v>18/08/2025 - 20/08/2025</v>
      </c>
      <c r="I377" s="13">
        <f>VLOOKUP(C377,[3]report!$A$2:$R$406,17,FALSE)</f>
        <v>816300</v>
      </c>
    </row>
    <row r="378" spans="2:9" x14ac:dyDescent="0.25">
      <c r="B378" s="7">
        <v>373</v>
      </c>
      <c r="C378" s="16">
        <v>1277276125</v>
      </c>
      <c r="D378" s="12" t="str">
        <f>VLOOKUP(C378,[3]report!$A$2:$R$406,3,FALSE)</f>
        <v>ANDI FAKHRUL SAM</v>
      </c>
      <c r="E378" s="7">
        <f>VLOOKUP(C378,[3]report!$A$2:$R$406,4,FALSE)</f>
        <v>93137642</v>
      </c>
      <c r="F378" s="7">
        <f>VLOOKUP(C378,[3]report!$A$2:$R$406,5,FALSE)</f>
        <v>4120177249</v>
      </c>
      <c r="G378" s="12" t="str">
        <f>VLOOKUP(C378,[3]report!$A$2:$R$406,8,FALSE)</f>
        <v>Kota Baubau - Kota Makassar</v>
      </c>
      <c r="H378" s="12" t="str">
        <f>VLOOKUP(C378,[3]report!$A$2:$R$406,9,FALSE)</f>
        <v>18/08/2025 - 20/08/2025</v>
      </c>
      <c r="I378" s="13">
        <f>VLOOKUP(C378,[3]report!$A$2:$R$406,17,FALSE)</f>
        <v>844100</v>
      </c>
    </row>
    <row r="379" spans="2:9" x14ac:dyDescent="0.25">
      <c r="B379" s="7">
        <v>374</v>
      </c>
      <c r="C379" s="16">
        <v>1277238315</v>
      </c>
      <c r="D379" s="12" t="str">
        <f>VLOOKUP(C379,[3]report!$A$2:$R$406,3,FALSE)</f>
        <v>HADHI BAGUS SETYANTO</v>
      </c>
      <c r="E379" s="7">
        <f>VLOOKUP(C379,[3]report!$A$2:$R$406,4,FALSE)</f>
        <v>87117602</v>
      </c>
      <c r="F379" s="7">
        <f>VLOOKUP(C379,[3]report!$A$2:$R$406,5,FALSE)</f>
        <v>4120177180</v>
      </c>
      <c r="G379" s="12" t="str">
        <f>VLOOKUP(C379,[3]report!$A$2:$R$406,8,FALSE)</f>
        <v>Kota Makassar - Kota Manado</v>
      </c>
      <c r="H379" s="12" t="str">
        <f>VLOOKUP(C379,[3]report!$A$2:$R$406,9,FALSE)</f>
        <v>13/08/2025 - 16/08/2025</v>
      </c>
      <c r="I379" s="13">
        <f>VLOOKUP(C379,[3]report!$A$2:$R$406,17,FALSE)</f>
        <v>844110</v>
      </c>
    </row>
    <row r="380" spans="2:9" x14ac:dyDescent="0.25">
      <c r="B380" s="7">
        <v>375</v>
      </c>
      <c r="C380" s="16">
        <v>1277206337</v>
      </c>
      <c r="D380" s="12" t="str">
        <f>VLOOKUP(C380,[3]report!$A$2:$R$406,3,FALSE)</f>
        <v>HADI YUSRAN ZAENAL ABIDIN</v>
      </c>
      <c r="E380" s="7">
        <f>VLOOKUP(C380,[3]report!$A$2:$R$406,4,FALSE)</f>
        <v>90087600</v>
      </c>
      <c r="F380" s="7">
        <f>VLOOKUP(C380,[3]report!$A$2:$R$406,5,FALSE)</f>
        <v>4120177240</v>
      </c>
      <c r="G380" s="12" t="str">
        <f>VLOOKUP(C380,[3]report!$A$2:$R$406,8,FALSE)</f>
        <v>Kota Kendari - Kota Makassar</v>
      </c>
      <c r="H380" s="12" t="str">
        <f>VLOOKUP(C380,[3]report!$A$2:$R$406,9,FALSE)</f>
        <v>14/08/2025 - 16/08/2025</v>
      </c>
      <c r="I380" s="13">
        <f>VLOOKUP(C380,[3]report!$A$2:$R$406,17,FALSE)</f>
        <v>869842</v>
      </c>
    </row>
    <row r="381" spans="2:9" x14ac:dyDescent="0.25">
      <c r="B381" s="7">
        <v>376</v>
      </c>
      <c r="C381" s="16">
        <v>1277306309</v>
      </c>
      <c r="D381" s="12" t="str">
        <f>VLOOKUP(C381,[3]report!$A$2:$R$406,3,FALSE)</f>
        <v>ANDI BASO MAKKARAKA</v>
      </c>
      <c r="E381" s="7">
        <f>VLOOKUP(C381,[3]report!$A$2:$R$406,4,FALSE)</f>
        <v>81067403</v>
      </c>
      <c r="F381" s="7">
        <f>VLOOKUP(C381,[3]report!$A$2:$R$406,5,FALSE)</f>
        <v>4120177247</v>
      </c>
      <c r="G381" s="12" t="str">
        <f>VLOOKUP(C381,[3]report!$A$2:$R$406,8,FALSE)</f>
        <v>Kab. Luwu Timur - Kab. Luwu Timur</v>
      </c>
      <c r="H381" s="12" t="str">
        <f>VLOOKUP(C381,[3]report!$A$2:$R$406,9,FALSE)</f>
        <v>19/08/2025 - 23/08/2025</v>
      </c>
      <c r="I381" s="13">
        <f>VLOOKUP(C381,[3]report!$A$2:$R$406,17,FALSE)</f>
        <v>1455300</v>
      </c>
    </row>
    <row r="382" spans="2:9" x14ac:dyDescent="0.25">
      <c r="B382" s="7">
        <v>377</v>
      </c>
      <c r="C382" s="16">
        <v>1277327618</v>
      </c>
      <c r="D382" s="12" t="str">
        <f>VLOOKUP(C382,[3]report!$A$2:$R$406,3,FALSE)</f>
        <v>MUHAMMAD HUSNI TAMRIN</v>
      </c>
      <c r="E382" s="7">
        <f>VLOOKUP(C382,[3]report!$A$2:$R$406,4,FALSE)</f>
        <v>92187600</v>
      </c>
      <c r="F382" s="7">
        <f>VLOOKUP(C382,[3]report!$A$2:$R$406,5,FALSE)</f>
        <v>4120177248</v>
      </c>
      <c r="G382" s="12" t="str">
        <f>VLOOKUP(C382,[3]report!$A$2:$R$406,8,FALSE)</f>
        <v>Kota Kendari - Kota Makassar</v>
      </c>
      <c r="H382" s="12" t="str">
        <f>VLOOKUP(C382,[3]report!$A$2:$R$406,9,FALSE)</f>
        <v>18/08/2025 - 20/08/2025</v>
      </c>
      <c r="I382" s="13">
        <f>VLOOKUP(C382,[3]report!$A$2:$R$406,17,FALSE)</f>
        <v>1612500</v>
      </c>
    </row>
    <row r="383" spans="2:9" x14ac:dyDescent="0.25">
      <c r="B383" s="7">
        <v>378</v>
      </c>
      <c r="C383" s="16">
        <v>1277160091</v>
      </c>
      <c r="D383" s="12" t="str">
        <f>VLOOKUP(C383,[3]report!$A$2:$R$406,3,FALSE)</f>
        <v>MUHAMMAD SOFYAN SUSANTO</v>
      </c>
      <c r="E383" s="7">
        <f>VLOOKUP(C383,[3]report!$A$2:$R$406,4,FALSE)</f>
        <v>97167841</v>
      </c>
      <c r="F383" s="7">
        <f>VLOOKUP(C383,[3]report!$A$2:$R$406,5,FALSE)</f>
        <v>4120177176</v>
      </c>
      <c r="G383" s="12" t="str">
        <f>VLOOKUP(C383,[3]report!$A$2:$R$406,8,FALSE)</f>
        <v>Kota Makassar - Kota Manado</v>
      </c>
      <c r="H383" s="12" t="str">
        <f>VLOOKUP(C383,[3]report!$A$2:$R$406,9,FALSE)</f>
        <v>13/08/2025 - 16/08/2025</v>
      </c>
      <c r="I383" s="13">
        <f>VLOOKUP(C383,[3]report!$A$2:$R$406,17,FALSE)</f>
        <v>2863400</v>
      </c>
    </row>
    <row r="384" spans="2:9" x14ac:dyDescent="0.25">
      <c r="B384" s="7">
        <v>379</v>
      </c>
      <c r="C384" s="16">
        <v>1277518512</v>
      </c>
      <c r="D384" s="12" t="str">
        <f>VLOOKUP(C384,[3]report!$A$2:$R$406,3,FALSE)</f>
        <v>AHMAD AMIRUL SYARIF</v>
      </c>
      <c r="E384" s="7">
        <f>VLOOKUP(C384,[3]report!$A$2:$R$406,4,FALSE)</f>
        <v>87108002</v>
      </c>
      <c r="F384" s="7">
        <f>VLOOKUP(C384,[3]report!$A$2:$R$406,5,FALSE)</f>
        <v>4120177272</v>
      </c>
      <c r="G384" s="12" t="str">
        <f>VLOOKUP(C384,[3]report!$A$2:$R$406,8,FALSE)</f>
        <v>Kota Makassar - Jakarta Pusat</v>
      </c>
      <c r="H384" s="12" t="str">
        <f>VLOOKUP(C384,[3]report!$A$2:$R$406,9,FALSE)</f>
        <v>19/08/2025 - 21/08/2025</v>
      </c>
      <c r="I384" s="13">
        <f>VLOOKUP(C384,[3]report!$A$2:$R$406,17,FALSE)</f>
        <v>1578600</v>
      </c>
    </row>
    <row r="385" spans="2:9" x14ac:dyDescent="0.25">
      <c r="B385" s="7">
        <v>380</v>
      </c>
      <c r="C385" s="16">
        <v>1277517205</v>
      </c>
      <c r="D385" s="12" t="str">
        <f>VLOOKUP(C385,[3]report!$A$2:$R$406,3,FALSE)</f>
        <v xml:space="preserve">EDYANSYAH </v>
      </c>
      <c r="E385" s="7">
        <f>VLOOKUP(C385,[3]report!$A$2:$R$406,4,FALSE)</f>
        <v>70957602</v>
      </c>
      <c r="F385" s="7">
        <f>VLOOKUP(C385,[3]report!$A$2:$R$406,5,FALSE)</f>
        <v>4120177253</v>
      </c>
      <c r="G385" s="12" t="str">
        <f>VLOOKUP(C385,[3]report!$A$2:$R$406,8,FALSE)</f>
        <v>Kota Makassar - Jakarta Pusat - Kota Bandung</v>
      </c>
      <c r="H385" s="12" t="str">
        <f>VLOOKUP(C385,[3]report!$A$2:$R$406,9,FALSE)</f>
        <v>19/08/2025 - 22/08/2025</v>
      </c>
      <c r="I385" s="13">
        <f>VLOOKUP(C385,[3]report!$A$2:$R$406,17,FALSE)</f>
        <v>1578600</v>
      </c>
    </row>
    <row r="386" spans="2:9" x14ac:dyDescent="0.25">
      <c r="B386" s="7">
        <v>381</v>
      </c>
      <c r="C386" s="16">
        <v>1277523263</v>
      </c>
      <c r="D386" s="12" t="str">
        <f>VLOOKUP(C386,[3]report!$A$2:$R$406,3,FALSE)</f>
        <v xml:space="preserve">DAMBARUDIN </v>
      </c>
      <c r="E386" s="7">
        <f>VLOOKUP(C386,[3]report!$A$2:$R$406,4,FALSE)</f>
        <v>76037600</v>
      </c>
      <c r="F386" s="7">
        <f>VLOOKUP(C386,[3]report!$A$2:$R$406,5,FALSE)</f>
        <v>4120177246</v>
      </c>
      <c r="G386" s="12" t="str">
        <f>VLOOKUP(C386,[3]report!$A$2:$R$406,8,FALSE)</f>
        <v>Kota Baubau - Kota Bogor</v>
      </c>
      <c r="H386" s="12" t="str">
        <f>VLOOKUP(C386,[3]report!$A$2:$R$406,9,FALSE)</f>
        <v>18/08/2025 - 23/08/2025</v>
      </c>
      <c r="I386" s="13">
        <f>VLOOKUP(C386,[3]report!$A$2:$R$406,17,FALSE)</f>
        <v>1785400</v>
      </c>
    </row>
    <row r="387" spans="2:9" x14ac:dyDescent="0.25">
      <c r="B387" s="7">
        <v>382</v>
      </c>
      <c r="C387" s="16">
        <v>1277477141</v>
      </c>
      <c r="D387" s="12" t="str">
        <f>VLOOKUP(C387,[3]report!$A$2:$R$406,3,FALSE)</f>
        <v>INRIANI WARDANI</v>
      </c>
      <c r="E387" s="7">
        <f>VLOOKUP(C387,[3]report!$A$2:$R$406,4,FALSE)</f>
        <v>87107606</v>
      </c>
      <c r="F387" s="7">
        <f>VLOOKUP(C387,[3]report!$A$2:$R$406,5,FALSE)</f>
        <v>4120177254</v>
      </c>
      <c r="G387" s="12" t="str">
        <f>VLOOKUP(C387,[3]report!$A$2:$R$406,8,FALSE)</f>
        <v>Kota Makassar - Jakarta Pusat</v>
      </c>
      <c r="H387" s="12" t="str">
        <f>VLOOKUP(C387,[3]report!$A$2:$R$406,9,FALSE)</f>
        <v>18/08/2025 - 20/08/2025</v>
      </c>
      <c r="I387" s="13">
        <f>VLOOKUP(C387,[3]report!$A$2:$R$406,17,FALSE)</f>
        <v>2353400</v>
      </c>
    </row>
    <row r="388" spans="2:9" x14ac:dyDescent="0.25">
      <c r="B388" s="7">
        <v>383</v>
      </c>
      <c r="C388" s="16">
        <v>1277561412</v>
      </c>
      <c r="D388" s="12" t="str">
        <f>VLOOKUP(C388,[3]report!$A$2:$R$406,3,FALSE)</f>
        <v>YULI ASHANIAIS RAMADANI</v>
      </c>
      <c r="E388" s="7">
        <f>VLOOKUP(C388,[3]report!$A$2:$R$406,4,FALSE)</f>
        <v>79047601</v>
      </c>
      <c r="F388" s="7">
        <f>VLOOKUP(C388,[3]report!$A$2:$R$406,5,FALSE)</f>
        <v>4120177270</v>
      </c>
      <c r="G388" s="12" t="str">
        <f>VLOOKUP(C388,[3]report!$A$2:$R$406,8,FALSE)</f>
        <v>Kota Makassar - Jakarta Pusat</v>
      </c>
      <c r="H388" s="12" t="str">
        <f>VLOOKUP(C388,[3]report!$A$2:$R$406,9,FALSE)</f>
        <v>18/08/2025 - 20/08/2025</v>
      </c>
      <c r="I388" s="13">
        <f>VLOOKUP(C388,[3]report!$A$2:$R$406,17,FALSE)</f>
        <v>2353400</v>
      </c>
    </row>
    <row r="389" spans="2:9" x14ac:dyDescent="0.25">
      <c r="B389" s="7">
        <v>384</v>
      </c>
      <c r="C389" s="16">
        <v>1277477834</v>
      </c>
      <c r="D389" s="12" t="str">
        <f>VLOOKUP(C389,[3]report!$A$2:$R$406,3,FALSE)</f>
        <v>ANDI DWI MULYANA</v>
      </c>
      <c r="E389" s="7">
        <f>VLOOKUP(C389,[3]report!$A$2:$R$406,4,FALSE)</f>
        <v>77037604</v>
      </c>
      <c r="F389" s="7">
        <f>VLOOKUP(C389,[3]report!$A$2:$R$406,5,FALSE)</f>
        <v>4120177267</v>
      </c>
      <c r="G389" s="12" t="str">
        <f>VLOOKUP(C389,[3]report!$A$2:$R$406,8,FALSE)</f>
        <v>Kota Makassar - Jakarta Pusat</v>
      </c>
      <c r="H389" s="12" t="str">
        <f>VLOOKUP(C389,[3]report!$A$2:$R$406,9,FALSE)</f>
        <v>18/08/2025 - 20/08/2025</v>
      </c>
      <c r="I389" s="13">
        <f>VLOOKUP(C389,[3]report!$A$2:$R$406,17,FALSE)</f>
        <v>2353400</v>
      </c>
    </row>
    <row r="390" spans="2:9" x14ac:dyDescent="0.25">
      <c r="B390" s="7">
        <v>385</v>
      </c>
      <c r="C390" s="16">
        <v>1277512031</v>
      </c>
      <c r="D390" s="12" t="str">
        <f>VLOOKUP(C390,[3]report!$A$2:$R$406,3,FALSE)</f>
        <v>AGUS PUTRA ABBAS</v>
      </c>
      <c r="E390" s="7">
        <f>VLOOKUP(C390,[3]report!$A$2:$R$406,4,FALSE)</f>
        <v>87147800</v>
      </c>
      <c r="F390" s="7">
        <f>VLOOKUP(C390,[3]report!$A$2:$R$406,5,FALSE)</f>
        <v>4120177259</v>
      </c>
      <c r="G390" s="12" t="str">
        <f>VLOOKUP(C390,[3]report!$A$2:$R$406,8,FALSE)</f>
        <v>Kota Makassar - Kab. Luwu Timur</v>
      </c>
      <c r="H390" s="12" t="str">
        <f>VLOOKUP(C390,[3]report!$A$2:$R$406,9,FALSE)</f>
        <v>19/08/2025 - 23/08/2025</v>
      </c>
      <c r="I390" s="13">
        <f>VLOOKUP(C390,[3]report!$A$2:$R$406,17,FALSE)</f>
        <v>2810700</v>
      </c>
    </row>
    <row r="391" spans="2:9" x14ac:dyDescent="0.25">
      <c r="B391" s="7">
        <v>386</v>
      </c>
      <c r="C391" s="16">
        <v>1277709682</v>
      </c>
      <c r="D391" s="12" t="str">
        <f>VLOOKUP(C391,[3]report!$A$2:$R$406,3,FALSE)</f>
        <v>MUHAMMAD HIDAYAT ALWI</v>
      </c>
      <c r="E391" s="7">
        <f>VLOOKUP(C391,[3]report!$A$2:$R$406,4,FALSE)</f>
        <v>97196203</v>
      </c>
      <c r="F391" s="7">
        <f>VLOOKUP(C391,[3]report!$A$2:$R$406,5,FALSE)</f>
        <v>4120177225</v>
      </c>
      <c r="G391" s="12" t="str">
        <f>VLOOKUP(C391,[3]report!$A$2:$R$406,8,FALSE)</f>
        <v>Kota Kendari - Kota Makassar</v>
      </c>
      <c r="H391" s="12" t="str">
        <f>VLOOKUP(C391,[3]report!$A$2:$R$406,9,FALSE)</f>
        <v>19/08/2025 - 21/08/2025</v>
      </c>
      <c r="I391" s="13">
        <f>VLOOKUP(C391,[3]report!$A$2:$R$406,17,FALSE)</f>
        <v>823000</v>
      </c>
    </row>
    <row r="392" spans="2:9" x14ac:dyDescent="0.25">
      <c r="B392" s="7">
        <v>387</v>
      </c>
      <c r="C392" s="16">
        <v>1277695312</v>
      </c>
      <c r="D392" s="12" t="str">
        <f>VLOOKUP(C392,[3]report!$A$2:$R$406,3,FALSE)</f>
        <v>AGUS HARI WIBOWO</v>
      </c>
      <c r="E392" s="7">
        <f>VLOOKUP(C392,[3]report!$A$2:$R$406,4,FALSE)</f>
        <v>85097602</v>
      </c>
      <c r="F392" s="7">
        <f>VLOOKUP(C392,[3]report!$A$2:$R$406,5,FALSE)</f>
        <v>4120177263</v>
      </c>
      <c r="G392" s="12" t="str">
        <f>VLOOKUP(C392,[3]report!$A$2:$R$406,8,FALSE)</f>
        <v>Kota Makassar - Kota Palopo</v>
      </c>
      <c r="H392" s="12" t="str">
        <f>VLOOKUP(C392,[3]report!$A$2:$R$406,9,FALSE)</f>
        <v>19/08/2025 - 23/08/2025</v>
      </c>
      <c r="I392" s="13">
        <f>VLOOKUP(C392,[3]report!$A$2:$R$406,17,FALSE)</f>
        <v>1455300</v>
      </c>
    </row>
    <row r="393" spans="2:9" x14ac:dyDescent="0.25">
      <c r="B393" s="7">
        <v>388</v>
      </c>
      <c r="C393" s="16">
        <v>1277717963</v>
      </c>
      <c r="D393" s="12" t="str">
        <f>VLOOKUP(C393,[3]report!$A$2:$R$406,3,FALSE)</f>
        <v>HUSLAN HUSAIN</v>
      </c>
      <c r="E393" s="7">
        <f>VLOOKUP(C393,[3]report!$A$2:$R$406,4,FALSE)</f>
        <v>71907601</v>
      </c>
      <c r="F393" s="7">
        <f>VLOOKUP(C393,[3]report!$A$2:$R$406,5,FALSE)</f>
        <v>4120177255</v>
      </c>
      <c r="G393" s="12" t="str">
        <f>VLOOKUP(C393,[3]report!$A$2:$R$406,8,FALSE)</f>
        <v>Kota Makassar - Jakarta Pusat - Kota Bandung</v>
      </c>
      <c r="H393" s="12" t="str">
        <f>VLOOKUP(C393,[3]report!$A$2:$R$406,9,FALSE)</f>
        <v>18/08/2025 - 23/08/2025</v>
      </c>
      <c r="I393" s="13">
        <f>VLOOKUP(C393,[3]report!$A$2:$R$406,17,FALSE)</f>
        <v>2353400</v>
      </c>
    </row>
    <row r="394" spans="2:9" x14ac:dyDescent="0.25">
      <c r="B394" s="7">
        <v>389</v>
      </c>
      <c r="C394" s="16">
        <v>1277779793</v>
      </c>
      <c r="D394" s="12" t="str">
        <f>VLOOKUP(C394,[3]report!$A$2:$R$406,3,FALSE)</f>
        <v>KRISNA DIAN SAPUTRA</v>
      </c>
      <c r="E394" s="7">
        <f>VLOOKUP(C394,[3]report!$A$2:$R$406,4,FALSE)</f>
        <v>96196204</v>
      </c>
      <c r="F394" s="7">
        <f>VLOOKUP(C394,[3]report!$A$2:$R$406,5,FALSE)</f>
        <v>4120177229</v>
      </c>
      <c r="G394" s="12" t="str">
        <f>VLOOKUP(C394,[3]report!$A$2:$R$406,8,FALSE)</f>
        <v>Kota Baubau - Kota Makassar</v>
      </c>
      <c r="H394" s="12" t="str">
        <f>VLOOKUP(C394,[3]report!$A$2:$R$406,9,FALSE)</f>
        <v>18/08/2025 - 20/08/2025</v>
      </c>
      <c r="I394" s="13">
        <f>VLOOKUP(C394,[3]report!$A$2:$R$406,17,FALSE)</f>
        <v>844100</v>
      </c>
    </row>
    <row r="395" spans="2:9" x14ac:dyDescent="0.25">
      <c r="B395" s="7">
        <v>390</v>
      </c>
      <c r="C395" s="16">
        <v>1277752131</v>
      </c>
      <c r="D395" s="12" t="str">
        <f>VLOOKUP(C395,[3]report!$A$2:$R$406,3,FALSE)</f>
        <v>MUHAMMAD HIDAYAT ALWI</v>
      </c>
      <c r="E395" s="7">
        <f>VLOOKUP(C395,[3]report!$A$2:$R$406,4,FALSE)</f>
        <v>97196203</v>
      </c>
      <c r="F395" s="7">
        <f>VLOOKUP(C395,[3]report!$A$2:$R$406,5,FALSE)</f>
        <v>4120177225</v>
      </c>
      <c r="G395" s="12" t="str">
        <f>VLOOKUP(C395,[3]report!$A$2:$R$406,8,FALSE)</f>
        <v>Kota Kendari - Kota Makassar</v>
      </c>
      <c r="H395" s="12" t="str">
        <f>VLOOKUP(C395,[3]report!$A$2:$R$406,9,FALSE)</f>
        <v>19/08/2025 - 21/08/2025</v>
      </c>
      <c r="I395" s="13">
        <f>VLOOKUP(C395,[3]report!$A$2:$R$406,17,FALSE)</f>
        <v>1577035</v>
      </c>
    </row>
    <row r="396" spans="2:9" x14ac:dyDescent="0.25">
      <c r="B396" s="7">
        <v>391</v>
      </c>
      <c r="C396" s="16">
        <v>1277867687</v>
      </c>
      <c r="D396" s="12" t="str">
        <f>VLOOKUP(C396,[3]report!$A$2:$R$406,3,FALSE)</f>
        <v>DALMASIUS NUGROHO ADI PUTRANTO</v>
      </c>
      <c r="E396" s="7">
        <f>VLOOKUP(C396,[3]report!$A$2:$R$406,4,FALSE)</f>
        <v>80077601</v>
      </c>
      <c r="F396" s="7">
        <f>VLOOKUP(C396,[3]report!$A$2:$R$406,5,FALSE)</f>
        <v>4120177281</v>
      </c>
      <c r="G396" s="12" t="str">
        <f>VLOOKUP(C396,[3]report!$A$2:$R$406,8,FALSE)</f>
        <v>Kota Makassar - Kota Bogor</v>
      </c>
      <c r="H396" s="12" t="str">
        <f>VLOOKUP(C396,[3]report!$A$2:$R$406,9,FALSE)</f>
        <v>18/08/2025 - 22/08/2025</v>
      </c>
      <c r="I396" s="13">
        <f>VLOOKUP(C396,[3]report!$A$2:$R$406,17,FALSE)</f>
        <v>1292500</v>
      </c>
    </row>
    <row r="397" spans="2:9" x14ac:dyDescent="0.25">
      <c r="B397" s="7">
        <v>392</v>
      </c>
      <c r="C397" s="16">
        <v>1277934829</v>
      </c>
      <c r="D397" s="12" t="str">
        <f>VLOOKUP(C397,[3]report!$A$2:$R$406,3,FALSE)</f>
        <v>KRESKY YULIANTO</v>
      </c>
      <c r="E397" s="7">
        <f>VLOOKUP(C397,[3]report!$A$2:$R$406,4,FALSE)</f>
        <v>96137676</v>
      </c>
      <c r="F397" s="7">
        <f>VLOOKUP(C397,[3]report!$A$2:$R$406,5,FALSE)</f>
        <v>4120177251</v>
      </c>
      <c r="G397" s="12" t="str">
        <f>VLOOKUP(C397,[3]report!$A$2:$R$406,8,FALSE)</f>
        <v>Kota Makassar - Kab. Mamuju</v>
      </c>
      <c r="H397" s="12" t="str">
        <f>VLOOKUP(C397,[3]report!$A$2:$R$406,9,FALSE)</f>
        <v>18/08/2025 - 22/08/2025</v>
      </c>
      <c r="I397" s="13">
        <f>VLOOKUP(C397,[3]report!$A$2:$R$406,17,FALSE)</f>
        <v>1500000</v>
      </c>
    </row>
    <row r="398" spans="2:9" x14ac:dyDescent="0.25">
      <c r="B398" s="7">
        <v>393</v>
      </c>
      <c r="C398" s="16">
        <v>1277944882</v>
      </c>
      <c r="D398" s="12" t="str">
        <f>VLOOKUP(C398,[3]report!$A$2:$R$406,3,FALSE)</f>
        <v>HUSLAN HUSAIN</v>
      </c>
      <c r="E398" s="7">
        <f>VLOOKUP(C398,[3]report!$A$2:$R$406,4,FALSE)</f>
        <v>71907601</v>
      </c>
      <c r="F398" s="7">
        <f>VLOOKUP(C398,[3]report!$A$2:$R$406,5,FALSE)</f>
        <v>4120177255</v>
      </c>
      <c r="G398" s="12" t="str">
        <f>VLOOKUP(C398,[3]report!$A$2:$R$406,8,FALSE)</f>
        <v>Kota Makassar - Jakarta Pusat - Kota Bandung</v>
      </c>
      <c r="H398" s="12" t="str">
        <f>VLOOKUP(C398,[3]report!$A$2:$R$406,9,FALSE)</f>
        <v>18/08/2025 - 23/08/2025</v>
      </c>
      <c r="I398" s="13">
        <f>VLOOKUP(C398,[3]report!$A$2:$R$406,17,FALSE)</f>
        <v>1640000</v>
      </c>
    </row>
    <row r="399" spans="2:9" x14ac:dyDescent="0.25">
      <c r="B399" s="7">
        <v>394</v>
      </c>
      <c r="C399" s="16">
        <v>1277862931</v>
      </c>
      <c r="D399" s="12" t="str">
        <f>VLOOKUP(C399,[3]report!$A$2:$R$406,3,FALSE)</f>
        <v>YULI ASHANIAIS RAMADANI</v>
      </c>
      <c r="E399" s="7">
        <f>VLOOKUP(C399,[3]report!$A$2:$R$406,4,FALSE)</f>
        <v>79047601</v>
      </c>
      <c r="F399" s="7">
        <f>VLOOKUP(C399,[3]report!$A$2:$R$406,5,FALSE)</f>
        <v>4120177270</v>
      </c>
      <c r="G399" s="12" t="str">
        <f>VLOOKUP(C399,[3]report!$A$2:$R$406,8,FALSE)</f>
        <v>Kota Makassar - Jakarta Pusat</v>
      </c>
      <c r="H399" s="12" t="str">
        <f>VLOOKUP(C399,[3]report!$A$2:$R$406,9,FALSE)</f>
        <v>18/08/2025 - 20/08/2025</v>
      </c>
      <c r="I399" s="13">
        <f>VLOOKUP(C399,[3]report!$A$2:$R$406,17,FALSE)</f>
        <v>3105320</v>
      </c>
    </row>
    <row r="400" spans="2:9" x14ac:dyDescent="0.25">
      <c r="B400" s="7">
        <v>395</v>
      </c>
      <c r="C400" s="16">
        <v>1278037660</v>
      </c>
      <c r="D400" s="12" t="str">
        <f>VLOOKUP(C400,[3]report!$A$2:$R$406,3,FALSE)</f>
        <v>ANDI WARIS</v>
      </c>
      <c r="E400" s="7">
        <f>VLOOKUP(C400,[3]report!$A$2:$R$406,4,FALSE)</f>
        <v>95197613</v>
      </c>
      <c r="F400" s="7">
        <f>VLOOKUP(C400,[3]report!$A$2:$R$406,5,FALSE)</f>
        <v>4120177210</v>
      </c>
      <c r="G400" s="12" t="str">
        <f>VLOOKUP(C400,[3]report!$A$2:$R$406,8,FALSE)</f>
        <v>Kota Kendari - Kota Makassar</v>
      </c>
      <c r="H400" s="12" t="str">
        <f>VLOOKUP(C400,[3]report!$A$2:$R$406,9,FALSE)</f>
        <v>18/08/2025 - 20/08/2025</v>
      </c>
      <c r="I400" s="13">
        <f>VLOOKUP(C400,[3]report!$A$2:$R$406,17,FALSE)</f>
        <v>782100</v>
      </c>
    </row>
    <row r="401" spans="2:9" x14ac:dyDescent="0.25">
      <c r="B401" s="7">
        <v>396</v>
      </c>
      <c r="C401" s="16">
        <v>1278008256</v>
      </c>
      <c r="D401" s="12" t="str">
        <f>VLOOKUP(C401,[3]report!$A$2:$R$406,3,FALSE)</f>
        <v>AHMAD FATHAN MAARIF</v>
      </c>
      <c r="E401" s="7">
        <f>VLOOKUP(C401,[3]report!$A$2:$R$406,4,FALSE)</f>
        <v>96197614</v>
      </c>
      <c r="F401" s="7">
        <f>VLOOKUP(C401,[3]report!$A$2:$R$406,5,FALSE)</f>
        <v>4120177235</v>
      </c>
      <c r="G401" s="12" t="str">
        <f>VLOOKUP(C401,[3]report!$A$2:$R$406,8,FALSE)</f>
        <v>Kota Kendari - Kota Makassar</v>
      </c>
      <c r="H401" s="12" t="str">
        <f>VLOOKUP(C401,[3]report!$A$2:$R$406,9,FALSE)</f>
        <v>19/08/2025 - 21/08/2025</v>
      </c>
      <c r="I401" s="13">
        <f>VLOOKUP(C401,[3]report!$A$2:$R$406,17,FALSE)</f>
        <v>828750</v>
      </c>
    </row>
    <row r="402" spans="2:9" x14ac:dyDescent="0.25">
      <c r="B402" s="7">
        <v>397</v>
      </c>
      <c r="C402" s="16">
        <v>1277998657</v>
      </c>
      <c r="D402" s="12" t="str">
        <f>VLOOKUP(C402,[3]report!$A$2:$R$406,3,FALSE)</f>
        <v>RACHMAT NUR</v>
      </c>
      <c r="E402" s="7">
        <f>VLOOKUP(C402,[3]report!$A$2:$R$406,4,FALSE)</f>
        <v>78068001</v>
      </c>
      <c r="F402" s="7">
        <f>VLOOKUP(C402,[3]report!$A$2:$R$406,5,FALSE)</f>
        <v>4120177283</v>
      </c>
      <c r="G402" s="12" t="str">
        <f>VLOOKUP(C402,[3]report!$A$2:$R$406,8,FALSE)</f>
        <v>Kota Makassar - Jakarta Selatan</v>
      </c>
      <c r="H402" s="12" t="str">
        <f>VLOOKUP(C402,[3]report!$A$2:$R$406,9,FALSE)</f>
        <v>19/08/2025 - 20/08/2025</v>
      </c>
      <c r="I402" s="13">
        <f>VLOOKUP(C402,[3]report!$A$2:$R$406,17,FALSE)</f>
        <v>1751500</v>
      </c>
    </row>
    <row r="403" spans="2:9" x14ac:dyDescent="0.25">
      <c r="B403" s="7">
        <v>398</v>
      </c>
      <c r="C403" s="16">
        <v>1278083781</v>
      </c>
      <c r="D403" s="12" t="s">
        <v>31</v>
      </c>
      <c r="E403" s="7">
        <v>78068001</v>
      </c>
      <c r="F403" s="7">
        <v>4120177283</v>
      </c>
      <c r="G403" s="12" t="s">
        <v>32</v>
      </c>
      <c r="H403" s="12" t="s">
        <v>33</v>
      </c>
      <c r="I403" s="13">
        <v>628304</v>
      </c>
    </row>
    <row r="404" spans="2:9" x14ac:dyDescent="0.25">
      <c r="B404" s="7">
        <v>399</v>
      </c>
      <c r="C404" s="23">
        <v>1278173222</v>
      </c>
      <c r="D404" s="24" t="s">
        <v>34</v>
      </c>
      <c r="E404" s="25">
        <v>88128002</v>
      </c>
      <c r="F404" s="26">
        <v>4120177305</v>
      </c>
      <c r="G404" s="24" t="s">
        <v>35</v>
      </c>
      <c r="H404" s="27" t="s">
        <v>36</v>
      </c>
      <c r="I404" s="28">
        <v>959040</v>
      </c>
    </row>
    <row r="405" spans="2:9" x14ac:dyDescent="0.25">
      <c r="B405" s="7">
        <v>400</v>
      </c>
      <c r="C405" s="23">
        <v>1278121540</v>
      </c>
      <c r="D405" s="24" t="s">
        <v>37</v>
      </c>
      <c r="E405" s="26">
        <v>81067403</v>
      </c>
      <c r="F405" s="25">
        <v>4120177247</v>
      </c>
      <c r="G405" s="24" t="s">
        <v>38</v>
      </c>
      <c r="H405" s="29" t="s">
        <v>39</v>
      </c>
      <c r="I405" s="28">
        <v>1082462</v>
      </c>
    </row>
    <row r="406" spans="2:9" x14ac:dyDescent="0.25">
      <c r="B406" s="7">
        <v>401</v>
      </c>
      <c r="C406" s="23">
        <v>1278123026</v>
      </c>
      <c r="D406" s="24" t="s">
        <v>40</v>
      </c>
      <c r="E406" s="26">
        <v>87147800</v>
      </c>
      <c r="F406" s="26">
        <v>4120177259</v>
      </c>
      <c r="G406" s="24" t="s">
        <v>41</v>
      </c>
      <c r="H406" s="30" t="s">
        <v>39</v>
      </c>
      <c r="I406" s="28">
        <v>1202971</v>
      </c>
    </row>
    <row r="407" spans="2:9" x14ac:dyDescent="0.25">
      <c r="B407" s="7">
        <v>402</v>
      </c>
      <c r="C407" s="23">
        <v>1278122369</v>
      </c>
      <c r="D407" s="24" t="s">
        <v>42</v>
      </c>
      <c r="E407" s="25">
        <v>85097602</v>
      </c>
      <c r="F407" s="25">
        <v>4120177263</v>
      </c>
      <c r="G407" s="27" t="s">
        <v>43</v>
      </c>
      <c r="H407" s="27" t="s">
        <v>39</v>
      </c>
      <c r="I407" s="28">
        <v>1279531</v>
      </c>
    </row>
    <row r="408" spans="2:9" x14ac:dyDescent="0.25">
      <c r="B408" s="7">
        <v>403</v>
      </c>
      <c r="C408" s="23">
        <v>1278088200</v>
      </c>
      <c r="D408" s="24" t="s">
        <v>44</v>
      </c>
      <c r="E408" s="26">
        <v>87108002</v>
      </c>
      <c r="F408" s="26">
        <v>4120177272</v>
      </c>
      <c r="G408" s="24" t="s">
        <v>45</v>
      </c>
      <c r="H408" s="30" t="s">
        <v>46</v>
      </c>
      <c r="I408" s="28">
        <v>1295641</v>
      </c>
    </row>
    <row r="409" spans="2:9" x14ac:dyDescent="0.25">
      <c r="B409" s="7">
        <v>404</v>
      </c>
      <c r="C409" s="23">
        <v>1278206270</v>
      </c>
      <c r="D409" s="24" t="s">
        <v>47</v>
      </c>
      <c r="E409" s="26">
        <v>87127603</v>
      </c>
      <c r="F409" s="26">
        <v>4120177306</v>
      </c>
      <c r="G409" s="24" t="s">
        <v>48</v>
      </c>
      <c r="H409" s="30" t="s">
        <v>49</v>
      </c>
      <c r="I409" s="28">
        <v>1456100</v>
      </c>
    </row>
    <row r="410" spans="2:9" x14ac:dyDescent="0.25">
      <c r="B410" s="7">
        <v>405</v>
      </c>
      <c r="C410" s="23">
        <v>1278171476</v>
      </c>
      <c r="D410" s="24" t="s">
        <v>50</v>
      </c>
      <c r="E410" s="26">
        <v>86097601</v>
      </c>
      <c r="F410" s="26">
        <v>4120177295</v>
      </c>
      <c r="G410" s="24" t="s">
        <v>48</v>
      </c>
      <c r="H410" s="31" t="s">
        <v>49</v>
      </c>
      <c r="I410" s="28">
        <v>1456100</v>
      </c>
    </row>
    <row r="411" spans="2:9" x14ac:dyDescent="0.25">
      <c r="B411" s="7">
        <v>406</v>
      </c>
      <c r="C411" s="23">
        <v>1278195548</v>
      </c>
      <c r="D411" s="24" t="s">
        <v>51</v>
      </c>
      <c r="E411" s="26">
        <v>87117615</v>
      </c>
      <c r="F411" s="26">
        <v>4120177310</v>
      </c>
      <c r="G411" s="24" t="s">
        <v>48</v>
      </c>
      <c r="H411" s="30" t="s">
        <v>49</v>
      </c>
      <c r="I411" s="28">
        <v>1456100</v>
      </c>
    </row>
    <row r="412" spans="2:9" x14ac:dyDescent="0.25">
      <c r="B412" s="7">
        <v>407</v>
      </c>
      <c r="C412" s="23">
        <v>1278160856</v>
      </c>
      <c r="D412" s="24" t="s">
        <v>52</v>
      </c>
      <c r="E412" s="26">
        <v>87107606</v>
      </c>
      <c r="F412" s="26">
        <v>4120177254</v>
      </c>
      <c r="G412" s="24" t="s">
        <v>45</v>
      </c>
      <c r="H412" s="30" t="s">
        <v>53</v>
      </c>
      <c r="I412" s="28">
        <v>1808900</v>
      </c>
    </row>
    <row r="413" spans="2:9" hidden="1" x14ac:dyDescent="0.25">
      <c r="B413" s="7">
        <v>407</v>
      </c>
      <c r="C413" s="16"/>
      <c r="D413" s="12"/>
      <c r="E413" s="7"/>
      <c r="F413" s="7"/>
      <c r="G413" s="12"/>
      <c r="H413" s="12"/>
      <c r="I413" s="32"/>
    </row>
    <row r="414" spans="2:9" hidden="1" x14ac:dyDescent="0.25">
      <c r="B414" s="7">
        <v>408</v>
      </c>
      <c r="C414" s="16"/>
      <c r="D414" s="12"/>
      <c r="E414" s="7"/>
      <c r="F414" s="7"/>
      <c r="G414" s="12"/>
      <c r="H414" s="12"/>
      <c r="I414" s="32"/>
    </row>
    <row r="415" spans="2:9" hidden="1" x14ac:dyDescent="0.25">
      <c r="B415" s="7">
        <v>409</v>
      </c>
      <c r="C415" s="16"/>
      <c r="D415" s="12"/>
      <c r="E415" s="7"/>
      <c r="F415" s="7"/>
      <c r="G415" s="12"/>
      <c r="H415" s="12"/>
      <c r="I415" s="32"/>
    </row>
    <row r="416" spans="2:9" hidden="1" x14ac:dyDescent="0.25">
      <c r="B416" s="7">
        <v>410</v>
      </c>
      <c r="C416" s="16"/>
      <c r="D416" s="12"/>
      <c r="E416" s="7"/>
      <c r="F416" s="7"/>
      <c r="G416" s="12"/>
      <c r="H416" s="12"/>
      <c r="I416" s="32"/>
    </row>
    <row r="417" spans="2:9" hidden="1" x14ac:dyDescent="0.25">
      <c r="B417" s="7">
        <v>411</v>
      </c>
      <c r="C417" s="16"/>
      <c r="D417" s="12"/>
      <c r="E417" s="7"/>
      <c r="F417" s="7"/>
      <c r="G417" s="12"/>
      <c r="H417" s="12"/>
      <c r="I417" s="32"/>
    </row>
    <row r="418" spans="2:9" hidden="1" x14ac:dyDescent="0.25">
      <c r="B418" s="7">
        <v>412</v>
      </c>
      <c r="C418" s="16"/>
      <c r="D418" s="12"/>
      <c r="E418" s="7"/>
      <c r="F418" s="7"/>
      <c r="G418" s="12"/>
      <c r="H418" s="12"/>
      <c r="I418" s="32"/>
    </row>
    <row r="419" spans="2:9" hidden="1" x14ac:dyDescent="0.25">
      <c r="B419" s="7">
        <v>413</v>
      </c>
      <c r="C419" s="16"/>
      <c r="D419" s="12"/>
      <c r="E419" s="7"/>
      <c r="F419" s="7"/>
      <c r="G419" s="12"/>
      <c r="H419" s="12"/>
      <c r="I419" s="32"/>
    </row>
    <row r="420" spans="2:9" hidden="1" x14ac:dyDescent="0.25">
      <c r="B420" s="7">
        <v>414</v>
      </c>
      <c r="C420" s="16"/>
      <c r="D420" s="12"/>
      <c r="E420" s="7"/>
      <c r="F420" s="7"/>
      <c r="G420" s="12"/>
      <c r="H420" s="12"/>
      <c r="I420" s="32"/>
    </row>
    <row r="421" spans="2:9" hidden="1" x14ac:dyDescent="0.25">
      <c r="B421" s="7">
        <v>415</v>
      </c>
      <c r="C421" s="16"/>
      <c r="D421" s="12"/>
      <c r="E421" s="7"/>
      <c r="F421" s="7"/>
      <c r="G421" s="12"/>
      <c r="H421" s="12"/>
      <c r="I421" s="32"/>
    </row>
    <row r="422" spans="2:9" hidden="1" x14ac:dyDescent="0.25">
      <c r="B422" s="7">
        <v>416</v>
      </c>
      <c r="C422" s="16"/>
      <c r="D422" s="12"/>
      <c r="E422" s="7"/>
      <c r="F422" s="7"/>
      <c r="G422" s="12"/>
      <c r="H422" s="12"/>
      <c r="I422" s="32"/>
    </row>
    <row r="423" spans="2:9" hidden="1" x14ac:dyDescent="0.25">
      <c r="B423" s="7">
        <v>417</v>
      </c>
      <c r="C423" s="16"/>
      <c r="D423" s="12"/>
      <c r="E423" s="7"/>
      <c r="F423" s="7"/>
      <c r="G423" s="12"/>
      <c r="H423" s="12"/>
      <c r="I423" s="32"/>
    </row>
    <row r="424" spans="2:9" hidden="1" x14ac:dyDescent="0.25">
      <c r="B424" s="7">
        <v>418</v>
      </c>
      <c r="C424" s="16"/>
      <c r="D424" s="12"/>
      <c r="E424" s="7"/>
      <c r="F424" s="7"/>
      <c r="G424" s="12"/>
      <c r="H424" s="12"/>
      <c r="I424" s="32"/>
    </row>
    <row r="425" spans="2:9" hidden="1" x14ac:dyDescent="0.25">
      <c r="B425" s="7">
        <v>419</v>
      </c>
      <c r="C425" s="16"/>
      <c r="D425" s="12"/>
      <c r="E425" s="7"/>
      <c r="F425" s="7"/>
      <c r="G425" s="12"/>
      <c r="H425" s="12"/>
      <c r="I425" s="32"/>
    </row>
    <row r="426" spans="2:9" hidden="1" x14ac:dyDescent="0.25">
      <c r="B426" s="7">
        <v>420</v>
      </c>
      <c r="C426" s="16"/>
      <c r="D426" s="12"/>
      <c r="E426" s="7"/>
      <c r="F426" s="7"/>
      <c r="G426" s="12"/>
      <c r="H426" s="12"/>
      <c r="I426" s="32"/>
    </row>
    <row r="427" spans="2:9" hidden="1" x14ac:dyDescent="0.25">
      <c r="B427" s="7">
        <v>421</v>
      </c>
      <c r="C427" s="16"/>
      <c r="D427" s="12"/>
      <c r="E427" s="7"/>
      <c r="F427" s="7"/>
      <c r="G427" s="12"/>
      <c r="H427" s="12"/>
      <c r="I427" s="32"/>
    </row>
    <row r="428" spans="2:9" hidden="1" x14ac:dyDescent="0.25">
      <c r="B428" s="7">
        <v>422</v>
      </c>
      <c r="C428" s="16"/>
      <c r="D428" s="12"/>
      <c r="E428" s="7"/>
      <c r="F428" s="7"/>
      <c r="G428" s="12"/>
      <c r="H428" s="12"/>
      <c r="I428" s="32"/>
    </row>
    <row r="429" spans="2:9" hidden="1" x14ac:dyDescent="0.25">
      <c r="B429" s="7">
        <v>423</v>
      </c>
      <c r="C429" s="16"/>
      <c r="D429" s="12"/>
      <c r="E429" s="7"/>
      <c r="F429" s="7"/>
      <c r="G429" s="12"/>
      <c r="H429" s="12"/>
      <c r="I429" s="32"/>
    </row>
    <row r="430" spans="2:9" hidden="1" x14ac:dyDescent="0.25">
      <c r="B430" s="7">
        <v>424</v>
      </c>
      <c r="C430" s="16"/>
      <c r="D430" s="12"/>
      <c r="E430" s="7"/>
      <c r="F430" s="7"/>
      <c r="G430" s="12"/>
      <c r="H430" s="12"/>
      <c r="I430" s="32"/>
    </row>
    <row r="431" spans="2:9" hidden="1" x14ac:dyDescent="0.25">
      <c r="B431" s="7">
        <v>425</v>
      </c>
      <c r="C431" s="16"/>
      <c r="D431" s="12"/>
      <c r="E431" s="7"/>
      <c r="F431" s="7"/>
      <c r="G431" s="12"/>
      <c r="H431" s="12"/>
      <c r="I431" s="32"/>
    </row>
    <row r="432" spans="2:9" hidden="1" x14ac:dyDescent="0.25">
      <c r="B432" s="7">
        <v>426</v>
      </c>
      <c r="C432" s="16"/>
      <c r="D432" s="12"/>
      <c r="E432" s="7"/>
      <c r="F432" s="7"/>
      <c r="G432" s="12"/>
      <c r="H432" s="12"/>
      <c r="I432" s="32"/>
    </row>
    <row r="433" spans="2:9" hidden="1" x14ac:dyDescent="0.25">
      <c r="B433" s="7">
        <v>427</v>
      </c>
      <c r="C433" s="16"/>
      <c r="D433" s="12"/>
      <c r="E433" s="7"/>
      <c r="F433" s="7"/>
      <c r="G433" s="12"/>
      <c r="H433" s="12"/>
      <c r="I433" s="32"/>
    </row>
    <row r="434" spans="2:9" hidden="1" x14ac:dyDescent="0.25">
      <c r="B434" s="7">
        <v>428</v>
      </c>
      <c r="C434" s="16"/>
      <c r="D434" s="12"/>
      <c r="E434" s="7"/>
      <c r="F434" s="7"/>
      <c r="G434" s="12"/>
      <c r="H434" s="12"/>
      <c r="I434" s="32"/>
    </row>
    <row r="435" spans="2:9" hidden="1" x14ac:dyDescent="0.25">
      <c r="B435" s="7">
        <v>429</v>
      </c>
      <c r="C435" s="16"/>
      <c r="D435" s="12"/>
      <c r="E435" s="7"/>
      <c r="F435" s="7"/>
      <c r="G435" s="12"/>
      <c r="H435" s="12"/>
      <c r="I435" s="32"/>
    </row>
    <row r="436" spans="2:9" hidden="1" x14ac:dyDescent="0.25">
      <c r="B436" s="7">
        <v>430</v>
      </c>
      <c r="C436" s="16"/>
      <c r="D436" s="12"/>
      <c r="E436" s="7"/>
      <c r="F436" s="7"/>
      <c r="G436" s="12"/>
      <c r="H436" s="12"/>
      <c r="I436" s="32"/>
    </row>
    <row r="437" spans="2:9" hidden="1" x14ac:dyDescent="0.25">
      <c r="B437" s="7">
        <v>431</v>
      </c>
      <c r="C437" s="16"/>
      <c r="D437" s="12"/>
      <c r="E437" s="7"/>
      <c r="F437" s="7"/>
      <c r="G437" s="12"/>
      <c r="H437" s="12"/>
      <c r="I437" s="32"/>
    </row>
    <row r="438" spans="2:9" hidden="1" x14ac:dyDescent="0.25">
      <c r="B438" s="7">
        <v>432</v>
      </c>
      <c r="C438" s="16"/>
      <c r="D438" s="12"/>
      <c r="E438" s="7"/>
      <c r="F438" s="7"/>
      <c r="G438" s="12"/>
      <c r="H438" s="12"/>
      <c r="I438" s="32"/>
    </row>
    <row r="439" spans="2:9" hidden="1" x14ac:dyDescent="0.25">
      <c r="B439" s="7">
        <v>433</v>
      </c>
      <c r="C439" s="16"/>
      <c r="D439" s="12"/>
      <c r="E439" s="7"/>
      <c r="F439" s="7"/>
      <c r="G439" s="12"/>
      <c r="H439" s="12"/>
      <c r="I439" s="32"/>
    </row>
    <row r="440" spans="2:9" hidden="1" x14ac:dyDescent="0.25">
      <c r="B440" s="7">
        <v>434</v>
      </c>
      <c r="C440" s="16"/>
      <c r="D440" s="12"/>
      <c r="E440" s="7"/>
      <c r="F440" s="7"/>
      <c r="G440" s="12"/>
      <c r="H440" s="12"/>
      <c r="I440" s="32"/>
    </row>
    <row r="441" spans="2:9" hidden="1" x14ac:dyDescent="0.25">
      <c r="B441" s="7">
        <v>435</v>
      </c>
      <c r="C441" s="16"/>
      <c r="D441" s="12"/>
      <c r="E441" s="7"/>
      <c r="F441" s="7"/>
      <c r="G441" s="12"/>
      <c r="H441" s="12"/>
      <c r="I441" s="32"/>
    </row>
    <row r="442" spans="2:9" hidden="1" x14ac:dyDescent="0.25">
      <c r="B442" s="7">
        <v>436</v>
      </c>
      <c r="C442" s="16"/>
      <c r="D442" s="12"/>
      <c r="E442" s="7"/>
      <c r="F442" s="7"/>
      <c r="G442" s="12"/>
      <c r="H442" s="12"/>
      <c r="I442" s="32"/>
    </row>
    <row r="443" spans="2:9" hidden="1" x14ac:dyDescent="0.25">
      <c r="B443" s="7">
        <v>437</v>
      </c>
      <c r="C443" s="16"/>
      <c r="D443" s="12"/>
      <c r="E443" s="7"/>
      <c r="F443" s="7"/>
      <c r="G443" s="12"/>
      <c r="H443" s="12"/>
      <c r="I443" s="32"/>
    </row>
    <row r="444" spans="2:9" hidden="1" x14ac:dyDescent="0.25">
      <c r="B444" s="7">
        <v>438</v>
      </c>
      <c r="C444" s="16"/>
      <c r="D444" s="12"/>
      <c r="E444" s="7"/>
      <c r="F444" s="7"/>
      <c r="G444" s="12"/>
      <c r="H444" s="12"/>
      <c r="I444" s="32"/>
    </row>
    <row r="445" spans="2:9" hidden="1" x14ac:dyDescent="0.25">
      <c r="B445" s="7">
        <v>439</v>
      </c>
      <c r="C445" s="16"/>
      <c r="D445" s="12"/>
      <c r="E445" s="7"/>
      <c r="F445" s="7"/>
      <c r="G445" s="12"/>
      <c r="H445" s="12"/>
      <c r="I445" s="32"/>
    </row>
    <row r="446" spans="2:9" hidden="1" x14ac:dyDescent="0.25">
      <c r="B446" s="7">
        <v>440</v>
      </c>
      <c r="C446" s="16"/>
      <c r="D446" s="12"/>
      <c r="E446" s="7"/>
      <c r="F446" s="7"/>
      <c r="G446" s="12"/>
      <c r="H446" s="12"/>
      <c r="I446" s="32"/>
    </row>
    <row r="447" spans="2:9" s="6" customFormat="1" ht="13.5" customHeight="1" x14ac:dyDescent="0.25">
      <c r="B447" s="33" t="s">
        <v>13</v>
      </c>
      <c r="C447" s="34" t="str">
        <f>UPPER("Total Payment")</f>
        <v>TOTAL PAYMENT</v>
      </c>
      <c r="D447" s="35"/>
      <c r="E447" s="35"/>
      <c r="F447" s="35"/>
      <c r="G447" s="35"/>
      <c r="H447" s="35"/>
      <c r="I447" s="36">
        <f>SUM(I6:I412)</f>
        <v>580075759</v>
      </c>
    </row>
    <row r="448" spans="2:9" s="6" customFormat="1" ht="13.5" customHeight="1" x14ac:dyDescent="0.25">
      <c r="B448" s="7">
        <v>1</v>
      </c>
      <c r="C448" s="7">
        <v>1274395658</v>
      </c>
      <c r="D448" s="12" t="str">
        <f>VLOOKUP(C448,[3]report!$A$2:$R$406,3,FALSE)</f>
        <v>MUH. AIYDIL FADLI FAHRESA PUTRA</v>
      </c>
      <c r="E448" s="7">
        <f>VLOOKUP(C448,[3]report!$A$2:$R$406,4,FALSE)</f>
        <v>98177625</v>
      </c>
      <c r="F448" s="7">
        <f>VLOOKUP(C448,[3]report!$A$2:$R$406,5,FALSE)</f>
        <v>4120176377</v>
      </c>
      <c r="G448" s="12" t="str">
        <f>VLOOKUP(C448,[3]report!$A$2:$R$406,8,FALSE)</f>
        <v>KotaPalopo-KotaSemarang</v>
      </c>
      <c r="H448" s="12" t="str">
        <f>VLOOKUP(C448,[3]report!$A$2:$R$406,9,FALSE)</f>
        <v>06/07/2025 - 28/08/2025</v>
      </c>
      <c r="I448" s="13">
        <f>VLOOKUP(C448,[3]report!$A$2:$R$406,17,FALSE)</f>
        <v>1474900</v>
      </c>
    </row>
    <row r="449" spans="2:9" s="6" customFormat="1" ht="13.5" customHeight="1" x14ac:dyDescent="0.25">
      <c r="B449" s="7">
        <v>2</v>
      </c>
      <c r="C449" s="7">
        <v>1274613410</v>
      </c>
      <c r="D449" s="12" t="str">
        <f>VLOOKUP(C449,[3]report!$A$2:$R$406,3,FALSE)</f>
        <v>DIAN VERONICA</v>
      </c>
      <c r="E449" s="7">
        <f>VLOOKUP(C449,[3]report!$A$2:$R$406,4,FALSE)</f>
        <v>94196205</v>
      </c>
      <c r="F449" s="7">
        <f>VLOOKUP(C449,[3]report!$A$2:$R$406,5,FALSE)</f>
        <v>4120176956</v>
      </c>
      <c r="G449" s="12" t="str">
        <f>VLOOKUP(C449,[3]report!$A$2:$R$406,8,FALSE)</f>
        <v>Kota Kendari - Kota Makassar</v>
      </c>
      <c r="H449" s="12" t="str">
        <f>VLOOKUP(C449,[3]report!$A$2:$R$406,9,FALSE)</f>
        <v>03/08/2025 - 06/08/2025</v>
      </c>
      <c r="I449" s="13">
        <v>558380</v>
      </c>
    </row>
    <row r="450" spans="2:9" s="6" customFormat="1" ht="13.5" customHeight="1" x14ac:dyDescent="0.25">
      <c r="B450" s="7">
        <v>3</v>
      </c>
      <c r="C450" s="7">
        <v>1274668753</v>
      </c>
      <c r="D450" s="12" t="str">
        <f>VLOOKUP(C450,[3]report!$A$2:$R$406,3,FALSE)</f>
        <v>MUH. AIYDIL FADLI FAHRESA PUTRA</v>
      </c>
      <c r="E450" s="7">
        <f>VLOOKUP(C450,[3]report!$A$2:$R$406,4,FALSE)</f>
        <v>98177625</v>
      </c>
      <c r="F450" s="7">
        <f>VLOOKUP(C450,[3]report!$A$2:$R$406,5,FALSE)</f>
        <v>4120176377</v>
      </c>
      <c r="G450" s="12" t="str">
        <f>VLOOKUP(C450,[3]report!$A$2:$R$406,8,FALSE)</f>
        <v>KotaPalopo-KotaSemarang</v>
      </c>
      <c r="H450" s="12" t="str">
        <f>VLOOKUP(C450,[3]report!$A$2:$R$406,9,FALSE)</f>
        <v>06/07/2025 - 28/08/2025</v>
      </c>
      <c r="I450" s="13">
        <v>1469800</v>
      </c>
    </row>
    <row r="451" spans="2:9" s="6" customFormat="1" x14ac:dyDescent="0.25">
      <c r="B451" s="7">
        <v>4</v>
      </c>
      <c r="C451" s="11">
        <v>1275342506</v>
      </c>
      <c r="D451" s="12" t="str">
        <f>VLOOKUP(C451,[3]report!$A$2:$R$406,3,FALSE)</f>
        <v>M. FAUZAN</v>
      </c>
      <c r="E451" s="7">
        <f>VLOOKUP(C451,[3]report!$A$2:$R$406,4,FALSE)</f>
        <v>80065602</v>
      </c>
      <c r="F451" s="7">
        <f>VLOOKUP(C451,[3]report!$A$2:$R$406,5,FALSE)</f>
        <v>4120177013</v>
      </c>
      <c r="G451" s="12" t="str">
        <f>VLOOKUP(C451,[3]report!$A$2:$R$406,8,FALSE)</f>
        <v>Kab. Mamuju - Kota Makassar</v>
      </c>
      <c r="H451" s="12" t="str">
        <f>VLOOKUP(C451,[3]report!$A$2:$R$406,9,FALSE)</f>
        <v>10/08/2025 - 13/08/2025</v>
      </c>
      <c r="I451" s="13">
        <v>873400</v>
      </c>
    </row>
    <row r="452" spans="2:9" x14ac:dyDescent="0.25">
      <c r="B452" s="7">
        <v>5</v>
      </c>
      <c r="C452" s="7">
        <v>1275341177</v>
      </c>
      <c r="D452" s="12" t="str">
        <f>VLOOKUP(C452,[3]report!$A$2:$R$406,3,FALSE)</f>
        <v>M. FAUZAN</v>
      </c>
      <c r="E452" s="7">
        <f>VLOOKUP(C452,[3]report!$A$2:$R$406,4,FALSE)</f>
        <v>80065602</v>
      </c>
      <c r="F452" s="7">
        <f>VLOOKUP(C452,[3]report!$A$2:$R$406,5,FALSE)</f>
        <v>4120177013</v>
      </c>
      <c r="G452" s="12" t="str">
        <f>VLOOKUP(C452,[3]report!$A$2:$R$406,8,FALSE)</f>
        <v>Kab. Mamuju - Kota Makassar</v>
      </c>
      <c r="H452" s="12" t="str">
        <f>VLOOKUP(C452,[3]report!$A$2:$R$406,9,FALSE)</f>
        <v>10/08/2025 - 13/08/2025</v>
      </c>
      <c r="I452" s="13">
        <v>935300</v>
      </c>
    </row>
    <row r="453" spans="2:9" x14ac:dyDescent="0.25">
      <c r="B453" s="7">
        <v>6</v>
      </c>
      <c r="C453" s="7">
        <v>1276539742</v>
      </c>
      <c r="D453" s="12" t="str">
        <f>VLOOKUP(C453,[3]report!$A$2:$R$406,3,FALSE)</f>
        <v>MUJIONO YUNUS</v>
      </c>
      <c r="E453" s="7">
        <f>VLOOKUP(C453,[3]report!$A$2:$R$406,4,FALSE)</f>
        <v>91167606</v>
      </c>
      <c r="F453" s="7">
        <f>VLOOKUP(C453,[3]report!$A$2:$R$406,5,FALSE)</f>
        <v>4120177172</v>
      </c>
      <c r="G453" s="12" t="str">
        <f>VLOOKUP(C453,[3]report!$A$2:$R$406,8,FALSE)</f>
        <v>Kota Palopo - Kota Manado</v>
      </c>
      <c r="H453" s="12" t="str">
        <f>VLOOKUP(C453,[3]report!$A$2:$R$406,9,FALSE)</f>
        <v>13/08/2025 - 16/08/2025</v>
      </c>
      <c r="I453" s="13">
        <v>2988900</v>
      </c>
    </row>
    <row r="454" spans="2:9" x14ac:dyDescent="0.25">
      <c r="B454" s="39" t="s">
        <v>14</v>
      </c>
      <c r="C454" s="35" t="str">
        <f>UPPER("Nominal Refund")</f>
        <v>NOMINAL REFUND</v>
      </c>
      <c r="D454" s="35"/>
      <c r="E454" s="35"/>
      <c r="F454" s="35"/>
      <c r="G454" s="35"/>
      <c r="H454" s="35"/>
      <c r="I454" s="40">
        <f>SUM(I448:I453)</f>
        <v>8300680</v>
      </c>
    </row>
    <row r="455" spans="2:9" ht="14.25" customHeight="1" x14ac:dyDescent="0.25">
      <c r="B455" s="39" t="s">
        <v>15</v>
      </c>
      <c r="C455" s="35" t="s">
        <v>16</v>
      </c>
      <c r="D455" s="35"/>
      <c r="E455" s="35"/>
      <c r="F455" s="35"/>
      <c r="G455" s="35"/>
      <c r="H455" s="35"/>
      <c r="I455" s="36">
        <v>7500</v>
      </c>
    </row>
    <row r="456" spans="2:9" hidden="1" x14ac:dyDescent="0.25">
      <c r="B456" s="39" t="s">
        <v>17</v>
      </c>
      <c r="C456" s="42" t="s">
        <v>18</v>
      </c>
      <c r="D456" s="43"/>
      <c r="E456" s="43"/>
      <c r="F456" s="43"/>
      <c r="G456" s="43"/>
      <c r="H456" s="44"/>
      <c r="I456" s="36">
        <v>0</v>
      </c>
    </row>
    <row r="457" spans="2:9" hidden="1" x14ac:dyDescent="0.25">
      <c r="B457" s="39" t="s">
        <v>19</v>
      </c>
      <c r="C457" s="42" t="s">
        <v>20</v>
      </c>
      <c r="D457" s="43"/>
      <c r="E457" s="43"/>
      <c r="F457" s="43"/>
      <c r="G457" s="43"/>
      <c r="H457" s="44"/>
      <c r="I457" s="36">
        <v>0</v>
      </c>
    </row>
    <row r="458" spans="2:9" s="46" customFormat="1" x14ac:dyDescent="0.25">
      <c r="B458" s="42" t="s">
        <v>54</v>
      </c>
      <c r="C458" s="43"/>
      <c r="D458" s="43"/>
      <c r="E458" s="43"/>
      <c r="F458" s="43"/>
      <c r="G458" s="43"/>
      <c r="H458" s="44"/>
      <c r="I458" s="45">
        <f>I447-I454+I455+I456+I457</f>
        <v>571782579</v>
      </c>
    </row>
  </sheetData>
  <autoFilter ref="B5:I459" xr:uid="{00000000-0009-0000-0000-000003000000}"/>
  <mergeCells count="8">
    <mergeCell ref="C457:H457"/>
    <mergeCell ref="B458:H458"/>
    <mergeCell ref="B2:I2"/>
    <mergeCell ref="B3:I3"/>
    <mergeCell ref="C447:H447"/>
    <mergeCell ref="C454:H454"/>
    <mergeCell ref="C455:H455"/>
    <mergeCell ref="C456:H456"/>
  </mergeCells>
  <pageMargins left="0.7" right="0.7" top="0.3" bottom="0.5" header="0.3" footer="0.3"/>
  <pageSetup paperSize="9" scale="61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614BD-F772-41F0-AE7B-50CBAC0ED155}">
  <sheetPr>
    <pageSetUpPr fitToPage="1"/>
  </sheetPr>
  <dimension ref="B2:J468"/>
  <sheetViews>
    <sheetView topLeftCell="A177" zoomScale="115" zoomScaleNormal="115" workbookViewId="0">
      <selection activeCell="G477" sqref="G477"/>
    </sheetView>
  </sheetViews>
  <sheetFormatPr defaultColWidth="9.140625" defaultRowHeight="15" x14ac:dyDescent="0.25"/>
  <cols>
    <col min="1" max="1" width="9.140625" style="4"/>
    <col min="2" max="2" width="7.7109375" style="47" customWidth="1"/>
    <col min="3" max="3" width="15" style="47" customWidth="1"/>
    <col min="4" max="4" width="44.85546875" style="48" customWidth="1"/>
    <col min="5" max="5" width="16.28515625" style="47" customWidth="1"/>
    <col min="6" max="6" width="16.7109375" style="47" customWidth="1"/>
    <col min="7" max="7" width="41.7109375" style="49" bestFit="1" customWidth="1"/>
    <col min="8" max="8" width="25.85546875" style="47" customWidth="1"/>
    <col min="9" max="9" width="14.85546875" style="50" bestFit="1" customWidth="1"/>
    <col min="10" max="10" width="13" style="4" customWidth="1"/>
    <col min="11" max="16384" width="9.140625" style="4"/>
  </cols>
  <sheetData>
    <row r="2" spans="2:9" ht="23.25" customHeight="1" x14ac:dyDescent="0.25">
      <c r="B2" s="1" t="s">
        <v>0</v>
      </c>
      <c r="C2" s="2"/>
      <c r="D2" s="1"/>
      <c r="E2" s="1"/>
      <c r="F2" s="1"/>
      <c r="G2" s="1"/>
      <c r="H2" s="1"/>
      <c r="I2" s="3"/>
    </row>
    <row r="3" spans="2:9" ht="23.25" customHeight="1" x14ac:dyDescent="0.25">
      <c r="B3" s="1" t="s">
        <v>22</v>
      </c>
      <c r="C3" s="2"/>
      <c r="D3" s="1"/>
      <c r="E3" s="1"/>
      <c r="F3" s="1"/>
      <c r="G3" s="1"/>
      <c r="H3" s="1"/>
      <c r="I3" s="3"/>
    </row>
    <row r="5" spans="2:9" s="5" customFormat="1" ht="30" x14ac:dyDescent="0.25">
      <c r="B5" s="7" t="s">
        <v>2</v>
      </c>
      <c r="C5" s="7" t="s">
        <v>3</v>
      </c>
      <c r="D5" s="7" t="s">
        <v>4</v>
      </c>
      <c r="E5" s="8" t="s">
        <v>5</v>
      </c>
      <c r="F5" s="8" t="s">
        <v>6</v>
      </c>
      <c r="G5" s="9" t="s">
        <v>7</v>
      </c>
      <c r="H5" s="7" t="s">
        <v>8</v>
      </c>
      <c r="I5" s="10" t="s">
        <v>9</v>
      </c>
    </row>
    <row r="6" spans="2:9" s="5" customFormat="1" ht="18.75" customHeight="1" x14ac:dyDescent="0.25">
      <c r="B6" s="7">
        <v>1</v>
      </c>
      <c r="C6" s="11">
        <v>1278275513</v>
      </c>
      <c r="D6" s="12" t="str">
        <f>VLOOKUP(C6,[2]report!$A$2:$Q$496,3,FALSE)</f>
        <v>DALMASIUS NUGROHO ADI PUTRANTO</v>
      </c>
      <c r="E6" s="7">
        <f>VLOOKUP(C6,[2]report!$A$2:$Q$496,4,FALSE)</f>
        <v>80077601</v>
      </c>
      <c r="F6" s="7">
        <f>VLOOKUP(C6,[2]report!$A$2:$Q$496,5,FALSE)</f>
        <v>4120177281</v>
      </c>
      <c r="G6" s="12" t="str">
        <f>VLOOKUP(C6,[2]report!$A$2:$Q$496,8,FALSE)</f>
        <v>Kota Makassar - Kota Bogor</v>
      </c>
      <c r="H6" s="12" t="str">
        <f>VLOOKUP(C6,[2]report!$A$2:$Q$496,9,FALSE)</f>
        <v>18/08/2025 - 22/08/2025</v>
      </c>
      <c r="I6" s="13">
        <f>VLOOKUP(C6,[2]report!$A$2:$Q$496,17,FALSE)</f>
        <v>646250</v>
      </c>
    </row>
    <row r="7" spans="2:9" s="5" customFormat="1" ht="18.75" customHeight="1" x14ac:dyDescent="0.25">
      <c r="B7" s="7">
        <v>2</v>
      </c>
      <c r="C7" s="11">
        <v>1278209259</v>
      </c>
      <c r="D7" s="12" t="str">
        <f>VLOOKUP(C7,[2]report!$A$2:$Q$496,3,FALSE)</f>
        <v>AHMAD FATHAN MAARIF</v>
      </c>
      <c r="E7" s="7">
        <f>VLOOKUP(C7,[2]report!$A$2:$Q$496,4,FALSE)</f>
        <v>96197614</v>
      </c>
      <c r="F7" s="7">
        <f>VLOOKUP(C7,[2]report!$A$2:$Q$496,5,FALSE)</f>
        <v>4120177235</v>
      </c>
      <c r="G7" s="12" t="str">
        <f>VLOOKUP(C7,[2]report!$A$2:$Q$496,8,FALSE)</f>
        <v>Kota Kendari - Kota Makassar</v>
      </c>
      <c r="H7" s="12" t="str">
        <f>VLOOKUP(C7,[2]report!$A$2:$Q$496,9,FALSE)</f>
        <v>19/08/2025 - 21/08/2025</v>
      </c>
      <c r="I7" s="13">
        <f>VLOOKUP(C7,[2]report!$A$2:$Q$496,17,FALSE)</f>
        <v>758625</v>
      </c>
    </row>
    <row r="8" spans="2:9" s="5" customFormat="1" ht="18.75" customHeight="1" x14ac:dyDescent="0.25">
      <c r="B8" s="7">
        <v>3</v>
      </c>
      <c r="C8" s="11">
        <v>1278264521</v>
      </c>
      <c r="D8" s="12" t="str">
        <f>VLOOKUP(C8,[2]report!$A$2:$Q$496,3,FALSE)</f>
        <v>MUHAMMAD HUSNI TAMRIN</v>
      </c>
      <c r="E8" s="7">
        <f>VLOOKUP(C8,[2]report!$A$2:$Q$496,4,FALSE)</f>
        <v>92187600</v>
      </c>
      <c r="F8" s="7">
        <f>VLOOKUP(C8,[2]report!$A$2:$Q$496,5,FALSE)</f>
        <v>4120177248</v>
      </c>
      <c r="G8" s="12" t="str">
        <f>VLOOKUP(C8,[2]report!$A$2:$Q$496,8,FALSE)</f>
        <v>Kota Kendari - Kota Makassar</v>
      </c>
      <c r="H8" s="12" t="str">
        <f>VLOOKUP(C8,[2]report!$A$2:$Q$496,9,FALSE)</f>
        <v>18/08/2025 - 20/08/2025</v>
      </c>
      <c r="I8" s="13">
        <f>VLOOKUP(C8,[2]report!$A$2:$Q$496,17,FALSE)</f>
        <v>893000</v>
      </c>
    </row>
    <row r="9" spans="2:9" s="5" customFormat="1" ht="18.75" customHeight="1" x14ac:dyDescent="0.25">
      <c r="B9" s="7">
        <v>4</v>
      </c>
      <c r="C9" s="11">
        <v>1278216062</v>
      </c>
      <c r="D9" s="12" t="str">
        <f>VLOOKUP(C9,[2]report!$A$2:$Q$496,3,FALSE)</f>
        <v xml:space="preserve">EDYANSYAH </v>
      </c>
      <c r="E9" s="7">
        <f>VLOOKUP(C9,[2]report!$A$2:$Q$496,4,FALSE)</f>
        <v>70957602</v>
      </c>
      <c r="F9" s="7">
        <f>VLOOKUP(C9,[2]report!$A$2:$Q$496,5,FALSE)</f>
        <v>4120177293</v>
      </c>
      <c r="G9" s="12" t="str">
        <f>VLOOKUP(C9,[2]report!$A$2:$Q$496,8,FALSE)</f>
        <v>Kota Makassar - Kab. Kolaka Utara</v>
      </c>
      <c r="H9" s="12" t="str">
        <f>VLOOKUP(C9,[2]report!$A$2:$Q$496,9,FALSE)</f>
        <v>25/08/2025 - 28/08/2025</v>
      </c>
      <c r="I9" s="13">
        <f>VLOOKUP(C9,[2]report!$A$2:$Q$496,17,FALSE)</f>
        <v>1150000</v>
      </c>
    </row>
    <row r="10" spans="2:9" s="5" customFormat="1" ht="18.75" customHeight="1" x14ac:dyDescent="0.25">
      <c r="B10" s="7">
        <v>5</v>
      </c>
      <c r="C10" s="11">
        <v>1278216043</v>
      </c>
      <c r="D10" s="12" t="str">
        <f>VLOOKUP(C10,[2]report!$A$2:$Q$496,3,FALSE)</f>
        <v>HUSLAN HUSAIN</v>
      </c>
      <c r="E10" s="7">
        <f>VLOOKUP(C10,[2]report!$A$2:$Q$496,4,FALSE)</f>
        <v>71907601</v>
      </c>
      <c r="F10" s="7">
        <f>VLOOKUP(C10,[2]report!$A$2:$Q$496,5,FALSE)</f>
        <v>4120177255</v>
      </c>
      <c r="G10" s="12" t="str">
        <f>VLOOKUP(C10,[2]report!$A$2:$Q$496,8,FALSE)</f>
        <v>Kota Makassar - Jakarta Pusat - Kota Bandung</v>
      </c>
      <c r="H10" s="12" t="str">
        <f>VLOOKUP(C10,[2]report!$A$2:$Q$496,9,FALSE)</f>
        <v>18/08/2025 - 23/08/2025</v>
      </c>
      <c r="I10" s="13">
        <f>VLOOKUP(C10,[2]report!$A$2:$Q$496,17,FALSE)</f>
        <v>1500000</v>
      </c>
    </row>
    <row r="11" spans="2:9" s="5" customFormat="1" ht="18.75" customHeight="1" x14ac:dyDescent="0.25">
      <c r="B11" s="7">
        <v>6</v>
      </c>
      <c r="C11" s="11">
        <v>1278216667</v>
      </c>
      <c r="D11" s="12" t="str">
        <f>VLOOKUP(C11,[2]report!$A$2:$Q$496,3,FALSE)</f>
        <v xml:space="preserve">EDYANSYAH </v>
      </c>
      <c r="E11" s="7">
        <f>VLOOKUP(C11,[2]report!$A$2:$Q$496,4,FALSE)</f>
        <v>70957602</v>
      </c>
      <c r="F11" s="7">
        <f>VLOOKUP(C11,[2]report!$A$2:$Q$496,5,FALSE)</f>
        <v>4120177293</v>
      </c>
      <c r="G11" s="12" t="str">
        <f>VLOOKUP(C11,[2]report!$A$2:$Q$496,8,FALSE)</f>
        <v>Kota Makassar - Kab. Kolaka Utara</v>
      </c>
      <c r="H11" s="12" t="str">
        <f>VLOOKUP(C11,[2]report!$A$2:$Q$496,9,FALSE)</f>
        <v>25/08/2025 - 28/08/2025</v>
      </c>
      <c r="I11" s="13">
        <f>VLOOKUP(C11,[2]report!$A$2:$Q$496,17,FALSE)</f>
        <v>1989000</v>
      </c>
    </row>
    <row r="12" spans="2:9" s="5" customFormat="1" ht="18.75" customHeight="1" x14ac:dyDescent="0.25">
      <c r="B12" s="7">
        <v>7</v>
      </c>
      <c r="C12" s="11">
        <v>1278225921</v>
      </c>
      <c r="D12" s="12" t="str">
        <f>VLOOKUP(C12,[2]report!$A$2:$Q$496,3,FALSE)</f>
        <v>MUHAMMAD ISMAIL</v>
      </c>
      <c r="E12" s="7">
        <f>VLOOKUP(C12,[2]report!$A$2:$Q$496,4,FALSE)</f>
        <v>78027603</v>
      </c>
      <c r="F12" s="7">
        <f>VLOOKUP(C12,[2]report!$A$2:$Q$496,5,FALSE)</f>
        <v>4120177292</v>
      </c>
      <c r="G12" s="12" t="str">
        <f>VLOOKUP(C12,[2]report!$A$2:$Q$496,8,FALSE)</f>
        <v>Kota Makassar - Kota Bandung</v>
      </c>
      <c r="H12" s="12" t="str">
        <f>VLOOKUP(C12,[2]report!$A$2:$Q$496,9,FALSE)</f>
        <v>20/08/2025 - 23/08/2025</v>
      </c>
      <c r="I12" s="13">
        <f>VLOOKUP(C12,[2]report!$A$2:$Q$496,17,FALSE)</f>
        <v>2348900</v>
      </c>
    </row>
    <row r="13" spans="2:9" s="5" customFormat="1" ht="18.75" customHeight="1" x14ac:dyDescent="0.25">
      <c r="B13" s="7">
        <v>8</v>
      </c>
      <c r="C13" s="11">
        <v>1278236178</v>
      </c>
      <c r="D13" s="12" t="str">
        <f>VLOOKUP(C13,[2]report!$A$2:$Q$496,3,FALSE)</f>
        <v>ANDHIKA PRANANDA</v>
      </c>
      <c r="E13" s="7">
        <f>VLOOKUP(C13,[2]report!$A$2:$Q$496,4,FALSE)</f>
        <v>87117615</v>
      </c>
      <c r="F13" s="7">
        <f>VLOOKUP(C13,[2]report!$A$2:$Q$496,5,FALSE)</f>
        <v>4120177310</v>
      </c>
      <c r="G13" s="12" t="str">
        <f>VLOOKUP(C13,[2]report!$A$2:$Q$496,8,FALSE)</f>
        <v>Kota Makassar - Kota Semarang</v>
      </c>
      <c r="H13" s="12" t="str">
        <f>VLOOKUP(C13,[2]report!$A$2:$Q$496,9,FALSE)</f>
        <v>20/08/2025 - 23/08/2025</v>
      </c>
      <c r="I13" s="13">
        <f>VLOOKUP(C13,[2]report!$A$2:$Q$496,17,FALSE)</f>
        <v>2795000</v>
      </c>
    </row>
    <row r="14" spans="2:9" s="5" customFormat="1" ht="18.75" customHeight="1" x14ac:dyDescent="0.25">
      <c r="B14" s="7">
        <v>9</v>
      </c>
      <c r="C14" s="11">
        <v>1278380077</v>
      </c>
      <c r="D14" s="12" t="str">
        <f>VLOOKUP(C14,[2]report!$A$2:$Q$496,3,FALSE)</f>
        <v>AHMAD AMIRUL SYARIF</v>
      </c>
      <c r="E14" s="7">
        <f>VLOOKUP(C14,[2]report!$A$2:$Q$496,4,FALSE)</f>
        <v>87108002</v>
      </c>
      <c r="F14" s="7">
        <f>VLOOKUP(C14,[2]report!$A$2:$Q$496,5,FALSE)</f>
        <v>4120177320</v>
      </c>
      <c r="G14" s="12" t="str">
        <f>VLOOKUP(C14,[2]report!$A$2:$Q$496,8,FALSE)</f>
        <v>Kota Makassar - Kab. Kolaka Utara</v>
      </c>
      <c r="H14" s="12" t="str">
        <f>VLOOKUP(C14,[2]report!$A$2:$Q$496,9,FALSE)</f>
        <v>25/08/2025 - 28/08/2025</v>
      </c>
      <c r="I14" s="13">
        <f>VLOOKUP(C14,[2]report!$A$2:$Q$496,17,FALSE)</f>
        <v>710600</v>
      </c>
    </row>
    <row r="15" spans="2:9" s="5" customFormat="1" ht="18.75" customHeight="1" x14ac:dyDescent="0.25">
      <c r="B15" s="7">
        <v>10</v>
      </c>
      <c r="C15" s="11">
        <v>1278413767</v>
      </c>
      <c r="D15" s="12" t="str">
        <f>VLOOKUP(C15,[2]report!$A$2:$Q$496,3,FALSE)</f>
        <v>SUPRIANTO MARWING</v>
      </c>
      <c r="E15" s="7">
        <f>VLOOKUP(C15,[2]report!$A$2:$Q$496,4,FALSE)</f>
        <v>95207607</v>
      </c>
      <c r="F15" s="7">
        <f>VLOOKUP(C15,[2]report!$A$2:$Q$496,5,FALSE)</f>
        <v>4120177339</v>
      </c>
      <c r="G15" s="12" t="str">
        <f>VLOOKUP(C15,[2]report!$A$2:$Q$496,8,FALSE)</f>
        <v>Kab. Buton Tengah - Kota Makassar</v>
      </c>
      <c r="H15" s="12" t="str">
        <f>VLOOKUP(C15,[2]report!$A$2:$Q$496,9,FALSE)</f>
        <v>21/08/2025 - 23/08/2025</v>
      </c>
      <c r="I15" s="13">
        <f>VLOOKUP(C15,[2]report!$A$2:$Q$496,17,FALSE)</f>
        <v>744200</v>
      </c>
    </row>
    <row r="16" spans="2:9" s="5" customFormat="1" ht="18.75" customHeight="1" x14ac:dyDescent="0.25">
      <c r="B16" s="7">
        <v>11</v>
      </c>
      <c r="C16" s="11">
        <v>1278416312</v>
      </c>
      <c r="D16" s="12" t="str">
        <f>VLOOKUP(C16,[2]report!$A$2:$Q$496,3,FALSE)</f>
        <v>ZULKIFLI SETIOK</v>
      </c>
      <c r="E16" s="7">
        <f>VLOOKUP(C16,[2]report!$A$2:$Q$496,4,FALSE)</f>
        <v>89087622</v>
      </c>
      <c r="F16" s="7">
        <f>VLOOKUP(C16,[2]report!$A$2:$Q$496,5,FALSE)</f>
        <v>4120177344</v>
      </c>
      <c r="G16" s="12" t="str">
        <f>VLOOKUP(C16,[2]report!$A$2:$Q$496,8,FALSE)</f>
        <v>Kota Baubau - Kota Makassar</v>
      </c>
      <c r="H16" s="12" t="str">
        <f>VLOOKUP(C16,[2]report!$A$2:$Q$496,9,FALSE)</f>
        <v>21/08/2025 - 23/08/2025</v>
      </c>
      <c r="I16" s="13">
        <f>VLOOKUP(C16,[2]report!$A$2:$Q$496,17,FALSE)</f>
        <v>744200</v>
      </c>
    </row>
    <row r="17" spans="2:9" s="5" customFormat="1" ht="18.75" customHeight="1" x14ac:dyDescent="0.25">
      <c r="B17" s="7">
        <v>12</v>
      </c>
      <c r="C17" s="11">
        <v>1278448335</v>
      </c>
      <c r="D17" s="12" t="str">
        <f>VLOOKUP(C17,[2]report!$A$2:$Q$496,3,FALSE)</f>
        <v>MUHAMMAD SUSGANDINATA</v>
      </c>
      <c r="E17" s="7">
        <f>VLOOKUP(C17,[2]report!$A$2:$Q$496,4,FALSE)</f>
        <v>86097601</v>
      </c>
      <c r="F17" s="7">
        <f>VLOOKUP(C17,[2]report!$A$2:$Q$496,5,FALSE)</f>
        <v>4120177295</v>
      </c>
      <c r="G17" s="12" t="str">
        <f>VLOOKUP(C17,[2]report!$A$2:$Q$496,8,FALSE)</f>
        <v>Kota Makassar - Kota Semarang</v>
      </c>
      <c r="H17" s="12" t="str">
        <f>VLOOKUP(C17,[2]report!$A$2:$Q$496,9,FALSE)</f>
        <v>20/08/2025 - 23/08/2025</v>
      </c>
      <c r="I17" s="13">
        <f>VLOOKUP(C17,[2]report!$A$2:$Q$496,17,FALSE)</f>
        <v>778000</v>
      </c>
    </row>
    <row r="18" spans="2:9" s="5" customFormat="1" ht="18.75" customHeight="1" x14ac:dyDescent="0.25">
      <c r="B18" s="7">
        <v>13</v>
      </c>
      <c r="C18" s="11">
        <v>1278425394</v>
      </c>
      <c r="D18" s="12" t="str">
        <f>VLOOKUP(C18,[2]report!$A$2:$Q$496,3,FALSE)</f>
        <v>AHMAD FATHAN MAARIF</v>
      </c>
      <c r="E18" s="7">
        <f>VLOOKUP(C18,[2]report!$A$2:$Q$496,4,FALSE)</f>
        <v>96197614</v>
      </c>
      <c r="F18" s="7">
        <f>VLOOKUP(C18,[2]report!$A$2:$Q$496,5,FALSE)</f>
        <v>4120177235</v>
      </c>
      <c r="G18" s="12" t="str">
        <f>VLOOKUP(C18,[2]report!$A$2:$Q$496,8,FALSE)</f>
        <v>Kota Kendari - Kota Makassar</v>
      </c>
      <c r="H18" s="12" t="str">
        <f>VLOOKUP(C18,[2]report!$A$2:$Q$496,9,FALSE)</f>
        <v>19/08/2025 - 21/08/2025</v>
      </c>
      <c r="I18" s="13">
        <f>VLOOKUP(C18,[2]report!$A$2:$Q$496,17,FALSE)</f>
        <v>788600</v>
      </c>
    </row>
    <row r="19" spans="2:9" s="5" customFormat="1" ht="18.75" customHeight="1" x14ac:dyDescent="0.25">
      <c r="B19" s="7">
        <v>14</v>
      </c>
      <c r="C19" s="11">
        <v>1278311850</v>
      </c>
      <c r="D19" s="12" t="str">
        <f>VLOOKUP(C19,[2]report!$A$2:$Q$496,3,FALSE)</f>
        <v xml:space="preserve">ARJINOFALTIN </v>
      </c>
      <c r="E19" s="7">
        <f>VLOOKUP(C19,[2]report!$A$2:$Q$496,4,FALSE)</f>
        <v>89087605</v>
      </c>
      <c r="F19" s="7">
        <f>VLOOKUP(C19,[2]report!$A$2:$Q$496,5,FALSE)</f>
        <v>4120177322</v>
      </c>
      <c r="G19" s="12" t="str">
        <f>VLOOKUP(C19,[2]report!$A$2:$Q$496,8,FALSE)</f>
        <v>Kota Makassar - Kab. Kolaka Utara</v>
      </c>
      <c r="H19" s="12" t="str">
        <f>VLOOKUP(C19,[2]report!$A$2:$Q$496,9,FALSE)</f>
        <v>25/08/2025 - 28/08/2025</v>
      </c>
      <c r="I19" s="13">
        <f>VLOOKUP(C19,[2]report!$A$2:$Q$496,17,FALSE)</f>
        <v>799500</v>
      </c>
    </row>
    <row r="20" spans="2:9" s="5" customFormat="1" ht="18.75" customHeight="1" x14ac:dyDescent="0.25">
      <c r="B20" s="7">
        <v>15</v>
      </c>
      <c r="C20" s="11">
        <v>1278430305</v>
      </c>
      <c r="D20" s="12" t="str">
        <f>VLOOKUP(C20,[2]report!$A$2:$Q$496,3,FALSE)</f>
        <v>ZULKIFLI SETIOK</v>
      </c>
      <c r="E20" s="7">
        <f>VLOOKUP(C20,[2]report!$A$2:$Q$496,4,FALSE)</f>
        <v>89087622</v>
      </c>
      <c r="F20" s="7">
        <f>VLOOKUP(C20,[2]report!$A$2:$Q$496,5,FALSE)</f>
        <v>4120177344</v>
      </c>
      <c r="G20" s="12" t="str">
        <f>VLOOKUP(C20,[2]report!$A$2:$Q$496,8,FALSE)</f>
        <v>Kota Baubau - Kota Makassar</v>
      </c>
      <c r="H20" s="12" t="str">
        <f>VLOOKUP(C20,[2]report!$A$2:$Q$496,9,FALSE)</f>
        <v>21/08/2025 - 23/08/2025</v>
      </c>
      <c r="I20" s="13">
        <f>VLOOKUP(C20,[2]report!$A$2:$Q$496,17,FALSE)</f>
        <v>844100</v>
      </c>
    </row>
    <row r="21" spans="2:9" s="5" customFormat="1" ht="18.75" customHeight="1" x14ac:dyDescent="0.25">
      <c r="B21" s="7">
        <v>16</v>
      </c>
      <c r="C21" s="11">
        <v>1278312041</v>
      </c>
      <c r="D21" s="12" t="str">
        <f>VLOOKUP(C21,[2]report!$A$2:$Q$496,3,FALSE)</f>
        <v xml:space="preserve">EDYANSYAH </v>
      </c>
      <c r="E21" s="7">
        <f>VLOOKUP(C21,[2]report!$A$2:$Q$496,4,FALSE)</f>
        <v>70957602</v>
      </c>
      <c r="F21" s="7">
        <f>VLOOKUP(C21,[2]report!$A$2:$Q$496,5,FALSE)</f>
        <v>4120177293</v>
      </c>
      <c r="G21" s="12" t="str">
        <f>VLOOKUP(C21,[2]report!$A$2:$Q$496,8,FALSE)</f>
        <v>Kota Makassar - Kab. Kolaka Utara</v>
      </c>
      <c r="H21" s="12" t="str">
        <f>VLOOKUP(C21,[2]report!$A$2:$Q$496,9,FALSE)</f>
        <v>25/08/2025 - 28/08/2025</v>
      </c>
      <c r="I21" s="13">
        <f>VLOOKUP(C21,[2]report!$A$2:$Q$496,17,FALSE)</f>
        <v>865800</v>
      </c>
    </row>
    <row r="22" spans="2:9" s="5" customFormat="1" ht="18.75" customHeight="1" x14ac:dyDescent="0.25">
      <c r="B22" s="7">
        <v>17</v>
      </c>
      <c r="C22" s="11">
        <v>1278312453</v>
      </c>
      <c r="D22" s="12" t="str">
        <f>VLOOKUP(C22,[2]report!$A$2:$Q$496,3,FALSE)</f>
        <v>EKO WAHYU PRASONGKO</v>
      </c>
      <c r="E22" s="7">
        <f>VLOOKUP(C22,[2]report!$A$2:$Q$496,4,FALSE)</f>
        <v>72937606</v>
      </c>
      <c r="F22" s="7">
        <f>VLOOKUP(C22,[2]report!$A$2:$Q$496,5,FALSE)</f>
        <v>4120177315</v>
      </c>
      <c r="G22" s="12" t="str">
        <f>VLOOKUP(C22,[2]report!$A$2:$Q$496,8,FALSE)</f>
        <v>Kota Makassar - Kota Kendari</v>
      </c>
      <c r="H22" s="12" t="str">
        <f>VLOOKUP(C22,[2]report!$A$2:$Q$496,9,FALSE)</f>
        <v>25/08/2025 - 28/08/2025</v>
      </c>
      <c r="I22" s="13">
        <f>VLOOKUP(C22,[2]report!$A$2:$Q$496,17,FALSE)</f>
        <v>865800</v>
      </c>
    </row>
    <row r="23" spans="2:9" s="5" customFormat="1" ht="18.75" customHeight="1" x14ac:dyDescent="0.25">
      <c r="B23" s="7">
        <v>18</v>
      </c>
      <c r="C23" s="11">
        <v>1278312794</v>
      </c>
      <c r="D23" s="12" t="str">
        <f>VLOOKUP(C23,[2]report!$A$2:$Q$496,3,FALSE)</f>
        <v>EKO WAHYU PRASONGKO</v>
      </c>
      <c r="E23" s="7">
        <f>VLOOKUP(C23,[2]report!$A$2:$Q$496,4,FALSE)</f>
        <v>72937606</v>
      </c>
      <c r="F23" s="7">
        <f>VLOOKUP(C23,[2]report!$A$2:$Q$496,5,FALSE)</f>
        <v>4120177315</v>
      </c>
      <c r="G23" s="12" t="str">
        <f>VLOOKUP(C23,[2]report!$A$2:$Q$496,8,FALSE)</f>
        <v>Kota Makassar - Kota Kendari</v>
      </c>
      <c r="H23" s="12" t="str">
        <f>VLOOKUP(C23,[2]report!$A$2:$Q$496,9,FALSE)</f>
        <v>25/08/2025 - 28/08/2025</v>
      </c>
      <c r="I23" s="13">
        <f>VLOOKUP(C23,[2]report!$A$2:$Q$496,17,FALSE)</f>
        <v>1050000</v>
      </c>
    </row>
    <row r="24" spans="2:9" s="5" customFormat="1" ht="18.75" customHeight="1" x14ac:dyDescent="0.25">
      <c r="B24" s="7">
        <v>19</v>
      </c>
      <c r="C24" s="11">
        <v>1278328953</v>
      </c>
      <c r="D24" s="12" t="str">
        <f>VLOOKUP(C24,[2]report!$A$2:$Q$496,3,FALSE)</f>
        <v>ANDI BASO MAKKARAKA</v>
      </c>
      <c r="E24" s="7">
        <f>VLOOKUP(C24,[2]report!$A$2:$Q$496,4,FALSE)</f>
        <v>81067403</v>
      </c>
      <c r="F24" s="7">
        <f>VLOOKUP(C24,[2]report!$A$2:$Q$496,5,FALSE)</f>
        <v>4120177247</v>
      </c>
      <c r="G24" s="12" t="str">
        <f>VLOOKUP(C24,[2]report!$A$2:$Q$496,8,FALSE)</f>
        <v>Kab. Luwu Timur - Kab. Luwu Timur</v>
      </c>
      <c r="H24" s="12" t="str">
        <f>VLOOKUP(C24,[2]report!$A$2:$Q$496,9,FALSE)</f>
        <v>19/08/2025 - 23/08/2025</v>
      </c>
      <c r="I24" s="13">
        <f>VLOOKUP(C24,[2]report!$A$2:$Q$496,17,FALSE)</f>
        <v>1355400</v>
      </c>
    </row>
    <row r="25" spans="2:9" s="5" customFormat="1" ht="18.75" customHeight="1" x14ac:dyDescent="0.25">
      <c r="B25" s="7">
        <v>20</v>
      </c>
      <c r="C25" s="11">
        <v>1278333861</v>
      </c>
      <c r="D25" s="12" t="str">
        <f>VLOOKUP(C25,[2]report!$A$2:$Q$496,3,FALSE)</f>
        <v>AGUS HARI WIBOWO</v>
      </c>
      <c r="E25" s="7">
        <f>VLOOKUP(C25,[2]report!$A$2:$Q$496,4,FALSE)</f>
        <v>85097602</v>
      </c>
      <c r="F25" s="7">
        <f>VLOOKUP(C25,[2]report!$A$2:$Q$496,5,FALSE)</f>
        <v>4120177263</v>
      </c>
      <c r="G25" s="12" t="str">
        <f>VLOOKUP(C25,[2]report!$A$2:$Q$496,8,FALSE)</f>
        <v>Kota Makassar - Kota Palopo</v>
      </c>
      <c r="H25" s="12" t="str">
        <f>VLOOKUP(C25,[2]report!$A$2:$Q$496,9,FALSE)</f>
        <v>19/08/2025 - 23/08/2025</v>
      </c>
      <c r="I25" s="13">
        <f>VLOOKUP(C25,[2]report!$A$2:$Q$496,17,FALSE)</f>
        <v>1355400</v>
      </c>
    </row>
    <row r="26" spans="2:9" s="5" customFormat="1" ht="18.75" customHeight="1" x14ac:dyDescent="0.25">
      <c r="B26" s="7">
        <v>21</v>
      </c>
      <c r="C26" s="11">
        <v>1278443255</v>
      </c>
      <c r="D26" s="12" t="str">
        <f>VLOOKUP(C26,[2]report!$A$2:$Q$496,3,FALSE)</f>
        <v xml:space="preserve">ARIFUDDIN </v>
      </c>
      <c r="E26" s="7">
        <f>VLOOKUP(C26,[2]report!$A$2:$Q$496,4,FALSE)</f>
        <v>83087613</v>
      </c>
      <c r="F26" s="7">
        <f>VLOOKUP(C26,[2]report!$A$2:$Q$496,5,FALSE)</f>
        <v>4120177326</v>
      </c>
      <c r="G26" s="12" t="str">
        <f>VLOOKUP(C26,[2]report!$A$2:$Q$496,8,FALSE)</f>
        <v>Kota Baubau - Kota Makassar</v>
      </c>
      <c r="H26" s="12" t="str">
        <f>VLOOKUP(C26,[2]report!$A$2:$Q$496,9,FALSE)</f>
        <v>21/08/2025 - 23/08/2025</v>
      </c>
      <c r="I26" s="13">
        <f>VLOOKUP(C26,[2]report!$A$2:$Q$496,17,FALSE)</f>
        <v>1380000</v>
      </c>
    </row>
    <row r="27" spans="2:9" s="5" customFormat="1" ht="18.75" customHeight="1" x14ac:dyDescent="0.25">
      <c r="B27" s="7">
        <v>22</v>
      </c>
      <c r="C27" s="11">
        <v>1278391575</v>
      </c>
      <c r="D27" s="12" t="str">
        <f>VLOOKUP(C27,[2]report!$A$2:$Q$496,3,FALSE)</f>
        <v>AHMAD AMIRUL SYARIF</v>
      </c>
      <c r="E27" s="7">
        <f>VLOOKUP(C27,[2]report!$A$2:$Q$496,4,FALSE)</f>
        <v>87108002</v>
      </c>
      <c r="F27" s="7">
        <f>VLOOKUP(C27,[2]report!$A$2:$Q$496,5,FALSE)</f>
        <v>4120177272</v>
      </c>
      <c r="G27" s="12" t="str">
        <f>VLOOKUP(C27,[2]report!$A$2:$Q$496,8,FALSE)</f>
        <v>Kota Makassar - Jakarta Pusat</v>
      </c>
      <c r="H27" s="12" t="str">
        <f>VLOOKUP(C27,[2]report!$A$2:$Q$496,9,FALSE)</f>
        <v>19/08/2025 - 21/08/2025</v>
      </c>
      <c r="I27" s="13">
        <f>VLOOKUP(C27,[2]report!$A$2:$Q$496,17,FALSE)</f>
        <v>1545300</v>
      </c>
    </row>
    <row r="28" spans="2:9" s="5" customFormat="1" ht="18.75" customHeight="1" x14ac:dyDescent="0.25">
      <c r="B28" s="7">
        <v>23</v>
      </c>
      <c r="C28" s="11">
        <v>1278445003</v>
      </c>
      <c r="D28" s="12" t="str">
        <f>VLOOKUP(C28,[2]report!$A$2:$Q$496,3,FALSE)</f>
        <v>M. LUKMAN HAKIM</v>
      </c>
      <c r="E28" s="7">
        <f>VLOOKUP(C28,[2]report!$A$2:$Q$496,4,FALSE)</f>
        <v>87127603</v>
      </c>
      <c r="F28" s="7">
        <f>VLOOKUP(C28,[2]report!$A$2:$Q$496,5,FALSE)</f>
        <v>4120177306</v>
      </c>
      <c r="G28" s="12" t="str">
        <f>VLOOKUP(C28,[2]report!$A$2:$Q$496,8,FALSE)</f>
        <v>Kota Makassar - Kota Semarang</v>
      </c>
      <c r="H28" s="12" t="str">
        <f>VLOOKUP(C28,[2]report!$A$2:$Q$496,9,FALSE)</f>
        <v>20/08/2025 - 23/08/2025</v>
      </c>
      <c r="I28" s="13">
        <f>VLOOKUP(C28,[2]report!$A$2:$Q$496,17,FALSE)</f>
        <v>1556000</v>
      </c>
    </row>
    <row r="29" spans="2:9" s="5" customFormat="1" ht="18.75" customHeight="1" x14ac:dyDescent="0.25">
      <c r="B29" s="7">
        <v>24</v>
      </c>
      <c r="C29" s="51">
        <v>1278311337</v>
      </c>
      <c r="D29" s="12" t="s">
        <v>23</v>
      </c>
      <c r="E29" s="7">
        <v>89087605</v>
      </c>
      <c r="F29" s="7">
        <v>4120177322</v>
      </c>
      <c r="G29" s="12" t="s">
        <v>24</v>
      </c>
      <c r="H29" s="12" t="s">
        <v>25</v>
      </c>
      <c r="I29" s="13">
        <v>1557152</v>
      </c>
    </row>
    <row r="30" spans="2:9" s="5" customFormat="1" ht="18.75" customHeight="1" x14ac:dyDescent="0.25">
      <c r="B30" s="7">
        <v>25</v>
      </c>
      <c r="C30" s="11">
        <v>1278426239</v>
      </c>
      <c r="D30" s="12" t="str">
        <f>VLOOKUP(C30,[2]report!$A$2:$Q$496,3,FALSE)</f>
        <v>RULI RIZALUDDIN</v>
      </c>
      <c r="E30" s="7">
        <f>VLOOKUP(C30,[2]report!$A$2:$Q$496,4,FALSE)</f>
        <v>79055400</v>
      </c>
      <c r="F30" s="7">
        <f>VLOOKUP(C30,[2]report!$A$2:$Q$496,5,FALSE)</f>
        <v>4120177348</v>
      </c>
      <c r="G30" s="12" t="str">
        <f>VLOOKUP(C30,[2]report!$A$2:$Q$496,8,FALSE)</f>
        <v>Jakarta Pusat - Jakarta Pusat</v>
      </c>
      <c r="H30" s="12" t="str">
        <f>VLOOKUP(C30,[2]report!$A$2:$Q$496,9,FALSE)</f>
        <v>21/08/2025 - 23/08/2025</v>
      </c>
      <c r="I30" s="13">
        <f>VLOOKUP(C30,[2]report!$A$2:$Q$496,17,FALSE)</f>
        <v>1574100</v>
      </c>
    </row>
    <row r="31" spans="2:9" s="5" customFormat="1" ht="18.75" customHeight="1" x14ac:dyDescent="0.25">
      <c r="B31" s="7">
        <v>26</v>
      </c>
      <c r="C31" s="11">
        <v>1278373724</v>
      </c>
      <c r="D31" s="12" t="str">
        <f>VLOOKUP(C31,[2]report!$A$2:$Q$496,3,FALSE)</f>
        <v xml:space="preserve">ARIFUDDIN </v>
      </c>
      <c r="E31" s="7">
        <f>VLOOKUP(C31,[2]report!$A$2:$Q$496,4,FALSE)</f>
        <v>83087613</v>
      </c>
      <c r="F31" s="7">
        <f>VLOOKUP(C31,[2]report!$A$2:$Q$496,5,FALSE)</f>
        <v>4120177326</v>
      </c>
      <c r="G31" s="12" t="str">
        <f>VLOOKUP(C31,[2]report!$A$2:$Q$496,8,FALSE)</f>
        <v>Kota Baubau - Kota Makassar</v>
      </c>
      <c r="H31" s="12" t="str">
        <f>VLOOKUP(C31,[2]report!$A$2:$Q$496,9,FALSE)</f>
        <v>21/08/2025 - 23/08/2025</v>
      </c>
      <c r="I31" s="13">
        <f>VLOOKUP(C31,[2]report!$A$2:$Q$496,17,FALSE)</f>
        <v>1588300</v>
      </c>
    </row>
    <row r="32" spans="2:9" s="5" customFormat="1" ht="18.75" customHeight="1" x14ac:dyDescent="0.25">
      <c r="B32" s="7">
        <v>27</v>
      </c>
      <c r="C32" s="11">
        <v>1278311757</v>
      </c>
      <c r="D32" s="12" t="str">
        <f>VLOOKUP(C32,[2]report!$A$2:$Q$496,3,FALSE)</f>
        <v xml:space="preserve">ARJINOFALTIN </v>
      </c>
      <c r="E32" s="7">
        <f>VLOOKUP(C32,[2]report!$A$2:$Q$496,4,FALSE)</f>
        <v>89087605</v>
      </c>
      <c r="F32" s="7">
        <f>VLOOKUP(C32,[2]report!$A$2:$Q$496,5,FALSE)</f>
        <v>4120177322</v>
      </c>
      <c r="G32" s="12" t="str">
        <f>VLOOKUP(C32,[2]report!$A$2:$Q$496,8,FALSE)</f>
        <v>Kota Makassar - Kab. Kolaka Utara</v>
      </c>
      <c r="H32" s="12" t="str">
        <f>VLOOKUP(C32,[2]report!$A$2:$Q$496,9,FALSE)</f>
        <v>25/08/2025 - 28/08/2025</v>
      </c>
      <c r="I32" s="13">
        <f>VLOOKUP(C32,[2]report!$A$2:$Q$496,17,FALSE)</f>
        <v>1674000</v>
      </c>
    </row>
    <row r="33" spans="2:9" s="5" customFormat="1" ht="18.75" customHeight="1" x14ac:dyDescent="0.25">
      <c r="B33" s="7">
        <v>28</v>
      </c>
      <c r="C33" s="11">
        <v>1278410917</v>
      </c>
      <c r="D33" s="12" t="str">
        <f>VLOOKUP(C33,[2]report!$A$2:$Q$496,3,FALSE)</f>
        <v xml:space="preserve">MIRSAN </v>
      </c>
      <c r="E33" s="7">
        <f>VLOOKUP(C33,[2]report!$A$2:$Q$496,4,FALSE)</f>
        <v>84087802</v>
      </c>
      <c r="F33" s="7">
        <f>VLOOKUP(C33,[2]report!$A$2:$Q$496,5,FALSE)</f>
        <v>4120177347</v>
      </c>
      <c r="G33" s="12" t="str">
        <f>VLOOKUP(C33,[2]report!$A$2:$Q$496,8,FALSE)</f>
        <v>Kota Makassar - Jakarta Selatan</v>
      </c>
      <c r="H33" s="12" t="str">
        <f>VLOOKUP(C33,[2]report!$A$2:$Q$496,9,FALSE)</f>
        <v>21/08/2025 - 22/08/2025</v>
      </c>
      <c r="I33" s="13">
        <f>VLOOKUP(C33,[2]report!$A$2:$Q$496,17,FALSE)</f>
        <v>1938200</v>
      </c>
    </row>
    <row r="34" spans="2:9" s="5" customFormat="1" ht="18.75" customHeight="1" x14ac:dyDescent="0.25">
      <c r="B34" s="7">
        <v>29</v>
      </c>
      <c r="C34" s="16">
        <v>1278312571</v>
      </c>
      <c r="D34" s="12" t="str">
        <f>VLOOKUP(C34,[2]report!$A$2:$Q$496,3,FALSE)</f>
        <v>EKO WAHYU PRASONGKO</v>
      </c>
      <c r="E34" s="7">
        <f>VLOOKUP(C34,[2]report!$A$2:$Q$496,4,FALSE)</f>
        <v>72937606</v>
      </c>
      <c r="F34" s="7">
        <f>VLOOKUP(C34,[2]report!$A$2:$Q$496,5,FALSE)</f>
        <v>4120177315</v>
      </c>
      <c r="G34" s="12" t="str">
        <f>VLOOKUP(C34,[2]report!$A$2:$Q$496,8,FALSE)</f>
        <v>Kota Makassar - Kota Kendari</v>
      </c>
      <c r="H34" s="12" t="str">
        <f>VLOOKUP(C34,[2]report!$A$2:$Q$496,9,FALSE)</f>
        <v>25/08/2025 - 28/08/2025</v>
      </c>
      <c r="I34" s="13">
        <f>VLOOKUP(C34,[2]report!$A$2:$Q$496,17,FALSE)</f>
        <v>1980000</v>
      </c>
    </row>
    <row r="35" spans="2:9" s="5" customFormat="1" ht="18.75" customHeight="1" x14ac:dyDescent="0.25">
      <c r="B35" s="7">
        <v>30</v>
      </c>
      <c r="C35" s="18">
        <v>1278323162</v>
      </c>
      <c r="D35" s="12" t="str">
        <f>VLOOKUP(C35,[2]report!$A$2:$Q$496,3,FALSE)</f>
        <v>NABILA NUR FAIRUZ</v>
      </c>
      <c r="E35" s="7">
        <f>VLOOKUP(C35,[2]report!$A$2:$Q$496,4,FALSE)</f>
        <v>1241589</v>
      </c>
      <c r="F35" s="7">
        <f>VLOOKUP(C35,[2]report!$A$2:$Q$496,5,FALSE)</f>
        <v>4120177304</v>
      </c>
      <c r="G35" s="12" t="str">
        <f>VLOOKUP(C35,[2]report!$A$2:$Q$496,8,FALSE)</f>
        <v>Kota Kendari - Kota Bogor</v>
      </c>
      <c r="H35" s="12" t="str">
        <f>VLOOKUP(C35,[2]report!$A$2:$Q$496,9,FALSE)</f>
        <v>26/08/2025 - 28/08/2025</v>
      </c>
      <c r="I35" s="13">
        <f>VLOOKUP(C35,[2]report!$A$2:$Q$496,17,FALSE)</f>
        <v>1986900</v>
      </c>
    </row>
    <row r="36" spans="2:9" s="5" customFormat="1" ht="18.75" customHeight="1" x14ac:dyDescent="0.25">
      <c r="B36" s="7">
        <v>31</v>
      </c>
      <c r="C36" s="11">
        <v>1278411633</v>
      </c>
      <c r="D36" s="12" t="str">
        <f>VLOOKUP(C36,[2]report!$A$2:$Q$496,3,FALSE)</f>
        <v>AHMAD AMIRUL SYARIF</v>
      </c>
      <c r="E36" s="7">
        <f>VLOOKUP(C36,[2]report!$A$2:$Q$496,4,FALSE)</f>
        <v>87108002</v>
      </c>
      <c r="F36" s="7">
        <f>VLOOKUP(C36,[2]report!$A$2:$Q$496,5,FALSE)</f>
        <v>4120177320</v>
      </c>
      <c r="G36" s="12" t="str">
        <f>VLOOKUP(C36,[2]report!$A$2:$Q$496,8,FALSE)</f>
        <v>Kota Makassar - Kab. Kolaka Utara</v>
      </c>
      <c r="H36" s="12" t="str">
        <f>VLOOKUP(C36,[2]report!$A$2:$Q$496,9,FALSE)</f>
        <v>25/08/2025 - 28/08/2025</v>
      </c>
      <c r="I36" s="13">
        <f>VLOOKUP(C36,[2]report!$A$2:$Q$496,17,FALSE)</f>
        <v>1989000</v>
      </c>
    </row>
    <row r="37" spans="2:9" s="5" customFormat="1" ht="18.75" customHeight="1" x14ac:dyDescent="0.25">
      <c r="B37" s="7">
        <v>32</v>
      </c>
      <c r="C37" s="11">
        <v>1278387242</v>
      </c>
      <c r="D37" s="12" t="str">
        <f>VLOOKUP(C37,[2]report!$A$2:$Q$496,3,FALSE)</f>
        <v>RACHMAT NUR</v>
      </c>
      <c r="E37" s="7">
        <f>VLOOKUP(C37,[2]report!$A$2:$Q$496,4,FALSE)</f>
        <v>78068001</v>
      </c>
      <c r="F37" s="7">
        <f>VLOOKUP(C37,[2]report!$A$2:$Q$496,5,FALSE)</f>
        <v>4120177283</v>
      </c>
      <c r="G37" s="12" t="str">
        <f>VLOOKUP(C37,[2]report!$A$2:$Q$496,8,FALSE)</f>
        <v>Kota Makassar - Jakarta Selatan</v>
      </c>
      <c r="H37" s="12" t="str">
        <f>VLOOKUP(C37,[2]report!$A$2:$Q$496,9,FALSE)</f>
        <v>19/08/2025 - 20/08/2025</v>
      </c>
      <c r="I37" s="13">
        <f>VLOOKUP(C37,[2]report!$A$2:$Q$496,17,FALSE)</f>
        <v>2397800</v>
      </c>
    </row>
    <row r="38" spans="2:9" s="5" customFormat="1" ht="18.75" customHeight="1" x14ac:dyDescent="0.25">
      <c r="B38" s="7">
        <v>33</v>
      </c>
      <c r="C38" s="11">
        <v>1278465239</v>
      </c>
      <c r="D38" s="12" t="str">
        <f>VLOOKUP(C38,[2]report!$A$2:$Q$496,3,FALSE)</f>
        <v>SUPRIANTO MARWING</v>
      </c>
      <c r="E38" s="7">
        <f>VLOOKUP(C38,[2]report!$A$2:$Q$496,4,FALSE)</f>
        <v>95207607</v>
      </c>
      <c r="F38" s="7">
        <f>VLOOKUP(C38,[2]report!$A$2:$Q$496,5,FALSE)</f>
        <v>4120177339</v>
      </c>
      <c r="G38" s="12" t="str">
        <f>VLOOKUP(C38,[2]report!$A$2:$Q$496,8,FALSE)</f>
        <v>Kab. Buton Tengah - Kota Makassar</v>
      </c>
      <c r="H38" s="12" t="str">
        <f>VLOOKUP(C38,[2]report!$A$2:$Q$496,9,FALSE)</f>
        <v>21/08/2025 - 23/08/2025</v>
      </c>
      <c r="I38" s="13">
        <f>VLOOKUP(C38,[2]report!$A$2:$Q$496,17,FALSE)</f>
        <v>680000</v>
      </c>
    </row>
    <row r="39" spans="2:9" s="5" customFormat="1" ht="18.75" customHeight="1" x14ac:dyDescent="0.25">
      <c r="B39" s="7">
        <v>34</v>
      </c>
      <c r="C39" s="11">
        <v>1278499417</v>
      </c>
      <c r="D39" s="12" t="str">
        <f>VLOOKUP(C39,[2]report!$A$2:$Q$496,3,FALSE)</f>
        <v>FIRDA HUWAIDA ULFAH</v>
      </c>
      <c r="E39" s="7">
        <f>VLOOKUP(C39,[2]report!$A$2:$Q$496,4,FALSE)</f>
        <v>95197618</v>
      </c>
      <c r="F39" s="7">
        <f>VLOOKUP(C39,[2]report!$A$2:$Q$496,5,FALSE)</f>
        <v>4120177330</v>
      </c>
      <c r="G39" s="12" t="str">
        <f>VLOOKUP(C39,[2]report!$A$2:$Q$496,8,FALSE)</f>
        <v>Kab. Bone - Kota Makassar</v>
      </c>
      <c r="H39" s="12" t="str">
        <f>VLOOKUP(C39,[2]report!$A$2:$Q$496,9,FALSE)</f>
        <v>21/08/2025 - 22/08/2025</v>
      </c>
      <c r="I39" s="13">
        <f>VLOOKUP(C39,[2]report!$A$2:$Q$496,17,FALSE)</f>
        <v>723580</v>
      </c>
    </row>
    <row r="40" spans="2:9" s="5" customFormat="1" ht="18.75" customHeight="1" x14ac:dyDescent="0.25">
      <c r="B40" s="7">
        <v>35</v>
      </c>
      <c r="C40" s="11">
        <v>1278489341</v>
      </c>
      <c r="D40" s="12" t="str">
        <f>VLOOKUP(C40,[2]report!$A$2:$Q$496,3,FALSE)</f>
        <v>MYANA RINO ANDHANA</v>
      </c>
      <c r="E40" s="7">
        <f>VLOOKUP(C40,[2]report!$A$2:$Q$496,4,FALSE)</f>
        <v>96197633</v>
      </c>
      <c r="F40" s="7">
        <f>VLOOKUP(C40,[2]report!$A$2:$Q$496,5,FALSE)</f>
        <v>4120177334</v>
      </c>
      <c r="G40" s="12" t="str">
        <f>VLOOKUP(C40,[2]report!$A$2:$Q$496,8,FALSE)</f>
        <v>Kab. Bone - Kota Makassar</v>
      </c>
      <c r="H40" s="12" t="str">
        <f>VLOOKUP(C40,[2]report!$A$2:$Q$496,9,FALSE)</f>
        <v>21/08/2025 - 22/08/2025</v>
      </c>
      <c r="I40" s="13">
        <f>VLOOKUP(C40,[2]report!$A$2:$Q$496,17,FALSE)</f>
        <v>723580</v>
      </c>
    </row>
    <row r="41" spans="2:9" s="5" customFormat="1" ht="18.75" customHeight="1" x14ac:dyDescent="0.25">
      <c r="B41" s="7">
        <v>36</v>
      </c>
      <c r="C41" s="11">
        <v>1278466858</v>
      </c>
      <c r="D41" s="12" t="str">
        <f>VLOOKUP(C41,[2]report!$A$2:$Q$496,3,FALSE)</f>
        <v>SUPRIANTO MARWING</v>
      </c>
      <c r="E41" s="7">
        <f>VLOOKUP(C41,[2]report!$A$2:$Q$496,4,FALSE)</f>
        <v>95207607</v>
      </c>
      <c r="F41" s="7">
        <f>VLOOKUP(C41,[2]report!$A$2:$Q$496,5,FALSE)</f>
        <v>4120177339</v>
      </c>
      <c r="G41" s="12" t="str">
        <f>VLOOKUP(C41,[2]report!$A$2:$Q$496,8,FALSE)</f>
        <v>Kab. Buton Tengah - Kota Makassar</v>
      </c>
      <c r="H41" s="12" t="str">
        <f>VLOOKUP(C41,[2]report!$A$2:$Q$496,9,FALSE)</f>
        <v>21/08/2025 - 23/08/2025</v>
      </c>
      <c r="I41" s="13">
        <f>VLOOKUP(C41,[2]report!$A$2:$Q$496,17,FALSE)</f>
        <v>760000</v>
      </c>
    </row>
    <row r="42" spans="2:9" s="5" customFormat="1" ht="18.75" customHeight="1" x14ac:dyDescent="0.25">
      <c r="B42" s="7">
        <v>37</v>
      </c>
      <c r="C42" s="11">
        <v>1278461806</v>
      </c>
      <c r="D42" s="12" t="str">
        <f>VLOOKUP(C42,[2]report!$A$2:$Q$496,3,FALSE)</f>
        <v xml:space="preserve">MASRUDI </v>
      </c>
      <c r="E42" s="7">
        <f>VLOOKUP(C42,[2]report!$A$2:$Q$496,4,FALSE)</f>
        <v>93137623</v>
      </c>
      <c r="F42" s="7">
        <f>VLOOKUP(C42,[2]report!$A$2:$Q$496,5,FALSE)</f>
        <v>4120177332</v>
      </c>
      <c r="G42" s="12" t="str">
        <f>VLOOKUP(C42,[2]report!$A$2:$Q$496,8,FALSE)</f>
        <v>Kota Kendari - Kota Makassar</v>
      </c>
      <c r="H42" s="12" t="str">
        <f>VLOOKUP(C42,[2]report!$A$2:$Q$496,9,FALSE)</f>
        <v>21/08/2025 - 23/08/2025</v>
      </c>
      <c r="I42" s="13">
        <f>VLOOKUP(C42,[2]report!$A$2:$Q$496,17,FALSE)</f>
        <v>810600</v>
      </c>
    </row>
    <row r="43" spans="2:9" s="5" customFormat="1" ht="18.75" customHeight="1" x14ac:dyDescent="0.25">
      <c r="B43" s="7">
        <v>38</v>
      </c>
      <c r="C43" s="11">
        <v>1278471698</v>
      </c>
      <c r="D43" s="12" t="str">
        <f>VLOOKUP(C43,[2]report!$A$2:$Q$496,3,FALSE)</f>
        <v>ARIO SUSENO</v>
      </c>
      <c r="E43" s="7">
        <f>VLOOKUP(C43,[2]report!$A$2:$Q$496,4,FALSE)</f>
        <v>94167610</v>
      </c>
      <c r="F43" s="7">
        <f>VLOOKUP(C43,[2]report!$A$2:$Q$496,5,FALSE)</f>
        <v>4120177333</v>
      </c>
      <c r="G43" s="12" t="str">
        <f>VLOOKUP(C43,[2]report!$A$2:$Q$496,8,FALSE)</f>
        <v>Kota Baubau - Kota Makassar</v>
      </c>
      <c r="H43" s="12" t="str">
        <f>VLOOKUP(C43,[2]report!$A$2:$Q$496,9,FALSE)</f>
        <v>21/08/2025 - 23/08/2025</v>
      </c>
      <c r="I43" s="13">
        <f>VLOOKUP(C43,[2]report!$A$2:$Q$496,17,FALSE)</f>
        <v>844100</v>
      </c>
    </row>
    <row r="44" spans="2:9" s="5" customFormat="1" ht="18.75" customHeight="1" x14ac:dyDescent="0.25">
      <c r="B44" s="7">
        <v>39</v>
      </c>
      <c r="C44" s="11">
        <v>1278465794</v>
      </c>
      <c r="D44" s="12" t="str">
        <f>VLOOKUP(C44,[2]report!$A$2:$Q$496,3,FALSE)</f>
        <v>JULYANZAH PERDANA PUTRA</v>
      </c>
      <c r="E44" s="7">
        <f>VLOOKUP(C44,[2]report!$A$2:$Q$496,4,FALSE)</f>
        <v>88128002</v>
      </c>
      <c r="F44" s="7">
        <f>VLOOKUP(C44,[2]report!$A$2:$Q$496,5,FALSE)</f>
        <v>4120177305</v>
      </c>
      <c r="G44" s="12" t="str">
        <f>VLOOKUP(C44,[2]report!$A$2:$Q$496,8,FALSE)</f>
        <v>Kota Makassar - Kota Bogor</v>
      </c>
      <c r="H44" s="12" t="str">
        <f>VLOOKUP(C44,[2]report!$A$2:$Q$496,9,FALSE)</f>
        <v>18/08/2025 - 22/08/2025</v>
      </c>
      <c r="I44" s="13">
        <f>VLOOKUP(C44,[2]report!$A$2:$Q$496,17,FALSE)</f>
        <v>976500</v>
      </c>
    </row>
    <row r="45" spans="2:9" s="5" customFormat="1" ht="18.75" customHeight="1" x14ac:dyDescent="0.25">
      <c r="B45" s="7">
        <v>40</v>
      </c>
      <c r="C45" s="11">
        <v>1278506372</v>
      </c>
      <c r="D45" s="12" t="str">
        <f>VLOOKUP(C45,[2]report!$A$2:$Q$496,3,FALSE)</f>
        <v>HUSLAN HUSAIN</v>
      </c>
      <c r="E45" s="7">
        <f>VLOOKUP(C45,[2]report!$A$2:$Q$496,4,FALSE)</f>
        <v>71907601</v>
      </c>
      <c r="F45" s="7">
        <f>VLOOKUP(C45,[2]report!$A$2:$Q$496,5,FALSE)</f>
        <v>4120177255</v>
      </c>
      <c r="G45" s="12" t="str">
        <f>VLOOKUP(C45,[2]report!$A$2:$Q$496,8,FALSE)</f>
        <v>Kota Makassar - Jakarta Pusat - Kota Bandung</v>
      </c>
      <c r="H45" s="12" t="str">
        <f>VLOOKUP(C45,[2]report!$A$2:$Q$496,9,FALSE)</f>
        <v>18/08/2025 - 23/08/2025</v>
      </c>
      <c r="I45" s="13">
        <f>VLOOKUP(C45,[2]report!$A$2:$Q$496,17,FALSE)</f>
        <v>987731</v>
      </c>
    </row>
    <row r="46" spans="2:9" s="5" customFormat="1" ht="18.75" customHeight="1" x14ac:dyDescent="0.25">
      <c r="B46" s="7">
        <v>41</v>
      </c>
      <c r="C46" s="11">
        <v>1278525015</v>
      </c>
      <c r="D46" s="12" t="str">
        <f>VLOOKUP(C46,[2]report!$A$2:$Q$496,3,FALSE)</f>
        <v>ERWIN LERI</v>
      </c>
      <c r="E46" s="7">
        <f>VLOOKUP(C46,[2]report!$A$2:$Q$496,4,FALSE)</f>
        <v>87102007</v>
      </c>
      <c r="F46" s="7">
        <f>VLOOKUP(C46,[2]report!$A$2:$Q$496,5,FALSE)</f>
        <v>4120177351</v>
      </c>
      <c r="G46" s="12" t="str">
        <f>VLOOKUP(C46,[2]report!$A$2:$Q$496,8,FALSE)</f>
        <v>Kota Makassar - Jakarta Selatan</v>
      </c>
      <c r="H46" s="12" t="str">
        <f>VLOOKUP(C46,[2]report!$A$2:$Q$496,9,FALSE)</f>
        <v>21/08/2025 - 22/08/2025</v>
      </c>
      <c r="I46" s="13">
        <f>VLOOKUP(C46,[2]report!$A$2:$Q$496,17,FALSE)</f>
        <v>1285500</v>
      </c>
    </row>
    <row r="47" spans="2:9" s="5" customFormat="1" ht="18.75" customHeight="1" x14ac:dyDescent="0.25">
      <c r="B47" s="7">
        <v>42</v>
      </c>
      <c r="C47" s="11">
        <v>1278471187</v>
      </c>
      <c r="D47" s="12" t="str">
        <f>VLOOKUP(C47,[2]report!$A$2:$Q$496,3,FALSE)</f>
        <v>ARIO SUSENO</v>
      </c>
      <c r="E47" s="7">
        <f>VLOOKUP(C47,[2]report!$A$2:$Q$496,4,FALSE)</f>
        <v>94167610</v>
      </c>
      <c r="F47" s="7">
        <f>VLOOKUP(C47,[2]report!$A$2:$Q$496,5,FALSE)</f>
        <v>4120177333</v>
      </c>
      <c r="G47" s="12" t="str">
        <f>VLOOKUP(C47,[2]report!$A$2:$Q$496,8,FALSE)</f>
        <v>Kota Baubau - Kota Makassar</v>
      </c>
      <c r="H47" s="12" t="str">
        <f>VLOOKUP(C47,[2]report!$A$2:$Q$496,9,FALSE)</f>
        <v>21/08/2025 - 23/08/2025</v>
      </c>
      <c r="I47" s="13">
        <f>VLOOKUP(C47,[2]report!$A$2:$Q$496,17,FALSE)</f>
        <v>1380000</v>
      </c>
    </row>
    <row r="48" spans="2:9" s="5" customFormat="1" ht="18.75" customHeight="1" x14ac:dyDescent="0.25">
      <c r="B48" s="7">
        <v>43</v>
      </c>
      <c r="C48" s="11">
        <v>1278497839</v>
      </c>
      <c r="D48" s="12" t="str">
        <f>VLOOKUP(C48,[2]report!$A$2:$Q$496,3,FALSE)</f>
        <v>MUHAMMAD ISMAIL</v>
      </c>
      <c r="E48" s="7">
        <f>VLOOKUP(C48,[2]report!$A$2:$Q$496,4,FALSE)</f>
        <v>78027603</v>
      </c>
      <c r="F48" s="7">
        <f>VLOOKUP(C48,[2]report!$A$2:$Q$496,5,FALSE)</f>
        <v>4120177292</v>
      </c>
      <c r="G48" s="12" t="str">
        <f>VLOOKUP(C48,[2]report!$A$2:$Q$496,8,FALSE)</f>
        <v>Kota Makassar - Kota Bandung</v>
      </c>
      <c r="H48" s="12" t="str">
        <f>VLOOKUP(C48,[2]report!$A$2:$Q$496,9,FALSE)</f>
        <v>20/08/2025 - 23/08/2025</v>
      </c>
      <c r="I48" s="13">
        <f>VLOOKUP(C48,[2]report!$A$2:$Q$496,17,FALSE)</f>
        <v>1700000</v>
      </c>
    </row>
    <row r="49" spans="2:9" s="5" customFormat="1" ht="18.75" customHeight="1" x14ac:dyDescent="0.25">
      <c r="B49" s="7">
        <v>44</v>
      </c>
      <c r="C49" s="11">
        <v>1278602422</v>
      </c>
      <c r="D49" s="12" t="str">
        <f>VLOOKUP(C49,[2]report!$A$2:$Q$496,3,FALSE)</f>
        <v>MUHAMMAD SUSGANDINATA</v>
      </c>
      <c r="E49" s="7">
        <f>VLOOKUP(C49,[2]report!$A$2:$Q$496,4,FALSE)</f>
        <v>86097601</v>
      </c>
      <c r="F49" s="7">
        <f>VLOOKUP(C49,[2]report!$A$2:$Q$496,5,FALSE)</f>
        <v>4120177295</v>
      </c>
      <c r="G49" s="12" t="str">
        <f>VLOOKUP(C49,[2]report!$A$2:$Q$496,8,FALSE)</f>
        <v>KotaMakassar-KotaSemarang</v>
      </c>
      <c r="H49" s="12" t="str">
        <f>VLOOKUP(C49,[2]report!$A$2:$Q$496,9,FALSE)</f>
        <v>20/08/2025 - 23/08/2025</v>
      </c>
      <c r="I49" s="13">
        <f>VLOOKUP(C49,[2]report!$A$2:$Q$496,17,FALSE)</f>
        <v>778000</v>
      </c>
    </row>
    <row r="50" spans="2:9" s="5" customFormat="1" ht="18.75" customHeight="1" x14ac:dyDescent="0.25">
      <c r="B50" s="7">
        <v>45</v>
      </c>
      <c r="C50" s="11">
        <v>1278664962</v>
      </c>
      <c r="D50" s="12" t="str">
        <f>VLOOKUP(C50,[2]report!$A$2:$Q$496,3,FALSE)</f>
        <v>ARIF INDRA WIBOWO</v>
      </c>
      <c r="E50" s="7">
        <f>VLOOKUP(C50,[2]report!$A$2:$Q$496,4,FALSE)</f>
        <v>94167614</v>
      </c>
      <c r="F50" s="7">
        <f>VLOOKUP(C50,[2]report!$A$2:$Q$496,5,FALSE)</f>
        <v>4120177358</v>
      </c>
      <c r="G50" s="12" t="str">
        <f>VLOOKUP(C50,[2]report!$A$2:$Q$496,8,FALSE)</f>
        <v>Kota Makassar - Kota Makassar</v>
      </c>
      <c r="H50" s="12" t="str">
        <f>VLOOKUP(C50,[2]report!$A$2:$Q$496,9,FALSE)</f>
        <v>22/08/2025 - 23/08/2025</v>
      </c>
      <c r="I50" s="13">
        <f>VLOOKUP(C50,[2]report!$A$2:$Q$496,17,FALSE)</f>
        <v>815530</v>
      </c>
    </row>
    <row r="51" spans="2:9" s="5" customFormat="1" ht="18.75" customHeight="1" x14ac:dyDescent="0.25">
      <c r="B51" s="7">
        <v>46</v>
      </c>
      <c r="C51" s="11">
        <v>1278694488</v>
      </c>
      <c r="D51" s="12" t="str">
        <f>VLOOKUP(C51,[2]report!$A$2:$Q$496,3,FALSE)</f>
        <v xml:space="preserve">MASRUDI </v>
      </c>
      <c r="E51" s="7">
        <f>VLOOKUP(C51,[2]report!$A$2:$Q$496,4,FALSE)</f>
        <v>93137623</v>
      </c>
      <c r="F51" s="7">
        <f>VLOOKUP(C51,[2]report!$A$2:$Q$496,5,FALSE)</f>
        <v>4120177332</v>
      </c>
      <c r="G51" s="12" t="str">
        <f>VLOOKUP(C51,[2]report!$A$2:$Q$496,8,FALSE)</f>
        <v>Kota Kendari - Kota Makassar</v>
      </c>
      <c r="H51" s="12" t="str">
        <f>VLOOKUP(C51,[2]report!$A$2:$Q$496,9,FALSE)</f>
        <v>21/08/2025 - 23/08/2025</v>
      </c>
      <c r="I51" s="13">
        <f>VLOOKUP(C51,[2]report!$A$2:$Q$496,17,FALSE)</f>
        <v>858500</v>
      </c>
    </row>
    <row r="52" spans="2:9" s="5" customFormat="1" ht="18.75" customHeight="1" x14ac:dyDescent="0.25">
      <c r="B52" s="7">
        <v>47</v>
      </c>
      <c r="C52" s="11">
        <v>1278695371</v>
      </c>
      <c r="D52" s="12" t="str">
        <f>VLOOKUP(C52,[2]report!$A$2:$Q$496,3,FALSE)</f>
        <v>SARLINA M.KILYKILY</v>
      </c>
      <c r="E52" s="7">
        <f>VLOOKUP(C52,[2]report!$A$2:$Q$496,4,FALSE)</f>
        <v>73947604</v>
      </c>
      <c r="F52" s="7">
        <f>VLOOKUP(C52,[2]report!$A$2:$Q$496,5,FALSE)</f>
        <v>4120177374</v>
      </c>
      <c r="G52" s="12" t="str">
        <f>VLOOKUP(C52,[2]report!$A$2:$Q$496,8,FALSE)</f>
        <v>Kota Makassar - Kota Makassar</v>
      </c>
      <c r="H52" s="12" t="str">
        <f>VLOOKUP(C52,[2]report!$A$2:$Q$496,9,FALSE)</f>
        <v>21/08/2025 - 23/08/2025</v>
      </c>
      <c r="I52" s="13">
        <f>VLOOKUP(C52,[2]report!$A$2:$Q$496,17,FALSE)</f>
        <v>858500</v>
      </c>
    </row>
    <row r="53" spans="2:9" s="5" customFormat="1" ht="18.75" customHeight="1" x14ac:dyDescent="0.25">
      <c r="B53" s="7">
        <v>48</v>
      </c>
      <c r="C53" s="11">
        <v>1278694632</v>
      </c>
      <c r="D53" s="12" t="str">
        <f>VLOOKUP(C53,[2]report!$A$2:$Q$496,3,FALSE)</f>
        <v>JEFRI ARDIANSYAH</v>
      </c>
      <c r="E53" s="7">
        <f>VLOOKUP(C53,[2]report!$A$2:$Q$496,4,FALSE)</f>
        <v>93137624</v>
      </c>
      <c r="F53" s="7">
        <f>VLOOKUP(C53,[2]report!$A$2:$Q$496,5,FALSE)</f>
        <v>4120177345</v>
      </c>
      <c r="G53" s="12" t="str">
        <f>VLOOKUP(C53,[2]report!$A$2:$Q$496,8,FALSE)</f>
        <v>Kab. Kolaka Utara - Kota Makassar</v>
      </c>
      <c r="H53" s="12" t="str">
        <f>VLOOKUP(C53,[2]report!$A$2:$Q$496,9,FALSE)</f>
        <v>21/08/2025 - 23/08/2025</v>
      </c>
      <c r="I53" s="13">
        <f>VLOOKUP(C53,[2]report!$A$2:$Q$496,17,FALSE)</f>
        <v>902800</v>
      </c>
    </row>
    <row r="54" spans="2:9" s="5" customFormat="1" ht="18.75" customHeight="1" x14ac:dyDescent="0.25">
      <c r="B54" s="7">
        <v>49</v>
      </c>
      <c r="C54" s="11">
        <v>1278694261</v>
      </c>
      <c r="D54" s="12" t="str">
        <f>VLOOKUP(C54,[2]report!$A$2:$Q$496,3,FALSE)</f>
        <v>M. ISSAM CHALIBI</v>
      </c>
      <c r="E54" s="7">
        <f>VLOOKUP(C54,[2]report!$A$2:$Q$496,4,FALSE)</f>
        <v>91167604</v>
      </c>
      <c r="F54" s="7">
        <f>VLOOKUP(C54,[2]report!$A$2:$Q$496,5,FALSE)</f>
        <v>4120177346</v>
      </c>
      <c r="G54" s="12" t="str">
        <f>VLOOKUP(C54,[2]report!$A$2:$Q$496,8,FALSE)</f>
        <v>Kota Kendari - Kota Makassar</v>
      </c>
      <c r="H54" s="12" t="str">
        <f>VLOOKUP(C54,[2]report!$A$2:$Q$496,9,FALSE)</f>
        <v>21/08/2025 - 23/08/2025</v>
      </c>
      <c r="I54" s="13">
        <f>VLOOKUP(C54,[2]report!$A$2:$Q$496,17,FALSE)</f>
        <v>902800</v>
      </c>
    </row>
    <row r="55" spans="2:9" s="5" customFormat="1" ht="18.75" customHeight="1" x14ac:dyDescent="0.25">
      <c r="B55" s="7">
        <v>50</v>
      </c>
      <c r="C55" s="11">
        <v>1278624202</v>
      </c>
      <c r="D55" s="12" t="str">
        <f>VLOOKUP(C55,[2]report!$A$2:$Q$496,3,FALSE)</f>
        <v>ANDI SORAYA TENRI BAU</v>
      </c>
      <c r="E55" s="7">
        <f>VLOOKUP(C55,[2]report!$A$2:$Q$496,4,FALSE)</f>
        <v>86098669</v>
      </c>
      <c r="F55" s="7">
        <f>VLOOKUP(C55,[2]report!$A$2:$Q$496,5,FALSE)</f>
        <v>4120177327</v>
      </c>
      <c r="G55" s="12" t="str">
        <f>VLOOKUP(C55,[2]report!$A$2:$Q$496,8,FALSE)</f>
        <v>Kota Parepare - Kota Makassar</v>
      </c>
      <c r="H55" s="12" t="str">
        <f>VLOOKUP(C55,[2]report!$A$2:$Q$496,9,FALSE)</f>
        <v>22/08/2025 - 23/08/2025</v>
      </c>
      <c r="I55" s="13">
        <f>VLOOKUP(C55,[2]report!$A$2:$Q$496,17,FALSE)</f>
        <v>965000</v>
      </c>
    </row>
    <row r="56" spans="2:9" s="5" customFormat="1" ht="18.75" customHeight="1" x14ac:dyDescent="0.25">
      <c r="B56" s="7">
        <v>51</v>
      </c>
      <c r="C56" s="11">
        <v>1278687971</v>
      </c>
      <c r="D56" s="12" t="str">
        <f>VLOOKUP(C56,[2]report!$A$2:$Q$496,3,FALSE)</f>
        <v>DALMASIUS NUGROHO ADI PUTRANTO</v>
      </c>
      <c r="E56" s="7">
        <f>VLOOKUP(C56,[2]report!$A$2:$Q$496,4,FALSE)</f>
        <v>80077601</v>
      </c>
      <c r="F56" s="7">
        <f>VLOOKUP(C56,[2]report!$A$2:$Q$496,5,FALSE)</f>
        <v>4120177281</v>
      </c>
      <c r="G56" s="12" t="str">
        <f>VLOOKUP(C56,[2]report!$A$2:$Q$496,8,FALSE)</f>
        <v>KotaMakassar-KotaBogor</v>
      </c>
      <c r="H56" s="12" t="str">
        <f>VLOOKUP(C56,[2]report!$A$2:$Q$496,9,FALSE)</f>
        <v>18/08/2025 - 22/08/2025</v>
      </c>
      <c r="I56" s="13">
        <f>VLOOKUP(C56,[2]report!$A$2:$Q$496,17,FALSE)</f>
        <v>1377500</v>
      </c>
    </row>
    <row r="57" spans="2:9" s="5" customFormat="1" ht="18.75" customHeight="1" x14ac:dyDescent="0.25">
      <c r="B57" s="7">
        <v>52</v>
      </c>
      <c r="C57" s="11">
        <v>1278652806</v>
      </c>
      <c r="D57" s="12" t="str">
        <f>VLOOKUP(C57,[2]report!$A$2:$Q$496,3,FALSE)</f>
        <v>MIRSAN</v>
      </c>
      <c r="E57" s="7">
        <f>VLOOKUP(C57,[2]report!$A$2:$Q$496,4,FALSE)</f>
        <v>84087802</v>
      </c>
      <c r="F57" s="7">
        <f>VLOOKUP(C57,[2]report!$A$2:$Q$496,5,FALSE)</f>
        <v>4120177347</v>
      </c>
      <c r="G57" s="12" t="str">
        <f>VLOOKUP(C57,[2]report!$A$2:$Q$496,8,FALSE)</f>
        <v>KotaMakassar-JakartaSelatan</v>
      </c>
      <c r="H57" s="12" t="str">
        <f>VLOOKUP(C57,[2]report!$A$2:$Q$496,9,FALSE)</f>
        <v>21/08/2025 - 22/08/2025</v>
      </c>
      <c r="I57" s="13">
        <f>VLOOKUP(C57,[2]report!$A$2:$Q$496,17,FALSE)</f>
        <v>1423300</v>
      </c>
    </row>
    <row r="58" spans="2:9" s="5" customFormat="1" ht="18.75" customHeight="1" x14ac:dyDescent="0.25">
      <c r="B58" s="7">
        <v>53</v>
      </c>
      <c r="C58" s="11">
        <v>1278692517</v>
      </c>
      <c r="D58" s="12" t="str">
        <f>VLOOKUP(C58,[2]report!$A$2:$Q$496,3,FALSE)</f>
        <v>RULI RIZALUDDIN</v>
      </c>
      <c r="E58" s="7">
        <f>VLOOKUP(C58,[2]report!$A$2:$Q$496,4,FALSE)</f>
        <v>79055400</v>
      </c>
      <c r="F58" s="7">
        <f>VLOOKUP(C58,[2]report!$A$2:$Q$496,5,FALSE)</f>
        <v>4120177348</v>
      </c>
      <c r="G58" s="12" t="str">
        <f>VLOOKUP(C58,[2]report!$A$2:$Q$496,8,FALSE)</f>
        <v>KotaMakassar-JakartaPusat</v>
      </c>
      <c r="H58" s="12" t="str">
        <f>VLOOKUP(C58,[2]report!$A$2:$Q$496,9,FALSE)</f>
        <v>21/08/2025 - 23/08/2025</v>
      </c>
      <c r="I58" s="13">
        <f>VLOOKUP(C58,[2]report!$A$2:$Q$496,17,FALSE)</f>
        <v>2084245</v>
      </c>
    </row>
    <row r="59" spans="2:9" s="5" customFormat="1" ht="18.75" customHeight="1" x14ac:dyDescent="0.25">
      <c r="B59" s="7">
        <v>54</v>
      </c>
      <c r="C59" s="11">
        <v>1278716512</v>
      </c>
      <c r="D59" s="12" t="str">
        <f>VLOOKUP(C59,[2]report!$A$2:$Q$496,3,FALSE)</f>
        <v>ERWIN LERI</v>
      </c>
      <c r="E59" s="7">
        <f>VLOOKUP(C59,[2]report!$A$2:$Q$496,4,FALSE)</f>
        <v>87102007</v>
      </c>
      <c r="F59" s="7">
        <f>VLOOKUP(C59,[2]report!$A$2:$Q$496,5,FALSE)</f>
        <v>4120177351</v>
      </c>
      <c r="G59" s="12" t="str">
        <f>VLOOKUP(C59,[2]report!$A$2:$Q$496,8,FALSE)</f>
        <v>KotaMakassar-JakartaSelatan</v>
      </c>
      <c r="H59" s="12" t="str">
        <f>VLOOKUP(C59,[2]report!$A$2:$Q$496,9,FALSE)</f>
        <v>21/08/2025 - 22/08/2025</v>
      </c>
      <c r="I59" s="13">
        <f>VLOOKUP(C59,[2]report!$A$2:$Q$496,17,FALSE)</f>
        <v>637700</v>
      </c>
    </row>
    <row r="60" spans="2:9" s="5" customFormat="1" ht="18.75" customHeight="1" x14ac:dyDescent="0.25">
      <c r="B60" s="7">
        <v>55</v>
      </c>
      <c r="C60" s="11">
        <v>1278770124</v>
      </c>
      <c r="D60" s="12" t="str">
        <f>VLOOKUP(C60,[2]report!$A$2:$Q$496,3,FALSE)</f>
        <v>SARLINA M.KILYKILY</v>
      </c>
      <c r="E60" s="7">
        <f>VLOOKUP(C60,[2]report!$A$2:$Q$496,4,FALSE)</f>
        <v>73947604</v>
      </c>
      <c r="F60" s="7">
        <f>VLOOKUP(C60,[2]report!$A$2:$Q$496,5,FALSE)</f>
        <v>4120177374</v>
      </c>
      <c r="G60" s="12" t="str">
        <f>VLOOKUP(C60,[2]report!$A$2:$Q$496,8,FALSE)</f>
        <v>Kota Makassar - Kota Makassar</v>
      </c>
      <c r="H60" s="12" t="str">
        <f>VLOOKUP(C60,[2]report!$A$2:$Q$496,9,FALSE)</f>
        <v>21/08/2025 - 23/08/2025</v>
      </c>
      <c r="I60" s="13">
        <f>VLOOKUP(C60,[2]report!$A$2:$Q$496,17,FALSE)</f>
        <v>858500</v>
      </c>
    </row>
    <row r="61" spans="2:9" s="5" customFormat="1" ht="18.75" customHeight="1" x14ac:dyDescent="0.25">
      <c r="B61" s="7">
        <v>56</v>
      </c>
      <c r="C61" s="11">
        <v>1278778000</v>
      </c>
      <c r="D61" s="12" t="str">
        <f>VLOOKUP(C61,[2]report!$A$2:$Q$496,3,FALSE)</f>
        <v>EDYANSYAH</v>
      </c>
      <c r="E61" s="7">
        <f>VLOOKUP(C61,[2]report!$A$2:$Q$496,4,FALSE)</f>
        <v>70957602</v>
      </c>
      <c r="F61" s="7">
        <f>VLOOKUP(C61,[2]report!$A$2:$Q$496,5,FALSE)</f>
        <v>4120177293</v>
      </c>
      <c r="G61" s="12" t="str">
        <f>VLOOKUP(C61,[2]report!$A$2:$Q$496,8,FALSE)</f>
        <v>KotaMakassar-Kab.KolakaUtara</v>
      </c>
      <c r="H61" s="12" t="str">
        <f>VLOOKUP(C61,[2]report!$A$2:$Q$496,9,FALSE)</f>
        <v>25/08/2025 - 28/08/2025</v>
      </c>
      <c r="I61" s="13">
        <f>VLOOKUP(C61,[2]report!$A$2:$Q$496,17,FALSE)</f>
        <v>1315800</v>
      </c>
    </row>
    <row r="62" spans="2:9" s="5" customFormat="1" ht="18.75" customHeight="1" x14ac:dyDescent="0.25">
      <c r="B62" s="7">
        <v>57</v>
      </c>
      <c r="C62" s="16">
        <v>1278778989</v>
      </c>
      <c r="D62" s="12" t="str">
        <f>VLOOKUP(C62,[2]report!$A$2:$Q$496,3,FALSE)</f>
        <v>ARJINOFALTIN</v>
      </c>
      <c r="E62" s="7">
        <f>VLOOKUP(C62,[2]report!$A$2:$Q$496,4,FALSE)</f>
        <v>89087605</v>
      </c>
      <c r="F62" s="7">
        <f>VLOOKUP(C62,[2]report!$A$2:$Q$496,5,FALSE)</f>
        <v>4120177322</v>
      </c>
      <c r="G62" s="12" t="str">
        <f>VLOOKUP(C62,[2]report!$A$2:$Q$496,8,FALSE)</f>
        <v>KotaMakassar-Kab.KolakaUtara</v>
      </c>
      <c r="H62" s="12" t="str">
        <f>VLOOKUP(C62,[2]report!$A$2:$Q$496,9,FALSE)</f>
        <v>25/08/2025 - 28/08/2025</v>
      </c>
      <c r="I62" s="13">
        <f>VLOOKUP(C62,[2]report!$A$2:$Q$496,17,FALSE)</f>
        <v>1315800</v>
      </c>
    </row>
    <row r="63" spans="2:9" s="5" customFormat="1" ht="18.75" customHeight="1" x14ac:dyDescent="0.25">
      <c r="B63" s="7">
        <v>58</v>
      </c>
      <c r="C63" s="11">
        <v>1278778690</v>
      </c>
      <c r="D63" s="12" t="str">
        <f>VLOOKUP(C63,[2]report!$A$2:$Q$496,3,FALSE)</f>
        <v>EKO WAHYU PRASONGKO</v>
      </c>
      <c r="E63" s="7">
        <f>VLOOKUP(C63,[2]report!$A$2:$Q$496,4,FALSE)</f>
        <v>72937606</v>
      </c>
      <c r="F63" s="7">
        <f>VLOOKUP(C63,[2]report!$A$2:$Q$496,5,FALSE)</f>
        <v>4120177315</v>
      </c>
      <c r="G63" s="12" t="str">
        <f>VLOOKUP(C63,[2]report!$A$2:$Q$496,8,FALSE)</f>
        <v>KotaMakassar-KotaKendari</v>
      </c>
      <c r="H63" s="12" t="str">
        <f>VLOOKUP(C63,[2]report!$A$2:$Q$496,9,FALSE)</f>
        <v>25/08/2025 - 28/08/2025</v>
      </c>
      <c r="I63" s="13">
        <f>VLOOKUP(C63,[2]report!$A$2:$Q$496,17,FALSE)</f>
        <v>1315800</v>
      </c>
    </row>
    <row r="64" spans="2:9" s="5" customFormat="1" ht="18.75" customHeight="1" x14ac:dyDescent="0.25">
      <c r="B64" s="7">
        <v>59</v>
      </c>
      <c r="C64" s="11">
        <v>1278724291</v>
      </c>
      <c r="D64" s="12" t="str">
        <f>VLOOKUP(C64,[2]report!$A$2:$Q$496,3,FALSE)</f>
        <v>ZULKIFLI SETIOK</v>
      </c>
      <c r="E64" s="7">
        <f>VLOOKUP(C64,[2]report!$A$2:$Q$496,4,FALSE)</f>
        <v>89087622</v>
      </c>
      <c r="F64" s="7">
        <f>VLOOKUP(C64,[2]report!$A$2:$Q$496,5,FALSE)</f>
        <v>4120177344</v>
      </c>
      <c r="G64" s="12" t="str">
        <f>VLOOKUP(C64,[2]report!$A$2:$Q$496,8,FALSE)</f>
        <v>KotaBaubau-KotaMakassar</v>
      </c>
      <c r="H64" s="12" t="str">
        <f>VLOOKUP(C64,[2]report!$A$2:$Q$496,9,FALSE)</f>
        <v>21/08/2025 - 23/08/2025</v>
      </c>
      <c r="I64" s="13">
        <f>VLOOKUP(C64,[2]report!$A$2:$Q$496,17,FALSE)</f>
        <v>1400000</v>
      </c>
    </row>
    <row r="65" spans="2:9" s="5" customFormat="1" ht="18.75" customHeight="1" x14ac:dyDescent="0.25">
      <c r="B65" s="7">
        <v>60</v>
      </c>
      <c r="C65" s="11">
        <v>1278699647</v>
      </c>
      <c r="D65" s="12" t="str">
        <f>VLOOKUP(C65,[2]report!$A$2:$Q$496,3,FALSE)</f>
        <v>HUSLAN HUSAIN</v>
      </c>
      <c r="E65" s="7">
        <f>VLOOKUP(C65,[2]report!$A$2:$Q$496,4,FALSE)</f>
        <v>71907601</v>
      </c>
      <c r="F65" s="7">
        <f>VLOOKUP(C65,[2]report!$A$2:$Q$496,5,FALSE)</f>
        <v>4120177255</v>
      </c>
      <c r="G65" s="12" t="str">
        <f>VLOOKUP(C65,[2]report!$A$2:$Q$496,8,FALSE)</f>
        <v>KotaMakassar-JakartaPusat-KotaBandung</v>
      </c>
      <c r="H65" s="12" t="str">
        <f>VLOOKUP(C65,[2]report!$A$2:$Q$496,9,FALSE)</f>
        <v>18/08/2025 - 23/08/2025</v>
      </c>
      <c r="I65" s="13">
        <f>VLOOKUP(C65,[2]report!$A$2:$Q$496,17,FALSE)</f>
        <v>1600000</v>
      </c>
    </row>
    <row r="66" spans="2:9" s="5" customFormat="1" ht="18.75" customHeight="1" x14ac:dyDescent="0.25">
      <c r="B66" s="7">
        <v>61</v>
      </c>
      <c r="C66" s="11">
        <v>1278757866</v>
      </c>
      <c r="D66" s="12" t="str">
        <f>VLOOKUP(C66,[2]report!$A$2:$Q$496,3,FALSE)</f>
        <v>DAMBARUDIN</v>
      </c>
      <c r="E66" s="7">
        <f>VLOOKUP(C66,[2]report!$A$2:$Q$496,4,FALSE)</f>
        <v>76037600</v>
      </c>
      <c r="F66" s="7">
        <f>VLOOKUP(C66,[2]report!$A$2:$Q$496,5,FALSE)</f>
        <v>4120177246</v>
      </c>
      <c r="G66" s="12" t="str">
        <f>VLOOKUP(C66,[2]report!$A$2:$Q$496,8,FALSE)</f>
        <v>KotaBaubau-KotaBogor</v>
      </c>
      <c r="H66" s="12" t="str">
        <f>VLOOKUP(C66,[2]report!$A$2:$Q$496,9,FALSE)</f>
        <v>18/08/2025 - 23/08/2025</v>
      </c>
      <c r="I66" s="13">
        <f>VLOOKUP(C66,[2]report!$A$2:$Q$496,17,FALSE)</f>
        <v>1605700</v>
      </c>
    </row>
    <row r="67" spans="2:9" s="5" customFormat="1" ht="18.75" customHeight="1" x14ac:dyDescent="0.25">
      <c r="B67" s="7">
        <v>62</v>
      </c>
      <c r="C67" s="11">
        <v>1278986157</v>
      </c>
      <c r="D67" s="12" t="str">
        <f>VLOOKUP(C67,[2]report!$A$2:$Q$496,3,FALSE)</f>
        <v>MUHAMMAD ISMAIL</v>
      </c>
      <c r="E67" s="7">
        <f>VLOOKUP(C67,[2]report!$A$2:$Q$496,4,FALSE)</f>
        <v>78027603</v>
      </c>
      <c r="F67" s="7">
        <f>VLOOKUP(C67,[2]report!$A$2:$Q$496,5,FALSE)</f>
        <v>4120177292</v>
      </c>
      <c r="G67" s="12" t="str">
        <f>VLOOKUP(C67,[2]report!$A$2:$Q$496,8,FALSE)</f>
        <v>KotaMakassar-KotaBandung</v>
      </c>
      <c r="H67" s="12" t="str">
        <f>VLOOKUP(C67,[2]report!$A$2:$Q$496,9,FALSE)</f>
        <v>20/08/2025 - 23/08/2025</v>
      </c>
      <c r="I67" s="13">
        <f>VLOOKUP(C67,[2]report!$A$2:$Q$496,17,FALSE)</f>
        <v>681450</v>
      </c>
    </row>
    <row r="68" spans="2:9" s="5" customFormat="1" ht="18.75" customHeight="1" x14ac:dyDescent="0.25">
      <c r="B68" s="7">
        <v>63</v>
      </c>
      <c r="C68" s="11">
        <v>1278991756</v>
      </c>
      <c r="D68" s="12" t="str">
        <f>VLOOKUP(C68,[2]report!$A$2:$Q$496,3,FALSE)</f>
        <v>MUHAMMAD ISMAIL</v>
      </c>
      <c r="E68" s="7">
        <f>VLOOKUP(C68,[2]report!$A$2:$Q$496,4,FALSE)</f>
        <v>78027603</v>
      </c>
      <c r="F68" s="7">
        <f>VLOOKUP(C68,[2]report!$A$2:$Q$496,5,FALSE)</f>
        <v>4120177292</v>
      </c>
      <c r="G68" s="12" t="str">
        <f>VLOOKUP(C68,[2]report!$A$2:$Q$496,8,FALSE)</f>
        <v>KotaMakassar-KotaBandung</v>
      </c>
      <c r="H68" s="12" t="str">
        <f>VLOOKUP(C68,[2]report!$A$2:$Q$496,9,FALSE)</f>
        <v>20/08/2025 - 23/08/2025</v>
      </c>
      <c r="I68" s="13">
        <f>VLOOKUP(C68,[2]report!$A$2:$Q$496,17,FALSE)</f>
        <v>681450</v>
      </c>
    </row>
    <row r="69" spans="2:9" s="5" customFormat="1" ht="18.75" customHeight="1" x14ac:dyDescent="0.25">
      <c r="B69" s="7">
        <v>64</v>
      </c>
      <c r="C69" s="11">
        <v>1278882709</v>
      </c>
      <c r="D69" s="12" t="str">
        <f>VLOOKUP(C69,[2]report!$A$2:$Q$496,3,FALSE)</f>
        <v>M. LUKMAN HAKIM</v>
      </c>
      <c r="E69" s="7">
        <f>VLOOKUP(C69,[2]report!$A$2:$Q$496,4,FALSE)</f>
        <v>87127603</v>
      </c>
      <c r="F69" s="7">
        <f>VLOOKUP(C69,[2]report!$A$2:$Q$496,5,FALSE)</f>
        <v>4120177306</v>
      </c>
      <c r="G69" s="12" t="str">
        <f>VLOOKUP(C69,[2]report!$A$2:$Q$496,8,FALSE)</f>
        <v>KotaMakassar-KotaSemarang</v>
      </c>
      <c r="H69" s="12" t="str">
        <f>VLOOKUP(C69,[2]report!$A$2:$Q$496,9,FALSE)</f>
        <v>20/08/2025 - 23/08/2025</v>
      </c>
      <c r="I69" s="13">
        <f>VLOOKUP(C69,[2]report!$A$2:$Q$496,17,FALSE)</f>
        <v>794750</v>
      </c>
    </row>
    <row r="70" spans="2:9" s="5" customFormat="1" ht="18.75" customHeight="1" x14ac:dyDescent="0.25">
      <c r="B70" s="7">
        <v>65</v>
      </c>
      <c r="C70" s="11">
        <v>1278921331</v>
      </c>
      <c r="D70" s="12" t="str">
        <f>VLOOKUP(C70,[2]report!$A$2:$Q$496,3,FALSE)</f>
        <v>MUHAMMAD SUSGANDINATA</v>
      </c>
      <c r="E70" s="7">
        <f>VLOOKUP(C70,[2]report!$A$2:$Q$496,4,FALSE)</f>
        <v>86097601</v>
      </c>
      <c r="F70" s="7">
        <f>VLOOKUP(C70,[2]report!$A$2:$Q$496,5,FALSE)</f>
        <v>4120177295</v>
      </c>
      <c r="G70" s="12" t="str">
        <f>VLOOKUP(C70,[2]report!$A$2:$Q$496,8,FALSE)</f>
        <v>KotaMakassar-KotaSemarang</v>
      </c>
      <c r="H70" s="12" t="str">
        <f>VLOOKUP(C70,[2]report!$A$2:$Q$496,9,FALSE)</f>
        <v>20/08/2025 - 23/08/2025</v>
      </c>
      <c r="I70" s="13">
        <f>VLOOKUP(C70,[2]report!$A$2:$Q$496,17,FALSE)</f>
        <v>794750</v>
      </c>
    </row>
    <row r="71" spans="2:9" s="5" customFormat="1" ht="18.75" customHeight="1" x14ac:dyDescent="0.25">
      <c r="B71" s="7">
        <v>66</v>
      </c>
      <c r="C71" s="11">
        <v>1278961803</v>
      </c>
      <c r="D71" s="12" t="str">
        <f>VLOOKUP(C71,[2]report!$A$2:$Q$496,3,FALSE)</f>
        <v>ANDI DWI MULYANA</v>
      </c>
      <c r="E71" s="7">
        <f>VLOOKUP(C71,[2]report!$A$2:$Q$496,4,FALSE)</f>
        <v>77037604</v>
      </c>
      <c r="F71" s="7">
        <f>VLOOKUP(C71,[2]report!$A$2:$Q$496,5,FALSE)</f>
        <v>4120177390</v>
      </c>
      <c r="G71" s="12" t="str">
        <f>VLOOKUP(C71,[2]report!$A$2:$Q$496,8,FALSE)</f>
        <v>Kota Makassar - Kota Kendari</v>
      </c>
      <c r="H71" s="12" t="str">
        <f>VLOOKUP(C71,[2]report!$A$2:$Q$496,9,FALSE)</f>
        <v>24/08/2025 - 26/08/2025</v>
      </c>
      <c r="I71" s="13">
        <f>VLOOKUP(C71,[2]report!$A$2:$Q$496,17,FALSE)</f>
        <v>905300</v>
      </c>
    </row>
    <row r="72" spans="2:9" s="5" customFormat="1" ht="18.75" customHeight="1" x14ac:dyDescent="0.25">
      <c r="B72" s="7">
        <v>67</v>
      </c>
      <c r="C72" s="11">
        <v>1278963847</v>
      </c>
      <c r="D72" s="12" t="str">
        <f>VLOOKUP(C72,[2]report!$A$2:$Q$496,3,FALSE)</f>
        <v>WENNY DIANA</v>
      </c>
      <c r="E72" s="7">
        <f>VLOOKUP(C72,[2]report!$A$2:$Q$496,4,FALSE)</f>
        <v>82097400</v>
      </c>
      <c r="F72" s="7">
        <f>VLOOKUP(C72,[2]report!$A$2:$Q$496,5,FALSE)</f>
        <v>4120177391</v>
      </c>
      <c r="G72" s="12" t="str">
        <f>VLOOKUP(C72,[2]report!$A$2:$Q$496,8,FALSE)</f>
        <v>Kota Makassar - Kota Kendari</v>
      </c>
      <c r="H72" s="12" t="str">
        <f>VLOOKUP(C72,[2]report!$A$2:$Q$496,9,FALSE)</f>
        <v>24/08/2025 - 26/08/2025</v>
      </c>
      <c r="I72" s="13">
        <f>VLOOKUP(C72,[2]report!$A$2:$Q$496,17,FALSE)</f>
        <v>905300</v>
      </c>
    </row>
    <row r="73" spans="2:9" s="5" customFormat="1" ht="18.75" customHeight="1" x14ac:dyDescent="0.25">
      <c r="B73" s="7">
        <v>68</v>
      </c>
      <c r="C73" s="11">
        <v>1278958455</v>
      </c>
      <c r="D73" s="12" t="str">
        <f>VLOOKUP(C73,[2]report!$A$2:$Q$496,3,FALSE)</f>
        <v>SRI RESKY MUCHTAR</v>
      </c>
      <c r="E73" s="7">
        <f>VLOOKUP(C73,[2]report!$A$2:$Q$496,4,FALSE)</f>
        <v>87104500</v>
      </c>
      <c r="F73" s="7">
        <f>VLOOKUP(C73,[2]report!$A$2:$Q$496,5,FALSE)</f>
        <v>4120177388</v>
      </c>
      <c r="G73" s="12" t="str">
        <f>VLOOKUP(C73,[2]report!$A$2:$Q$496,8,FALSE)</f>
        <v>Kota Makassar - Kota Kendari</v>
      </c>
      <c r="H73" s="12" t="str">
        <f>VLOOKUP(C73,[2]report!$A$2:$Q$496,9,FALSE)</f>
        <v>24/08/2025 - 26/08/2025</v>
      </c>
      <c r="I73" s="13">
        <f>VLOOKUP(C73,[2]report!$A$2:$Q$496,17,FALSE)</f>
        <v>905300</v>
      </c>
    </row>
    <row r="74" spans="2:9" s="5" customFormat="1" ht="18.75" customHeight="1" x14ac:dyDescent="0.25">
      <c r="B74" s="7">
        <v>69</v>
      </c>
      <c r="C74" s="11">
        <v>1278874170</v>
      </c>
      <c r="D74" s="12" t="str">
        <f>VLOOKUP(C74,[2]report!$A$2:$Q$496,3,FALSE)</f>
        <v>M. ISSAM CHALIBI</v>
      </c>
      <c r="E74" s="7">
        <f>VLOOKUP(C74,[2]report!$A$2:$Q$496,4,FALSE)</f>
        <v>91167604</v>
      </c>
      <c r="F74" s="7">
        <f>VLOOKUP(C74,[2]report!$A$2:$Q$496,5,FALSE)</f>
        <v>4120177346</v>
      </c>
      <c r="G74" s="12" t="str">
        <f>VLOOKUP(C74,[2]report!$A$2:$Q$496,8,FALSE)</f>
        <v>Kota Kendari - Kota Makassar</v>
      </c>
      <c r="H74" s="12" t="str">
        <f>VLOOKUP(C74,[2]report!$A$2:$Q$496,9,FALSE)</f>
        <v>21/08/2025 - 23/08/2025</v>
      </c>
      <c r="I74" s="13">
        <f>VLOOKUP(C74,[2]report!$A$2:$Q$496,17,FALSE)</f>
        <v>946200</v>
      </c>
    </row>
    <row r="75" spans="2:9" s="5" customFormat="1" ht="18.75" customHeight="1" x14ac:dyDescent="0.25">
      <c r="B75" s="7">
        <v>70</v>
      </c>
      <c r="C75" s="11">
        <v>1278935888</v>
      </c>
      <c r="D75" s="12" t="str">
        <f>VLOOKUP(C75,[2]report!$A$2:$Q$496,3,FALSE)</f>
        <v>DAMBARUDIN</v>
      </c>
      <c r="E75" s="7">
        <f>VLOOKUP(C75,[2]report!$A$2:$Q$496,4,FALSE)</f>
        <v>76037600</v>
      </c>
      <c r="F75" s="7">
        <f>VLOOKUP(C75,[2]report!$A$2:$Q$496,5,FALSE)</f>
        <v>4120177246</v>
      </c>
      <c r="G75" s="12" t="str">
        <f>VLOOKUP(C75,[2]report!$A$2:$Q$496,8,FALSE)</f>
        <v>KotaBaubau-KotaBogor</v>
      </c>
      <c r="H75" s="12" t="str">
        <f>VLOOKUP(C75,[2]report!$A$2:$Q$496,9,FALSE)</f>
        <v>18/08/2025 - 23/08/2025</v>
      </c>
      <c r="I75" s="13">
        <f>VLOOKUP(C75,[2]report!$A$2:$Q$496,17,FALSE)</f>
        <v>964619</v>
      </c>
    </row>
    <row r="76" spans="2:9" s="5" customFormat="1" ht="18.75" customHeight="1" x14ac:dyDescent="0.25">
      <c r="B76" s="7">
        <v>71</v>
      </c>
      <c r="C76" s="11">
        <v>1278789956</v>
      </c>
      <c r="D76" s="12" t="str">
        <f>VLOOKUP(C76,[2]report!$A$2:$Q$496,3,FALSE)</f>
        <v>ERWIN LERI</v>
      </c>
      <c r="E76" s="7">
        <f>VLOOKUP(C76,[2]report!$A$2:$Q$496,4,FALSE)</f>
        <v>87102007</v>
      </c>
      <c r="F76" s="7">
        <f>VLOOKUP(C76,[2]report!$A$2:$Q$496,5,FALSE)</f>
        <v>4120177351</v>
      </c>
      <c r="G76" s="12" t="str">
        <f>VLOOKUP(C76,[2]report!$A$2:$Q$496,8,FALSE)</f>
        <v>KotaMakassar-JakartaSelatan</v>
      </c>
      <c r="H76" s="12" t="str">
        <f>VLOOKUP(C76,[2]report!$A$2:$Q$496,9,FALSE)</f>
        <v>21/08/2025 - 22/08/2025</v>
      </c>
      <c r="I76" s="13">
        <f>VLOOKUP(C76,[2]report!$A$2:$Q$496,17,FALSE)</f>
        <v>1039600</v>
      </c>
    </row>
    <row r="77" spans="2:9" s="5" customFormat="1" ht="18.75" customHeight="1" x14ac:dyDescent="0.25">
      <c r="B77" s="7">
        <v>72</v>
      </c>
      <c r="C77" s="11">
        <v>1278915579</v>
      </c>
      <c r="D77" s="12" t="str">
        <f>VLOOKUP(C77,[2]report!$A$2:$Q$496,3,FALSE)</f>
        <v>HUSLAN HUSAIN</v>
      </c>
      <c r="E77" s="7">
        <f>VLOOKUP(C77,[2]report!$A$2:$Q$496,4,FALSE)</f>
        <v>71907601</v>
      </c>
      <c r="F77" s="7">
        <f>VLOOKUP(C77,[2]report!$A$2:$Q$496,5,FALSE)</f>
        <v>4120177255</v>
      </c>
      <c r="G77" s="12" t="str">
        <f>VLOOKUP(C77,[2]report!$A$2:$Q$496,8,FALSE)</f>
        <v>KotaMakassar-JakartaPusat-KotaBandung</v>
      </c>
      <c r="H77" s="12" t="str">
        <f>VLOOKUP(C77,[2]report!$A$2:$Q$496,9,FALSE)</f>
        <v>18/08/2025 - 23/08/2025</v>
      </c>
      <c r="I77" s="13">
        <f>VLOOKUP(C77,[2]report!$A$2:$Q$496,17,FALSE)</f>
        <v>1058000</v>
      </c>
    </row>
    <row r="78" spans="2:9" s="5" customFormat="1" ht="18.75" customHeight="1" x14ac:dyDescent="0.25">
      <c r="B78" s="7">
        <v>73</v>
      </c>
      <c r="C78" s="11">
        <v>1278913851</v>
      </c>
      <c r="D78" s="12" t="str">
        <f>VLOOKUP(C78,[2]report!$A$2:$Q$496,3,FALSE)</f>
        <v>DALMASIUS NUGROHO ADI PUTRANTO</v>
      </c>
      <c r="E78" s="7">
        <f>VLOOKUP(C78,[2]report!$A$2:$Q$496,4,FALSE)</f>
        <v>80077601</v>
      </c>
      <c r="F78" s="7">
        <f>VLOOKUP(C78,[2]report!$A$2:$Q$496,5,FALSE)</f>
        <v>4120177281</v>
      </c>
      <c r="G78" s="12" t="str">
        <f>VLOOKUP(C78,[2]report!$A$2:$Q$496,8,FALSE)</f>
        <v>KotaMakassar-KotaBogor</v>
      </c>
      <c r="H78" s="12" t="str">
        <f>VLOOKUP(C78,[2]report!$A$2:$Q$496,9,FALSE)</f>
        <v>18/08/2025 - 22/08/2025</v>
      </c>
      <c r="I78" s="13">
        <f>VLOOKUP(C78,[2]report!$A$2:$Q$496,17,FALSE)</f>
        <v>1619800</v>
      </c>
    </row>
    <row r="79" spans="2:9" s="5" customFormat="1" ht="18.75" customHeight="1" x14ac:dyDescent="0.25">
      <c r="B79" s="7">
        <v>74</v>
      </c>
      <c r="C79" s="11">
        <v>1278819384</v>
      </c>
      <c r="D79" s="12" t="str">
        <f>VLOOKUP(C79,[2]report!$A$2:$Q$496,3,FALSE)</f>
        <v>DIAN VERONICA</v>
      </c>
      <c r="E79" s="7">
        <f>VLOOKUP(C79,[2]report!$A$2:$Q$496,4,FALSE)</f>
        <v>94196205</v>
      </c>
      <c r="F79" s="7">
        <f>VLOOKUP(C79,[2]report!$A$2:$Q$496,5,FALSE)</f>
        <v>4120177312</v>
      </c>
      <c r="G79" s="12" t="str">
        <f>VLOOKUP(C79,[2]report!$A$2:$Q$496,8,FALSE)</f>
        <v>KotaKendari-Kab.Kolaka</v>
      </c>
      <c r="H79" s="12" t="str">
        <f>VLOOKUP(C79,[2]report!$A$2:$Q$496,9,FALSE)</f>
        <v>26/08/2025 - 28/08/2025</v>
      </c>
      <c r="I79" s="13">
        <f>VLOOKUP(C79,[2]report!$A$2:$Q$496,17,FALSE)</f>
        <v>1628000</v>
      </c>
    </row>
    <row r="80" spans="2:9" s="5" customFormat="1" ht="18.75" customHeight="1" x14ac:dyDescent="0.25">
      <c r="B80" s="7">
        <v>75</v>
      </c>
      <c r="C80" s="11">
        <v>1278973187</v>
      </c>
      <c r="D80" s="12" t="str">
        <f>VLOOKUP(C80,[2]report!$A$2:$Q$496,3,FALSE)</f>
        <v>AHMAD FATHAN MAARIF</v>
      </c>
      <c r="E80" s="7">
        <f>VLOOKUP(C80,[2]report!$A$2:$Q$496,4,FALSE)</f>
        <v>96197614</v>
      </c>
      <c r="F80" s="7">
        <f>VLOOKUP(C80,[2]report!$A$2:$Q$496,5,FALSE)</f>
        <v>4120177384</v>
      </c>
      <c r="G80" s="12" t="str">
        <f>VLOOKUP(C80,[2]report!$A$2:$Q$496,8,FALSE)</f>
        <v>Kota Kendari - Kota Baubau</v>
      </c>
      <c r="H80" s="12" t="str">
        <f>VLOOKUP(C80,[2]report!$A$2:$Q$496,9,FALSE)</f>
        <v>22/08/2025 - 25/08/2025</v>
      </c>
      <c r="I80" s="13">
        <f>VLOOKUP(C80,[2]report!$A$2:$Q$496,17,FALSE)</f>
        <v>1683803</v>
      </c>
    </row>
    <row r="81" spans="2:9" s="5" customFormat="1" ht="18.75" customHeight="1" x14ac:dyDescent="0.25">
      <c r="B81" s="7">
        <v>76</v>
      </c>
      <c r="C81" s="11">
        <v>1278851356</v>
      </c>
      <c r="D81" s="12" t="str">
        <f>VLOOKUP(C81,[2]report!$A$2:$Q$496,3,FALSE)</f>
        <v>HUSLAN HUSAIN</v>
      </c>
      <c r="E81" s="7">
        <f>VLOOKUP(C81,[2]report!$A$2:$Q$496,4,FALSE)</f>
        <v>71907601</v>
      </c>
      <c r="F81" s="7">
        <f>VLOOKUP(C81,[2]report!$A$2:$Q$496,5,FALSE)</f>
        <v>4120177255</v>
      </c>
      <c r="G81" s="12" t="str">
        <f>VLOOKUP(C81,[2]report!$A$2:$Q$496,8,FALSE)</f>
        <v>KotaMakassar-JakartaPusat-KotaBandung</v>
      </c>
      <c r="H81" s="12" t="str">
        <f>VLOOKUP(C81,[2]report!$A$2:$Q$496,9,FALSE)</f>
        <v>18/08/2025 - 23/08/2025</v>
      </c>
      <c r="I81" s="13">
        <f>VLOOKUP(C81,[2]report!$A$2:$Q$496,17,FALSE)</f>
        <v>1778200</v>
      </c>
    </row>
    <row r="82" spans="2:9" s="5" customFormat="1" ht="18.75" customHeight="1" x14ac:dyDescent="0.25">
      <c r="B82" s="7">
        <v>77</v>
      </c>
      <c r="C82" s="11">
        <v>1278987317</v>
      </c>
      <c r="D82" s="12" t="str">
        <f>VLOOKUP(C82,[2]report!$A$2:$Q$496,3,FALSE)</f>
        <v>MUHAMMAD ISMAIL</v>
      </c>
      <c r="E82" s="7">
        <f>VLOOKUP(C82,[2]report!$A$2:$Q$496,4,FALSE)</f>
        <v>78027603</v>
      </c>
      <c r="F82" s="7">
        <f>VLOOKUP(C82,[2]report!$A$2:$Q$496,5,FALSE)</f>
        <v>4120177292</v>
      </c>
      <c r="G82" s="12" t="str">
        <f>VLOOKUP(C82,[2]report!$A$2:$Q$496,8,FALSE)</f>
        <v>KotaMakassar-KotaBandung</v>
      </c>
      <c r="H82" s="12" t="str">
        <f>VLOOKUP(C82,[2]report!$A$2:$Q$496,9,FALSE)</f>
        <v>20/08/2025 - 23/08/2025</v>
      </c>
      <c r="I82" s="13">
        <f>VLOOKUP(C82,[2]report!$A$2:$Q$496,17,FALSE)</f>
        <v>1794600</v>
      </c>
    </row>
    <row r="83" spans="2:9" s="5" customFormat="1" ht="18.75" customHeight="1" x14ac:dyDescent="0.25">
      <c r="B83" s="7">
        <v>78</v>
      </c>
      <c r="C83" s="11">
        <v>1279000799</v>
      </c>
      <c r="D83" s="12" t="str">
        <f>VLOOKUP(C83,[2]report!$A$2:$Q$496,3,FALSE)</f>
        <v>RULI RIZALUDDIN</v>
      </c>
      <c r="E83" s="7">
        <f>VLOOKUP(C83,[2]report!$A$2:$Q$496,4,FALSE)</f>
        <v>79055400</v>
      </c>
      <c r="F83" s="7">
        <f>VLOOKUP(C83,[2]report!$A$2:$Q$496,5,FALSE)</f>
        <v>4120177348</v>
      </c>
      <c r="G83" s="12" t="str">
        <f>VLOOKUP(C83,[2]report!$A$2:$Q$496,8,FALSE)</f>
        <v>KotaMakassar-JakartaPusat</v>
      </c>
      <c r="H83" s="12" t="str">
        <f>VLOOKUP(C83,[2]report!$A$2:$Q$496,9,FALSE)</f>
        <v>21/08/2025 - 23/08/2025</v>
      </c>
      <c r="I83" s="13">
        <f>VLOOKUP(C83,[2]report!$A$2:$Q$496,17,FALSE)</f>
        <v>1883100</v>
      </c>
    </row>
    <row r="84" spans="2:9" s="5" customFormat="1" ht="18.75" customHeight="1" x14ac:dyDescent="0.25">
      <c r="B84" s="7">
        <v>79</v>
      </c>
      <c r="C84" s="11">
        <v>1278864703</v>
      </c>
      <c r="D84" s="12" t="str">
        <f>VLOOKUP(C84,[2]report!$A$2:$Q$496,3,FALSE)</f>
        <v>MUHAMMAD SUSGANDINATA</v>
      </c>
      <c r="E84" s="7">
        <f>VLOOKUP(C84,[2]report!$A$2:$Q$496,4,FALSE)</f>
        <v>86097601</v>
      </c>
      <c r="F84" s="7">
        <f>VLOOKUP(C84,[2]report!$A$2:$Q$496,5,FALSE)</f>
        <v>4120177295</v>
      </c>
      <c r="G84" s="12" t="str">
        <f>VLOOKUP(C84,[2]report!$A$2:$Q$496,8,FALSE)</f>
        <v>KotaMakassar-KotaSemarang</v>
      </c>
      <c r="H84" s="12" t="str">
        <f>VLOOKUP(C84,[2]report!$A$2:$Q$496,9,FALSE)</f>
        <v>20/08/2025 - 23/08/2025</v>
      </c>
      <c r="I84" s="13">
        <f>VLOOKUP(C84,[2]report!$A$2:$Q$496,17,FALSE)</f>
        <v>1885800</v>
      </c>
    </row>
    <row r="85" spans="2:9" s="5" customFormat="1" ht="18.75" customHeight="1" x14ac:dyDescent="0.25">
      <c r="B85" s="7">
        <v>80</v>
      </c>
      <c r="C85" s="11">
        <v>1278834521</v>
      </c>
      <c r="D85" s="12" t="str">
        <f>VLOOKUP(C85,[2]report!$A$2:$Q$496,3,FALSE)</f>
        <v>HADI YUSRAN ZAENAL ABIDIN</v>
      </c>
      <c r="E85" s="7">
        <f>VLOOKUP(C85,[2]report!$A$2:$Q$496,4,FALSE)</f>
        <v>90087600</v>
      </c>
      <c r="F85" s="7">
        <f>VLOOKUP(C85,[2]report!$A$2:$Q$496,5,FALSE)</f>
        <v>4120177314</v>
      </c>
      <c r="G85" s="12" t="str">
        <f>VLOOKUP(C85,[2]report!$A$2:$Q$496,8,FALSE)</f>
        <v>KotaKendari-Kab.Kolaka</v>
      </c>
      <c r="H85" s="12" t="str">
        <f>VLOOKUP(C85,[2]report!$A$2:$Q$496,9,FALSE)</f>
        <v>26/08/2025 - 28/08/2025</v>
      </c>
      <c r="I85" s="13">
        <f>VLOOKUP(C85,[2]report!$A$2:$Q$496,17,FALSE)</f>
        <v>1944800</v>
      </c>
    </row>
    <row r="86" spans="2:9" s="5" customFormat="1" ht="18.75" customHeight="1" x14ac:dyDescent="0.25">
      <c r="B86" s="7">
        <v>81</v>
      </c>
      <c r="C86" s="11">
        <v>1279019278</v>
      </c>
      <c r="D86" s="12" t="str">
        <f>VLOOKUP(C86,[2]report!$A$2:$Q$496,3,FALSE)</f>
        <v>M. LUKMAN HAKIM</v>
      </c>
      <c r="E86" s="7">
        <f>VLOOKUP(C86,[2]report!$A$2:$Q$496,4,FALSE)</f>
        <v>87127603</v>
      </c>
      <c r="F86" s="7">
        <f>VLOOKUP(C86,[2]report!$A$2:$Q$496,5,FALSE)</f>
        <v>4120177306</v>
      </c>
      <c r="G86" s="12" t="str">
        <f>VLOOKUP(C86,[2]report!$A$2:$Q$496,8,FALSE)</f>
        <v>KotaMakassar-KotaSemarang</v>
      </c>
      <c r="H86" s="12" t="str">
        <f>VLOOKUP(C86,[2]report!$A$2:$Q$496,9,FALSE)</f>
        <v>20/08/2025 - 23/08/2025</v>
      </c>
      <c r="I86" s="13">
        <f>VLOOKUP(C86,[2]report!$A$2:$Q$496,17,FALSE)</f>
        <v>2214100</v>
      </c>
    </row>
    <row r="87" spans="2:9" s="5" customFormat="1" ht="18.75" customHeight="1" x14ac:dyDescent="0.25">
      <c r="B87" s="7">
        <v>82</v>
      </c>
      <c r="C87" s="11">
        <v>1278806552</v>
      </c>
      <c r="D87" s="12" t="str">
        <f>VLOOKUP(C87,[2]report!$A$2:$Q$496,3,FALSE)</f>
        <v>ANDHIKA PRANANDA</v>
      </c>
      <c r="E87" s="7">
        <f>VLOOKUP(C87,[2]report!$A$2:$Q$496,4,FALSE)</f>
        <v>87117615</v>
      </c>
      <c r="F87" s="7">
        <f>VLOOKUP(C87,[2]report!$A$2:$Q$496,5,FALSE)</f>
        <v>4120177310</v>
      </c>
      <c r="G87" s="12" t="str">
        <f>VLOOKUP(C87,[2]report!$A$2:$Q$496,8,FALSE)</f>
        <v>KotaMakassar-KotaSemarang</v>
      </c>
      <c r="H87" s="12" t="str">
        <f>VLOOKUP(C87,[2]report!$A$2:$Q$496,9,FALSE)</f>
        <v>20/08/2025 - 23/08/2025</v>
      </c>
      <c r="I87" s="13">
        <f>VLOOKUP(C87,[2]report!$A$2:$Q$496,17,FALSE)</f>
        <v>3068000</v>
      </c>
    </row>
    <row r="88" spans="2:9" s="5" customFormat="1" ht="18.75" customHeight="1" x14ac:dyDescent="0.25">
      <c r="B88" s="7">
        <v>83</v>
      </c>
      <c r="C88" s="11">
        <v>1279136967</v>
      </c>
      <c r="D88" s="12" t="str">
        <f>VLOOKUP(C88,[2]report!$A$2:$Q$496,3,FALSE)</f>
        <v>AHMAD AMIRUL SYARIF</v>
      </c>
      <c r="E88" s="7">
        <f>VLOOKUP(C88,[2]report!$A$2:$Q$496,4,FALSE)</f>
        <v>87108002</v>
      </c>
      <c r="F88" s="7">
        <f>VLOOKUP(C88,[2]report!$A$2:$Q$496,5,FALSE)</f>
        <v>4120177320</v>
      </c>
      <c r="G88" s="12" t="str">
        <f>VLOOKUP(C88,[2]report!$A$2:$Q$496,8,FALSE)</f>
        <v>KotaMakassar-Kab.KolakaUtara</v>
      </c>
      <c r="H88" s="12" t="str">
        <f>VLOOKUP(C88,[2]report!$A$2:$Q$496,9,FALSE)</f>
        <v>25/08/2025 - 28/08/2025</v>
      </c>
      <c r="I88" s="13">
        <f>VLOOKUP(C88,[2]report!$A$2:$Q$496,17,FALSE)</f>
        <v>810600</v>
      </c>
    </row>
    <row r="89" spans="2:9" s="5" customFormat="1" ht="18.75" customHeight="1" x14ac:dyDescent="0.25">
      <c r="B89" s="7">
        <v>84</v>
      </c>
      <c r="C89" s="11">
        <v>1279084822</v>
      </c>
      <c r="D89" s="12" t="str">
        <f>VLOOKUP(C89,[2]report!$A$2:$Q$496,3,FALSE)</f>
        <v>RESJAN MANAYA SAMBARA</v>
      </c>
      <c r="E89" s="7">
        <f>VLOOKUP(C89,[2]report!$A$2:$Q$496,4,FALSE)</f>
        <v>91107603</v>
      </c>
      <c r="F89" s="7">
        <f>VLOOKUP(C89,[2]report!$A$2:$Q$496,5,FALSE)</f>
        <v>4120177362</v>
      </c>
      <c r="G89" s="12" t="str">
        <f>VLOOKUP(C89,[2]report!$A$2:$Q$496,8,FALSE)</f>
        <v>Jakarta Selatan - Jakarta Selatan</v>
      </c>
      <c r="H89" s="12" t="str">
        <f>VLOOKUP(C89,[2]report!$A$2:$Q$496,9,FALSE)</f>
        <v>24/08/2025 - 27/08/2025</v>
      </c>
      <c r="I89" s="13">
        <f>VLOOKUP(C89,[2]report!$A$2:$Q$496,17,FALSE)</f>
        <v>1553800</v>
      </c>
    </row>
    <row r="90" spans="2:9" s="5" customFormat="1" ht="18.75" customHeight="1" x14ac:dyDescent="0.25">
      <c r="B90" s="7">
        <v>85</v>
      </c>
      <c r="C90" s="11">
        <v>1279212382</v>
      </c>
      <c r="D90" s="12" t="str">
        <f>VLOOKUP(C90,[2]report!$A$2:$Q$496,3,FALSE)</f>
        <v>JULYANZAH PERDANA PUTRA</v>
      </c>
      <c r="E90" s="7">
        <f>VLOOKUP(C90,[2]report!$A$2:$Q$496,4,FALSE)</f>
        <v>88128002</v>
      </c>
      <c r="F90" s="7">
        <f>VLOOKUP(C90,[2]report!$A$2:$Q$496,5,FALSE)</f>
        <v>4120177386</v>
      </c>
      <c r="G90" s="12" t="str">
        <f>VLOOKUP(C90,[2]report!$A$2:$Q$496,8,FALSE)</f>
        <v>Kota Makassar - Jakarta Selatan</v>
      </c>
      <c r="H90" s="12" t="str">
        <f>VLOOKUP(C90,[2]report!$A$2:$Q$496,9,FALSE)</f>
        <v>24/08/2025 - 27/08/2025</v>
      </c>
      <c r="I90" s="13">
        <f>VLOOKUP(C90,[2]report!$A$2:$Q$496,17,FALSE)</f>
        <v>1900000</v>
      </c>
    </row>
    <row r="91" spans="2:9" s="5" customFormat="1" ht="18.75" customHeight="1" x14ac:dyDescent="0.25">
      <c r="B91" s="7">
        <v>86</v>
      </c>
      <c r="C91" s="11">
        <v>1279114802</v>
      </c>
      <c r="D91" s="12" t="str">
        <f>VLOOKUP(C91,[2]report!$A$2:$Q$496,3,FALSE)</f>
        <v>HUSLAN HUSAIN</v>
      </c>
      <c r="E91" s="7">
        <f>VLOOKUP(C91,[2]report!$A$2:$Q$496,4,FALSE)</f>
        <v>71907601</v>
      </c>
      <c r="F91" s="7">
        <f>VLOOKUP(C91,[2]report!$A$2:$Q$496,5,FALSE)</f>
        <v>4120177383</v>
      </c>
      <c r="G91" s="12" t="str">
        <f>VLOOKUP(C91,[2]report!$A$2:$Q$496,8,FALSE)</f>
        <v>Kota Makassar - Kota Kendari</v>
      </c>
      <c r="H91" s="12" t="str">
        <f>VLOOKUP(C91,[2]report!$A$2:$Q$496,9,FALSE)</f>
        <v>24/08/2025 - 26/08/2025</v>
      </c>
      <c r="I91" s="13">
        <f>VLOOKUP(C91,[2]report!$A$2:$Q$496,17,FALSE)</f>
        <v>1947900</v>
      </c>
    </row>
    <row r="92" spans="2:9" s="5" customFormat="1" ht="18.75" customHeight="1" x14ac:dyDescent="0.25">
      <c r="B92" s="7">
        <v>87</v>
      </c>
      <c r="C92" s="16">
        <v>1279186139</v>
      </c>
      <c r="D92" s="12" t="str">
        <f>VLOOKUP(C92,[2]report!$A$2:$Q$496,3,FALSE)</f>
        <v>RESJAN MANAYA SAMBARA</v>
      </c>
      <c r="E92" s="7">
        <f>VLOOKUP(C92,[2]report!$A$2:$Q$496,4,FALSE)</f>
        <v>91107603</v>
      </c>
      <c r="F92" s="7">
        <f>VLOOKUP(C92,[2]report!$A$2:$Q$496,5,FALSE)</f>
        <v>4120177362</v>
      </c>
      <c r="G92" s="12" t="str">
        <f>VLOOKUP(C92,[2]report!$A$2:$Q$496,8,FALSE)</f>
        <v>Jakarta Selatan - Jakarta Selatan</v>
      </c>
      <c r="H92" s="12" t="str">
        <f>VLOOKUP(C92,[2]report!$A$2:$Q$496,9,FALSE)</f>
        <v>24/08/2025 - 27/08/2025</v>
      </c>
      <c r="I92" s="13">
        <f>VLOOKUP(C92,[2]report!$A$2:$Q$496,17,FALSE)</f>
        <v>2340000</v>
      </c>
    </row>
    <row r="93" spans="2:9" s="5" customFormat="1" ht="18.75" customHeight="1" x14ac:dyDescent="0.25">
      <c r="B93" s="7">
        <v>88</v>
      </c>
      <c r="C93" s="11">
        <v>1279301053</v>
      </c>
      <c r="D93" s="12" t="str">
        <f>VLOOKUP(C93,[2]report!$A$2:$Q$496,3,FALSE)</f>
        <v>DALMASIUS NUGROHO ADI PUTRANTO</v>
      </c>
      <c r="E93" s="7">
        <f>VLOOKUP(C93,[2]report!$A$2:$Q$496,4,FALSE)</f>
        <v>80077601</v>
      </c>
      <c r="F93" s="7">
        <f>VLOOKUP(C93,[2]report!$A$2:$Q$496,5,FALSE)</f>
        <v>4120177401</v>
      </c>
      <c r="G93" s="12" t="str">
        <f>VLOOKUP(C93,[2]report!$A$2:$Q$496,8,FALSE)</f>
        <v>Kota Makassar - Jakarta Selatan</v>
      </c>
      <c r="H93" s="12" t="str">
        <f>VLOOKUP(C93,[2]report!$A$2:$Q$496,9,FALSE)</f>
        <v>25/08/2025 - 27/08/2025</v>
      </c>
      <c r="I93" s="13">
        <f>VLOOKUP(C93,[2]report!$A$2:$Q$496,17,FALSE)</f>
        <v>1848800</v>
      </c>
    </row>
    <row r="94" spans="2:9" s="5" customFormat="1" ht="18.75" customHeight="1" x14ac:dyDescent="0.25">
      <c r="B94" s="7">
        <v>89</v>
      </c>
      <c r="C94" s="11">
        <v>1279563210</v>
      </c>
      <c r="D94" s="12" t="str">
        <f>VLOOKUP(C94,[2]report!$A$2:$Q$496,3,FALSE)</f>
        <v>SRI RESKY MUCHTAR</v>
      </c>
      <c r="E94" s="7">
        <f>VLOOKUP(C94,[2]report!$A$2:$Q$496,4,FALSE)</f>
        <v>87104500</v>
      </c>
      <c r="F94" s="7">
        <f>VLOOKUP(C94,[2]report!$A$2:$Q$496,5,FALSE)</f>
        <v>4120177388</v>
      </c>
      <c r="G94" s="12" t="str">
        <f>VLOOKUP(C94,[2]report!$A$2:$Q$496,8,FALSE)</f>
        <v>Kota Makassar - Kota Kendari</v>
      </c>
      <c r="H94" s="12" t="str">
        <f>VLOOKUP(C94,[2]report!$A$2:$Q$496,9,FALSE)</f>
        <v>24/08/2025 - 26/08/2025</v>
      </c>
      <c r="I94" s="13">
        <f>VLOOKUP(C94,[2]report!$A$2:$Q$496,17,FALSE)</f>
        <v>972800</v>
      </c>
    </row>
    <row r="95" spans="2:9" s="5" customFormat="1" ht="18.75" customHeight="1" x14ac:dyDescent="0.25">
      <c r="B95" s="7">
        <v>90</v>
      </c>
      <c r="C95" s="11">
        <v>1279565981</v>
      </c>
      <c r="D95" s="12" t="str">
        <f>VLOOKUP(C95,[2]report!$A$2:$Q$496,3,FALSE)</f>
        <v>WENNY DIANA</v>
      </c>
      <c r="E95" s="7">
        <f>VLOOKUP(C95,[2]report!$A$2:$Q$496,4,FALSE)</f>
        <v>82097400</v>
      </c>
      <c r="F95" s="7">
        <f>VLOOKUP(C95,[2]report!$A$2:$Q$496,5,FALSE)</f>
        <v>4120177391</v>
      </c>
      <c r="G95" s="12" t="str">
        <f>VLOOKUP(C95,[2]report!$A$2:$Q$496,8,FALSE)</f>
        <v>Kota Makassar - Kota Kendari</v>
      </c>
      <c r="H95" s="12" t="str">
        <f>VLOOKUP(C95,[2]report!$A$2:$Q$496,9,FALSE)</f>
        <v>24/08/2025 - 26/08/2025</v>
      </c>
      <c r="I95" s="13">
        <f>VLOOKUP(C95,[2]report!$A$2:$Q$496,17,FALSE)</f>
        <v>972800</v>
      </c>
    </row>
    <row r="96" spans="2:9" s="5" customFormat="1" ht="18.75" customHeight="1" x14ac:dyDescent="0.25">
      <c r="B96" s="7">
        <v>91</v>
      </c>
      <c r="C96" s="11">
        <v>1279605694</v>
      </c>
      <c r="D96" s="12" t="str">
        <f>VLOOKUP(C96,[2]report!$A$2:$Q$496,3,FALSE)</f>
        <v>DALMASIUS NUGROHO ADI PUTRANTO</v>
      </c>
      <c r="E96" s="7">
        <f>VLOOKUP(C96,[2]report!$A$2:$Q$496,4,FALSE)</f>
        <v>80077601</v>
      </c>
      <c r="F96" s="7">
        <f>VLOOKUP(C96,[2]report!$A$2:$Q$496,5,FALSE)</f>
        <v>4120177401</v>
      </c>
      <c r="G96" s="12" t="str">
        <f>VLOOKUP(C96,[2]report!$A$2:$Q$496,8,FALSE)</f>
        <v>Kota Makassar - Jakarta Selatan</v>
      </c>
      <c r="H96" s="12" t="str">
        <f>VLOOKUP(C96,[2]report!$A$2:$Q$496,9,FALSE)</f>
        <v>25/08/2025 - 27/08/2025</v>
      </c>
      <c r="I96" s="13">
        <f>VLOOKUP(C96,[2]report!$A$2:$Q$496,17,FALSE)</f>
        <v>1274225</v>
      </c>
    </row>
    <row r="97" spans="2:9" s="5" customFormat="1" ht="18.75" customHeight="1" x14ac:dyDescent="0.25">
      <c r="B97" s="7">
        <v>92</v>
      </c>
      <c r="C97" s="11">
        <v>1279470664</v>
      </c>
      <c r="D97" s="12" t="str">
        <f>VLOOKUP(C97,[2]report!$A$2:$Q$496,3,FALSE)</f>
        <v>HENDRICA WINNY RURUK</v>
      </c>
      <c r="E97" s="7">
        <f>VLOOKUP(C97,[2]report!$A$2:$Q$496,4,FALSE)</f>
        <v>90117612</v>
      </c>
      <c r="F97" s="7">
        <f>VLOOKUP(C97,[2]report!$A$2:$Q$496,5,FALSE)</f>
        <v>4120177375</v>
      </c>
      <c r="G97" s="12" t="str">
        <f>VLOOKUP(C97,[2]report!$A$2:$Q$496,8,FALSE)</f>
        <v>Kota Makassar - Kota Bogor</v>
      </c>
      <c r="H97" s="12" t="str">
        <f>VLOOKUP(C97,[2]report!$A$2:$Q$496,9,FALSE)</f>
        <v>26/08/2025 - 29/08/2025</v>
      </c>
      <c r="I97" s="13">
        <f>VLOOKUP(C97,[2]report!$A$2:$Q$496,17,FALSE)</f>
        <v>1343700</v>
      </c>
    </row>
    <row r="98" spans="2:9" s="5" customFormat="1" ht="18.75" customHeight="1" x14ac:dyDescent="0.25">
      <c r="B98" s="7">
        <v>93</v>
      </c>
      <c r="C98" s="11">
        <v>1279482488</v>
      </c>
      <c r="D98" s="12" t="str">
        <f>VLOOKUP(C98,[2]report!$A$2:$Q$496,3,FALSE)</f>
        <v xml:space="preserve">MIRSAN </v>
      </c>
      <c r="E98" s="7">
        <f>VLOOKUP(C98,[2]report!$A$2:$Q$496,4,FALSE)</f>
        <v>84087802</v>
      </c>
      <c r="F98" s="7">
        <f>VLOOKUP(C98,[2]report!$A$2:$Q$496,5,FALSE)</f>
        <v>4120177398</v>
      </c>
      <c r="G98" s="12" t="str">
        <f>VLOOKUP(C98,[2]report!$A$2:$Q$496,8,FALSE)</f>
        <v>Kota Makassar - Kab. Kolaka</v>
      </c>
      <c r="H98" s="12" t="str">
        <f>VLOOKUP(C98,[2]report!$A$2:$Q$496,9,FALSE)</f>
        <v>26/08/2025 - 28/08/2025</v>
      </c>
      <c r="I98" s="13">
        <f>VLOOKUP(C98,[2]report!$A$2:$Q$496,17,FALSE)</f>
        <v>1415700</v>
      </c>
    </row>
    <row r="99" spans="2:9" s="5" customFormat="1" ht="18.75" customHeight="1" x14ac:dyDescent="0.25">
      <c r="B99" s="7">
        <v>94</v>
      </c>
      <c r="C99" s="11">
        <v>1279474522</v>
      </c>
      <c r="D99" s="12" t="str">
        <f>VLOOKUP(C99,[2]report!$A$2:$Q$496,3,FALSE)</f>
        <v>HENDRICA WINNY RURUK</v>
      </c>
      <c r="E99" s="7">
        <f>VLOOKUP(C99,[2]report!$A$2:$Q$496,4,FALSE)</f>
        <v>90117612</v>
      </c>
      <c r="F99" s="7">
        <f>VLOOKUP(C99,[2]report!$A$2:$Q$496,5,FALSE)</f>
        <v>4120177375</v>
      </c>
      <c r="G99" s="12" t="str">
        <f>VLOOKUP(C99,[2]report!$A$2:$Q$496,8,FALSE)</f>
        <v>Kota Makassar - Kota Bogor</v>
      </c>
      <c r="H99" s="12" t="str">
        <f>VLOOKUP(C99,[2]report!$A$2:$Q$496,9,FALSE)</f>
        <v>26/08/2025 - 29/08/2025</v>
      </c>
      <c r="I99" s="13">
        <f>VLOOKUP(C99,[2]report!$A$2:$Q$496,17,FALSE)</f>
        <v>1498999</v>
      </c>
    </row>
    <row r="100" spans="2:9" s="5" customFormat="1" ht="18.75" customHeight="1" x14ac:dyDescent="0.25">
      <c r="B100" s="7">
        <v>95</v>
      </c>
      <c r="C100" s="11">
        <v>1279471612</v>
      </c>
      <c r="D100" s="12" t="str">
        <f>VLOOKUP(C100,[2]report!$A$2:$Q$496,3,FALSE)</f>
        <v>HENDRICA WINNY RURUK</v>
      </c>
      <c r="E100" s="7">
        <f>VLOOKUP(C100,[2]report!$A$2:$Q$496,4,FALSE)</f>
        <v>90117612</v>
      </c>
      <c r="F100" s="7">
        <f>VLOOKUP(C100,[2]report!$A$2:$Q$496,5,FALSE)</f>
        <v>4120177375</v>
      </c>
      <c r="G100" s="12" t="str">
        <f>VLOOKUP(C100,[2]report!$A$2:$Q$496,8,FALSE)</f>
        <v>Kota Makassar - Kota Bogor</v>
      </c>
      <c r="H100" s="12" t="str">
        <f>VLOOKUP(C100,[2]report!$A$2:$Q$496,9,FALSE)</f>
        <v>26/08/2025 - 29/08/2025</v>
      </c>
      <c r="I100" s="13">
        <f>VLOOKUP(C100,[2]report!$A$2:$Q$496,17,FALSE)</f>
        <v>1619800</v>
      </c>
    </row>
    <row r="101" spans="2:9" s="5" customFormat="1" ht="18.75" customHeight="1" x14ac:dyDescent="0.25">
      <c r="B101" s="7">
        <v>96</v>
      </c>
      <c r="C101" s="11">
        <v>1279503376</v>
      </c>
      <c r="D101" s="12" t="str">
        <f>VLOOKUP(C101,[2]report!$A$2:$Q$496,3,FALSE)</f>
        <v>SATRIA PRASAMYA</v>
      </c>
      <c r="E101" s="7">
        <f>VLOOKUP(C101,[2]report!$A$2:$Q$496,4,FALSE)</f>
        <v>88127601</v>
      </c>
      <c r="F101" s="7">
        <f>VLOOKUP(C101,[2]report!$A$2:$Q$496,5,FALSE)</f>
        <v>4120177403</v>
      </c>
      <c r="G101" s="12" t="str">
        <f>VLOOKUP(C101,[2]report!$A$2:$Q$496,8,FALSE)</f>
        <v>Kota Makassar - Jakarta Barat</v>
      </c>
      <c r="H101" s="12" t="str">
        <f>VLOOKUP(C101,[2]report!$A$2:$Q$496,9,FALSE)</f>
        <v>25/08/2025 - 27/08/2025</v>
      </c>
      <c r="I101" s="13">
        <f>VLOOKUP(C101,[2]report!$A$2:$Q$496,17,FALSE)</f>
        <v>2344900</v>
      </c>
    </row>
    <row r="102" spans="2:9" s="5" customFormat="1" ht="18.75" customHeight="1" x14ac:dyDescent="0.25">
      <c r="B102" s="7">
        <v>97</v>
      </c>
      <c r="C102" s="11">
        <v>1279584794</v>
      </c>
      <c r="D102" s="12" t="str">
        <f>VLOOKUP(C102,[2]report!$A$2:$Q$496,3,FALSE)</f>
        <v>AHMAD FATHAN MAARIF</v>
      </c>
      <c r="E102" s="7">
        <f>VLOOKUP(C102,[2]report!$A$2:$Q$496,4,FALSE)</f>
        <v>96197614</v>
      </c>
      <c r="F102" s="7">
        <f>VLOOKUP(C102,[2]report!$A$2:$Q$496,5,FALSE)</f>
        <v>4120177408</v>
      </c>
      <c r="G102" s="12" t="str">
        <f>VLOOKUP(C102,[2]report!$A$2:$Q$496,8,FALSE)</f>
        <v>Kota Kendari - Kab. Bogor</v>
      </c>
      <c r="H102" s="12" t="str">
        <f>VLOOKUP(C102,[2]report!$A$2:$Q$496,9,FALSE)</f>
        <v>26/08/2025 - 28/08/2025</v>
      </c>
      <c r="I102" s="13">
        <f>VLOOKUP(C102,[2]report!$A$2:$Q$496,17,FALSE)</f>
        <v>2670500</v>
      </c>
    </row>
    <row r="103" spans="2:9" s="5" customFormat="1" ht="18.75" customHeight="1" x14ac:dyDescent="0.25">
      <c r="B103" s="7">
        <v>98</v>
      </c>
      <c r="C103" s="11">
        <v>1279492834</v>
      </c>
      <c r="D103" s="12" t="str">
        <f>VLOOKUP(C103,[2]report!$A$2:$Q$496,3,FALSE)</f>
        <v>SATRIA PRASAMYA</v>
      </c>
      <c r="E103" s="7">
        <f>VLOOKUP(C103,[2]report!$A$2:$Q$496,4,FALSE)</f>
        <v>88127601</v>
      </c>
      <c r="F103" s="7">
        <f>VLOOKUP(C103,[2]report!$A$2:$Q$496,5,FALSE)</f>
        <v>4120177403</v>
      </c>
      <c r="G103" s="12" t="str">
        <f>VLOOKUP(C103,[2]report!$A$2:$Q$496,8,FALSE)</f>
        <v>Kota Makassar - Jakarta Barat</v>
      </c>
      <c r="H103" s="12" t="str">
        <f>VLOOKUP(C103,[2]report!$A$2:$Q$496,9,FALSE)</f>
        <v>25/08/2025 - 27/08/2025</v>
      </c>
      <c r="I103" s="13">
        <f>VLOOKUP(C103,[2]report!$A$2:$Q$496,17,FALSE)</f>
        <v>2928158</v>
      </c>
    </row>
    <row r="104" spans="2:9" s="5" customFormat="1" ht="18.75" customHeight="1" x14ac:dyDescent="0.25">
      <c r="B104" s="7">
        <v>99</v>
      </c>
      <c r="C104" s="11">
        <v>1279652903</v>
      </c>
      <c r="D104" s="12" t="str">
        <f>VLOOKUP(C104,[2]report!$A$2:$Q$496,3,FALSE)</f>
        <v>AHMAD FATHAN MAARIF</v>
      </c>
      <c r="E104" s="7">
        <f>VLOOKUP(C104,[2]report!$A$2:$Q$496,4,FALSE)</f>
        <v>96197614</v>
      </c>
      <c r="F104" s="7">
        <f>VLOOKUP(C104,[2]report!$A$2:$Q$496,5,FALSE)</f>
        <v>4120177408</v>
      </c>
      <c r="G104" s="12" t="str">
        <f>VLOOKUP(C104,[2]report!$A$2:$Q$496,8,FALSE)</f>
        <v>Kota Kendari - Kab. Bogor</v>
      </c>
      <c r="H104" s="12" t="str">
        <f>VLOOKUP(C104,[2]report!$A$2:$Q$496,9,FALSE)</f>
        <v>26/08/2025 - 28/08/2025</v>
      </c>
      <c r="I104" s="13">
        <f>VLOOKUP(C104,[2]report!$A$2:$Q$496,17,FALSE)</f>
        <v>725760</v>
      </c>
    </row>
    <row r="105" spans="2:9" s="5" customFormat="1" ht="18.75" customHeight="1" x14ac:dyDescent="0.25">
      <c r="B105" s="7">
        <v>100</v>
      </c>
      <c r="C105" s="11">
        <v>1279653136</v>
      </c>
      <c r="D105" s="12" t="str">
        <f>VLOOKUP(C105,[2]report!$A$2:$Q$496,3,FALSE)</f>
        <v>HINDARTO RHOMAD NUR WICAKSONO</v>
      </c>
      <c r="E105" s="7">
        <f>VLOOKUP(C105,[2]report!$A$2:$Q$496,4,FALSE)</f>
        <v>93187610</v>
      </c>
      <c r="F105" s="7">
        <f>VLOOKUP(C105,[2]report!$A$2:$Q$496,5,FALSE)</f>
        <v>4120177409</v>
      </c>
      <c r="G105" s="12" t="str">
        <f>VLOOKUP(C105,[2]report!$A$2:$Q$496,8,FALSE)</f>
        <v>Kota Makassar - Kab. Bogor</v>
      </c>
      <c r="H105" s="12" t="str">
        <f>VLOOKUP(C105,[2]report!$A$2:$Q$496,9,FALSE)</f>
        <v>26/08/2025 - 28/08/2025</v>
      </c>
      <c r="I105" s="13">
        <f>VLOOKUP(C105,[2]report!$A$2:$Q$496,17,FALSE)</f>
        <v>725760</v>
      </c>
    </row>
    <row r="106" spans="2:9" s="5" customFormat="1" ht="18.75" customHeight="1" x14ac:dyDescent="0.25">
      <c r="B106" s="7">
        <v>101</v>
      </c>
      <c r="C106" s="11">
        <v>1279698230</v>
      </c>
      <c r="D106" s="12" t="str">
        <f>VLOOKUP(C106,[2]report!$A$2:$Q$496,3,FALSE)</f>
        <v>DALMASIUS NUGROHO ADI PUTRANTO</v>
      </c>
      <c r="E106" s="7">
        <f>VLOOKUP(C106,[2]report!$A$2:$Q$496,4,FALSE)</f>
        <v>80077601</v>
      </c>
      <c r="F106" s="7">
        <f>VLOOKUP(C106,[2]report!$A$2:$Q$496,5,FALSE)</f>
        <v>4120177401</v>
      </c>
      <c r="G106" s="12" t="str">
        <f>VLOOKUP(C106,[2]report!$A$2:$Q$496,8,FALSE)</f>
        <v>Kota Makassar - Jakarta Selatan</v>
      </c>
      <c r="H106" s="12" t="str">
        <f>VLOOKUP(C106,[2]report!$A$2:$Q$496,9,FALSE)</f>
        <v>25/08/2025 - 27/08/2025</v>
      </c>
      <c r="I106" s="13">
        <f>VLOOKUP(C106,[2]report!$A$2:$Q$496,17,FALSE)</f>
        <v>1321800</v>
      </c>
    </row>
    <row r="107" spans="2:9" s="5" customFormat="1" ht="18.75" customHeight="1" x14ac:dyDescent="0.25">
      <c r="B107" s="7">
        <v>102</v>
      </c>
      <c r="C107" s="11">
        <v>1279647652</v>
      </c>
      <c r="D107" s="12" t="str">
        <f>VLOOKUP(C107,[2]report!$A$2:$Q$496,3,FALSE)</f>
        <v>HINDARTO RHOMAD NUR WICAKSONO</v>
      </c>
      <c r="E107" s="7">
        <f>VLOOKUP(C107,[2]report!$A$2:$Q$496,4,FALSE)</f>
        <v>93187610</v>
      </c>
      <c r="F107" s="7">
        <f>VLOOKUP(C107,[2]report!$A$2:$Q$496,5,FALSE)</f>
        <v>4120177409</v>
      </c>
      <c r="G107" s="12" t="str">
        <f>VLOOKUP(C107,[2]report!$A$2:$Q$496,8,FALSE)</f>
        <v>Kota Makassar - Kab. Bogor</v>
      </c>
      <c r="H107" s="12" t="str">
        <f>VLOOKUP(C107,[2]report!$A$2:$Q$496,9,FALSE)</f>
        <v>26/08/2025 - 28/08/2025</v>
      </c>
      <c r="I107" s="13">
        <f>VLOOKUP(C107,[2]report!$A$2:$Q$496,17,FALSE)</f>
        <v>1921500</v>
      </c>
    </row>
    <row r="108" spans="2:9" s="5" customFormat="1" ht="18.75" customHeight="1" x14ac:dyDescent="0.25">
      <c r="B108" s="7">
        <v>103</v>
      </c>
      <c r="C108" s="11">
        <v>1279777435</v>
      </c>
      <c r="D108" s="12" t="str">
        <f>VLOOKUP(C108,[2]report!$A$2:$Q$496,3,FALSE)</f>
        <v>BIMA SAKTI MAHARDIKA BUDI</v>
      </c>
      <c r="E108" s="7">
        <f>VLOOKUP(C108,[2]report!$A$2:$Q$496,4,FALSE)</f>
        <v>95197623</v>
      </c>
      <c r="F108" s="7">
        <f>VLOOKUP(C108,[2]report!$A$2:$Q$496,5,FALSE)</f>
        <v>4120177430</v>
      </c>
      <c r="G108" s="12" t="str">
        <f>VLOOKUP(C108,[2]report!$A$2:$Q$496,8,FALSE)</f>
        <v>Kab. Muna - Kota Kendari</v>
      </c>
      <c r="H108" s="12" t="str">
        <f>VLOOKUP(C108,[2]report!$A$2:$Q$496,9,FALSE)</f>
        <v>27/08/2025 - 30/08/2025</v>
      </c>
      <c r="I108" s="13">
        <f>VLOOKUP(C108,[2]report!$A$2:$Q$496,17,FALSE)</f>
        <v>201691</v>
      </c>
    </row>
    <row r="109" spans="2:9" s="5" customFormat="1" ht="18.75" customHeight="1" x14ac:dyDescent="0.25">
      <c r="B109" s="7">
        <v>104</v>
      </c>
      <c r="C109" s="11">
        <v>1279784974</v>
      </c>
      <c r="D109" s="12" t="str">
        <f>VLOOKUP(C109,[2]report!$A$2:$Q$496,3,FALSE)</f>
        <v>DIAN ADHIRAMA ACHDAR</v>
      </c>
      <c r="E109" s="7">
        <f>VLOOKUP(C109,[2]report!$A$2:$Q$496,4,FALSE)</f>
        <v>81067606</v>
      </c>
      <c r="F109" s="7">
        <f>VLOOKUP(C109,[2]report!$A$2:$Q$496,5,FALSE)</f>
        <v>4120177429</v>
      </c>
      <c r="G109" s="12" t="str">
        <f>VLOOKUP(C109,[2]report!$A$2:$Q$496,8,FALSE)</f>
        <v>Kota Makassar - Kab. Bulukumba</v>
      </c>
      <c r="H109" s="12" t="str">
        <f>VLOOKUP(C109,[2]report!$A$2:$Q$496,9,FALSE)</f>
        <v>26/08/2025 - 28/08/2025</v>
      </c>
      <c r="I109" s="13">
        <f>VLOOKUP(C109,[2]report!$A$2:$Q$496,17,FALSE)</f>
        <v>380000</v>
      </c>
    </row>
    <row r="110" spans="2:9" s="5" customFormat="1" ht="18.75" customHeight="1" x14ac:dyDescent="0.25">
      <c r="B110" s="7">
        <v>105</v>
      </c>
      <c r="C110" s="11">
        <v>1279861056</v>
      </c>
      <c r="D110" s="12" t="str">
        <f>VLOOKUP(C110,[2]report!$A$2:$Q$496,3,FALSE)</f>
        <v>ZAKI ASHARI</v>
      </c>
      <c r="E110" s="7">
        <f>VLOOKUP(C110,[2]report!$A$2:$Q$496,4,FALSE)</f>
        <v>90087607</v>
      </c>
      <c r="F110" s="7">
        <f>VLOOKUP(C110,[2]report!$A$2:$Q$496,5,FALSE)</f>
        <v>4120177448</v>
      </c>
      <c r="G110" s="12" t="str">
        <f>VLOOKUP(C110,[2]report!$A$2:$Q$496,8,FALSE)</f>
        <v>Kota Makassar - Kab. Bulukumba</v>
      </c>
      <c r="H110" s="12" t="str">
        <f>VLOOKUP(C110,[2]report!$A$2:$Q$496,9,FALSE)</f>
        <v>27/08/2025 - 29/08/2025</v>
      </c>
      <c r="I110" s="13">
        <f>VLOOKUP(C110,[2]report!$A$2:$Q$496,17,FALSE)</f>
        <v>525000</v>
      </c>
    </row>
    <row r="111" spans="2:9" s="5" customFormat="1" ht="18.75" customHeight="1" x14ac:dyDescent="0.25">
      <c r="B111" s="7">
        <v>106</v>
      </c>
      <c r="C111" s="11">
        <v>1279813489</v>
      </c>
      <c r="D111" s="12" t="str">
        <f>VLOOKUP(C111,[2]report!$A$2:$Q$496,3,FALSE)</f>
        <v>I WAYAN EDY PURNAMA ARSA</v>
      </c>
      <c r="E111" s="7">
        <f>VLOOKUP(C111,[2]report!$A$2:$Q$496,4,FALSE)</f>
        <v>91147609</v>
      </c>
      <c r="F111" s="7">
        <f>VLOOKUP(C111,[2]report!$A$2:$Q$496,5,FALSE)</f>
        <v>4120177438</v>
      </c>
      <c r="G111" s="12" t="str">
        <f>VLOOKUP(C111,[2]report!$A$2:$Q$496,8,FALSE)</f>
        <v>Kota Makassar - Kota Kendari</v>
      </c>
      <c r="H111" s="12" t="str">
        <f>VLOOKUP(C111,[2]report!$A$2:$Q$496,9,FALSE)</f>
        <v>27/08/2025 - 30/08/2025</v>
      </c>
      <c r="I111" s="13">
        <f>VLOOKUP(C111,[2]report!$A$2:$Q$496,17,FALSE)</f>
        <v>718700</v>
      </c>
    </row>
    <row r="112" spans="2:9" s="5" customFormat="1" ht="18.75" customHeight="1" x14ac:dyDescent="0.25">
      <c r="B112" s="7">
        <v>107</v>
      </c>
      <c r="C112" s="11">
        <v>1279761551</v>
      </c>
      <c r="D112" s="12" t="str">
        <f>VLOOKUP(C112,[2]report!$A$2:$Q$496,3,FALSE)</f>
        <v>ANDI DWI MULYANA</v>
      </c>
      <c r="E112" s="7">
        <f>VLOOKUP(C112,[2]report!$A$2:$Q$496,4,FALSE)</f>
        <v>77037604</v>
      </c>
      <c r="F112" s="7">
        <f>VLOOKUP(C112,[2]report!$A$2:$Q$496,5,FALSE)</f>
        <v>4120177390</v>
      </c>
      <c r="G112" s="12" t="str">
        <f>VLOOKUP(C112,[2]report!$A$2:$Q$496,8,FALSE)</f>
        <v>Kota Makassar - Kota Kendari</v>
      </c>
      <c r="H112" s="12" t="str">
        <f>VLOOKUP(C112,[2]report!$A$2:$Q$496,9,FALSE)</f>
        <v>24/08/2025 - 26/08/2025</v>
      </c>
      <c r="I112" s="13">
        <f>VLOOKUP(C112,[2]report!$A$2:$Q$496,17,FALSE)</f>
        <v>748100</v>
      </c>
    </row>
    <row r="113" spans="2:9" s="5" customFormat="1" ht="18.75" customHeight="1" x14ac:dyDescent="0.25">
      <c r="B113" s="7">
        <v>108</v>
      </c>
      <c r="C113" s="11">
        <v>1279842298</v>
      </c>
      <c r="D113" s="12" t="str">
        <f>VLOOKUP(C113,[2]report!$A$2:$Q$496,3,FALSE)</f>
        <v xml:space="preserve">ASDARIA </v>
      </c>
      <c r="E113" s="7">
        <f>VLOOKUP(C113,[2]report!$A$2:$Q$496,4,FALSE)</f>
        <v>93167609</v>
      </c>
      <c r="F113" s="7">
        <f>VLOOKUP(C113,[2]report!$A$2:$Q$496,5,FALSE)</f>
        <v>4120177432</v>
      </c>
      <c r="G113" s="12" t="str">
        <f>VLOOKUP(C113,[2]report!$A$2:$Q$496,8,FALSE)</f>
        <v>Kota Makassar - Kota Baubau</v>
      </c>
      <c r="H113" s="12" t="str">
        <f>VLOOKUP(C113,[2]report!$A$2:$Q$496,9,FALSE)</f>
        <v>27/08/2025 - 30/08/2025</v>
      </c>
      <c r="I113" s="13">
        <f>VLOOKUP(C113,[2]report!$A$2:$Q$496,17,FALSE)</f>
        <v>771158</v>
      </c>
    </row>
    <row r="114" spans="2:9" s="5" customFormat="1" ht="18.75" customHeight="1" x14ac:dyDescent="0.25">
      <c r="B114" s="7">
        <v>109</v>
      </c>
      <c r="C114" s="11">
        <v>1279841815</v>
      </c>
      <c r="D114" s="12" t="str">
        <f>VLOOKUP(C114,[2]report!$A$2:$Q$496,3,FALSE)</f>
        <v xml:space="preserve">ASDARIA </v>
      </c>
      <c r="E114" s="7">
        <f>VLOOKUP(C114,[2]report!$A$2:$Q$496,4,FALSE)</f>
        <v>93167609</v>
      </c>
      <c r="F114" s="7">
        <f>VLOOKUP(C114,[2]report!$A$2:$Q$496,5,FALSE)</f>
        <v>4120177432</v>
      </c>
      <c r="G114" s="12" t="str">
        <f>VLOOKUP(C114,[2]report!$A$2:$Q$496,8,FALSE)</f>
        <v>Kota Makassar - Kota Baubau</v>
      </c>
      <c r="H114" s="12" t="str">
        <f>VLOOKUP(C114,[2]report!$A$2:$Q$496,9,FALSE)</f>
        <v>27/08/2025 - 30/08/2025</v>
      </c>
      <c r="I114" s="13">
        <f>VLOOKUP(C114,[2]report!$A$2:$Q$496,17,FALSE)</f>
        <v>778611</v>
      </c>
    </row>
    <row r="115" spans="2:9" s="5" customFormat="1" ht="18.75" customHeight="1" x14ac:dyDescent="0.25">
      <c r="B115" s="7">
        <v>110</v>
      </c>
      <c r="C115" s="11">
        <v>1279829955</v>
      </c>
      <c r="D115" s="12" t="str">
        <f>VLOOKUP(C115,[2]report!$A$2:$Q$496,3,FALSE)</f>
        <v>YANUAR MUHAMMAD IQBAL</v>
      </c>
      <c r="E115" s="7">
        <f>VLOOKUP(C115,[2]report!$A$2:$Q$496,4,FALSE)</f>
        <v>95207604</v>
      </c>
      <c r="F115" s="7">
        <f>VLOOKUP(C115,[2]report!$A$2:$Q$496,5,FALSE)</f>
        <v>4120177396</v>
      </c>
      <c r="G115" s="12" t="str">
        <f>VLOOKUP(C115,[2]report!$A$2:$Q$496,8,FALSE)</f>
        <v>Kab. Bone - Kota Mataram</v>
      </c>
      <c r="H115" s="12" t="str">
        <f>VLOOKUP(C115,[2]report!$A$2:$Q$496,9,FALSE)</f>
        <v>01/09/2025 - 04/09/2025</v>
      </c>
      <c r="I115" s="13">
        <f>VLOOKUP(C115,[2]report!$A$2:$Q$496,17,FALSE)</f>
        <v>832944</v>
      </c>
    </row>
    <row r="116" spans="2:9" s="5" customFormat="1" ht="18.75" customHeight="1" x14ac:dyDescent="0.25">
      <c r="B116" s="7">
        <v>111</v>
      </c>
      <c r="C116" s="11">
        <v>1279827915</v>
      </c>
      <c r="D116" s="12" t="str">
        <f>VLOOKUP(C116,[2]report!$A$2:$Q$496,3,FALSE)</f>
        <v xml:space="preserve">ASDARIA </v>
      </c>
      <c r="E116" s="7">
        <f>VLOOKUP(C116,[2]report!$A$2:$Q$496,4,FALSE)</f>
        <v>93167609</v>
      </c>
      <c r="F116" s="7">
        <f>VLOOKUP(C116,[2]report!$A$2:$Q$496,5,FALSE)</f>
        <v>4120177432</v>
      </c>
      <c r="G116" s="12" t="str">
        <f>VLOOKUP(C116,[2]report!$A$2:$Q$496,8,FALSE)</f>
        <v>Kota Makassar - Kota Baubau</v>
      </c>
      <c r="H116" s="12" t="str">
        <f>VLOOKUP(C116,[2]report!$A$2:$Q$496,9,FALSE)</f>
        <v>27/08/2025 - 30/08/2025</v>
      </c>
      <c r="I116" s="13">
        <f>VLOOKUP(C116,[2]report!$A$2:$Q$496,17,FALSE)</f>
        <v>844100</v>
      </c>
    </row>
    <row r="117" spans="2:9" s="5" customFormat="1" ht="18.75" customHeight="1" x14ac:dyDescent="0.25">
      <c r="B117" s="7">
        <v>112</v>
      </c>
      <c r="C117" s="11">
        <v>1279816776</v>
      </c>
      <c r="D117" s="12" t="str">
        <f>VLOOKUP(C117,[2]report!$A$2:$Q$496,3,FALSE)</f>
        <v>KIKI RESKI ANDRIANI</v>
      </c>
      <c r="E117" s="7">
        <f>VLOOKUP(C117,[2]report!$A$2:$Q$496,4,FALSE)</f>
        <v>93153811</v>
      </c>
      <c r="F117" s="7">
        <f>VLOOKUP(C117,[2]report!$A$2:$Q$496,5,FALSE)</f>
        <v>4120177437</v>
      </c>
      <c r="G117" s="12" t="str">
        <f>VLOOKUP(C117,[2]report!$A$2:$Q$496,8,FALSE)</f>
        <v>Kota Makassar - Kota Baubau</v>
      </c>
      <c r="H117" s="12" t="str">
        <f>VLOOKUP(C117,[2]report!$A$2:$Q$496,9,FALSE)</f>
        <v>27/08/2025 - 30/08/2025</v>
      </c>
      <c r="I117" s="13">
        <f>VLOOKUP(C117,[2]report!$A$2:$Q$496,17,FALSE)</f>
        <v>844100</v>
      </c>
    </row>
    <row r="118" spans="2:9" s="5" customFormat="1" ht="18.75" customHeight="1" x14ac:dyDescent="0.25">
      <c r="B118" s="7">
        <v>113</v>
      </c>
      <c r="C118" s="11">
        <v>1279830032</v>
      </c>
      <c r="D118" s="12" t="str">
        <f>VLOOKUP(C118,[2]report!$A$2:$Q$496,3,FALSE)</f>
        <v>I WAYAN EDY PURNAMA ARSA</v>
      </c>
      <c r="E118" s="7">
        <f>VLOOKUP(C118,[2]report!$A$2:$Q$496,4,FALSE)</f>
        <v>91147609</v>
      </c>
      <c r="F118" s="7">
        <f>VLOOKUP(C118,[2]report!$A$2:$Q$496,5,FALSE)</f>
        <v>4120177438</v>
      </c>
      <c r="G118" s="12" t="str">
        <f>VLOOKUP(C118,[2]report!$A$2:$Q$496,8,FALSE)</f>
        <v>Kota Makassar - Kota Kendari</v>
      </c>
      <c r="H118" s="12" t="str">
        <f>VLOOKUP(C118,[2]report!$A$2:$Q$496,9,FALSE)</f>
        <v>27/08/2025 - 30/08/2025</v>
      </c>
      <c r="I118" s="13">
        <f>VLOOKUP(C118,[2]report!$A$2:$Q$496,17,FALSE)</f>
        <v>965100</v>
      </c>
    </row>
    <row r="119" spans="2:9" s="5" customFormat="1" ht="18.75" customHeight="1" x14ac:dyDescent="0.25">
      <c r="B119" s="7">
        <v>114</v>
      </c>
      <c r="C119" s="11">
        <v>1279864389</v>
      </c>
      <c r="D119" s="12" t="str">
        <f>VLOOKUP(C119,[2]report!$A$2:$Q$496,3,FALSE)</f>
        <v>HESFIALWAN B</v>
      </c>
      <c r="E119" s="7">
        <f>VLOOKUP(C119,[2]report!$A$2:$Q$496,4,FALSE)</f>
        <v>89087601</v>
      </c>
      <c r="F119" s="7">
        <f>VLOOKUP(C119,[2]report!$A$2:$Q$496,5,FALSE)</f>
        <v>4120177460</v>
      </c>
      <c r="G119" s="12" t="str">
        <f>VLOOKUP(C119,[2]report!$A$2:$Q$496,8,FALSE)</f>
        <v>Kota Makassar - Jakarta Selatan</v>
      </c>
      <c r="H119" s="12" t="str">
        <f>VLOOKUP(C119,[2]report!$A$2:$Q$496,9,FALSE)</f>
        <v>26/08/2025 - 27/08/2025</v>
      </c>
      <c r="I119" s="13">
        <f>VLOOKUP(C119,[2]report!$A$2:$Q$496,17,FALSE)</f>
        <v>1186600</v>
      </c>
    </row>
    <row r="120" spans="2:9" s="5" customFormat="1" ht="18.75" customHeight="1" x14ac:dyDescent="0.25">
      <c r="B120" s="7">
        <v>115</v>
      </c>
      <c r="C120" s="11">
        <v>1279712833</v>
      </c>
      <c r="D120" s="12" t="str">
        <f>VLOOKUP(C120,[2]report!$A$2:$Q$496,3,FALSE)</f>
        <v>NABILA NUR FAIRUZ</v>
      </c>
      <c r="E120" s="7">
        <f>VLOOKUP(C120,[2]report!$A$2:$Q$496,4,FALSE)</f>
        <v>1241589</v>
      </c>
      <c r="F120" s="7">
        <f>VLOOKUP(C120,[2]report!$A$2:$Q$496,5,FALSE)</f>
        <v>4120177304</v>
      </c>
      <c r="G120" s="12" t="str">
        <f>VLOOKUP(C120,[2]report!$A$2:$Q$496,8,FALSE)</f>
        <v>KotaKendari-KotaBogor</v>
      </c>
      <c r="H120" s="12" t="str">
        <f>VLOOKUP(C120,[2]report!$A$2:$Q$496,9,FALSE)</f>
        <v>26/08/2025 - 28/08/2025</v>
      </c>
      <c r="I120" s="13">
        <f>VLOOKUP(C120,[2]report!$A$2:$Q$496,17,FALSE)</f>
        <v>1425000</v>
      </c>
    </row>
    <row r="121" spans="2:9" s="5" customFormat="1" ht="18.75" customHeight="1" x14ac:dyDescent="0.25">
      <c r="B121" s="7">
        <v>116</v>
      </c>
      <c r="C121" s="11">
        <v>1279823108</v>
      </c>
      <c r="D121" s="12" t="str">
        <f>VLOOKUP(C121,[2]report!$A$2:$Q$496,3,FALSE)</f>
        <v>MUHAMMAD SUSGANDINATA</v>
      </c>
      <c r="E121" s="7">
        <f>VLOOKUP(C121,[2]report!$A$2:$Q$496,4,FALSE)</f>
        <v>86097601</v>
      </c>
      <c r="F121" s="7">
        <f>VLOOKUP(C121,[2]report!$A$2:$Q$496,5,FALSE)</f>
        <v>4120177435</v>
      </c>
      <c r="G121" s="12" t="str">
        <f>VLOOKUP(C121,[2]report!$A$2:$Q$496,8,FALSE)</f>
        <v>Kota Makassar - Kota Palopo</v>
      </c>
      <c r="H121" s="12" t="str">
        <f>VLOOKUP(C121,[2]report!$A$2:$Q$496,9,FALSE)</f>
        <v>27/08/2025 - 30/08/2025</v>
      </c>
      <c r="I121" s="13">
        <f>VLOOKUP(C121,[2]report!$A$2:$Q$496,17,FALSE)</f>
        <v>1455300</v>
      </c>
    </row>
    <row r="122" spans="2:9" s="5" customFormat="1" ht="18.75" customHeight="1" x14ac:dyDescent="0.25">
      <c r="B122" s="7">
        <v>117</v>
      </c>
      <c r="C122" s="16">
        <v>1279813147</v>
      </c>
      <c r="D122" s="12" t="str">
        <f>VLOOKUP(C122,[2]report!$A$2:$Q$496,3,FALSE)</f>
        <v>KOMANG YEHUDA PRAWIRA</v>
      </c>
      <c r="E122" s="7">
        <f>VLOOKUP(C122,[2]report!$A$2:$Q$496,4,FALSE)</f>
        <v>86098203</v>
      </c>
      <c r="F122" s="7">
        <f>VLOOKUP(C122,[2]report!$A$2:$Q$496,5,FALSE)</f>
        <v>4120177439</v>
      </c>
      <c r="G122" s="12" t="str">
        <f>VLOOKUP(C122,[2]report!$A$2:$Q$496,8,FALSE)</f>
        <v>Kota Makassar - Kota Kendari</v>
      </c>
      <c r="H122" s="12" t="str">
        <f>VLOOKUP(C122,[2]report!$A$2:$Q$496,9,FALSE)</f>
        <v>27/08/2025 - 30/08/2025</v>
      </c>
      <c r="I122" s="13">
        <f>VLOOKUP(C122,[2]report!$A$2:$Q$496,17,FALSE)</f>
        <v>1683800</v>
      </c>
    </row>
    <row r="123" spans="2:9" s="5" customFormat="1" ht="18.75" customHeight="1" x14ac:dyDescent="0.25">
      <c r="B123" s="7">
        <v>118</v>
      </c>
      <c r="C123" s="11">
        <v>1279825408</v>
      </c>
      <c r="D123" s="12" t="str">
        <f>VLOOKUP(C123,[2]report!$A$2:$Q$496,3,FALSE)</f>
        <v>BOBY ALFIYANTO</v>
      </c>
      <c r="E123" s="7">
        <f>VLOOKUP(C123,[2]report!$A$2:$Q$496,4,FALSE)</f>
        <v>98187623</v>
      </c>
      <c r="F123" s="7">
        <f>VLOOKUP(C123,[2]report!$A$2:$Q$496,5,FALSE)</f>
        <v>4120176451</v>
      </c>
      <c r="G123" s="12" t="str">
        <f>VLOOKUP(C123,[2]report!$A$2:$Q$496,8,FALSE)</f>
        <v>Kab.Bone-KotaSemarang</v>
      </c>
      <c r="H123" s="12" t="str">
        <f>VLOOKUP(C123,[2]report!$A$2:$Q$496,9,FALSE)</f>
        <v>06/07/2025 - 28/08/2025</v>
      </c>
      <c r="I123" s="13">
        <f>VLOOKUP(C123,[2]report!$A$2:$Q$496,17,FALSE)</f>
        <v>1690000</v>
      </c>
    </row>
    <row r="124" spans="2:9" s="5" customFormat="1" ht="18.75" customHeight="1" x14ac:dyDescent="0.25">
      <c r="B124" s="7">
        <v>119</v>
      </c>
      <c r="C124" s="11">
        <v>1279783288</v>
      </c>
      <c r="D124" s="12" t="str">
        <f>VLOOKUP(C124,[2]report!$A$2:$Q$496,3,FALSE)</f>
        <v>RESJAN MANAYA SAMBARA</v>
      </c>
      <c r="E124" s="7">
        <f>VLOOKUP(C124,[2]report!$A$2:$Q$496,4,FALSE)</f>
        <v>91107603</v>
      </c>
      <c r="F124" s="7">
        <f>VLOOKUP(C124,[2]report!$A$2:$Q$496,5,FALSE)</f>
        <v>4120177362</v>
      </c>
      <c r="G124" s="12" t="str">
        <f>VLOOKUP(C124,[2]report!$A$2:$Q$496,8,FALSE)</f>
        <v>Jakarta Selatan - Jakarta Selatan</v>
      </c>
      <c r="H124" s="12" t="str">
        <f>VLOOKUP(C124,[2]report!$A$2:$Q$496,9,FALSE)</f>
        <v>24/08/2025 - 27/08/2025</v>
      </c>
      <c r="I124" s="13">
        <f>VLOOKUP(C124,[2]report!$A$2:$Q$496,17,FALSE)</f>
        <v>1852100</v>
      </c>
    </row>
    <row r="125" spans="2:9" s="5" customFormat="1" ht="18.75" customHeight="1" x14ac:dyDescent="0.25">
      <c r="B125" s="7">
        <v>120</v>
      </c>
      <c r="C125" s="11">
        <v>1279766065</v>
      </c>
      <c r="D125" s="12" t="str">
        <f>VLOOKUP(C125,[2]report!$A$2:$Q$496,3,FALSE)</f>
        <v>BIMA SAKTI MAHARDIKA BUDI</v>
      </c>
      <c r="E125" s="7">
        <f>VLOOKUP(C125,[2]report!$A$2:$Q$496,4,FALSE)</f>
        <v>95197623</v>
      </c>
      <c r="F125" s="7">
        <f>VLOOKUP(C125,[2]report!$A$2:$Q$496,5,FALSE)</f>
        <v>4120177430</v>
      </c>
      <c r="G125" s="12" t="str">
        <f>VLOOKUP(C125,[2]report!$A$2:$Q$496,8,FALSE)</f>
        <v>Kab. Muna - Kota Kendari</v>
      </c>
      <c r="H125" s="12" t="str">
        <f>VLOOKUP(C125,[2]report!$A$2:$Q$496,9,FALSE)</f>
        <v>27/08/2025 - 30/08/2025</v>
      </c>
      <c r="I125" s="13">
        <f>VLOOKUP(C125,[2]report!$A$2:$Q$496,17,FALSE)</f>
        <v>1885500</v>
      </c>
    </row>
    <row r="126" spans="2:9" s="5" customFormat="1" ht="18.75" customHeight="1" x14ac:dyDescent="0.25">
      <c r="B126" s="7">
        <v>121</v>
      </c>
      <c r="C126" s="11">
        <v>1279840512</v>
      </c>
      <c r="D126" s="12" t="str">
        <f>VLOOKUP(C126,[2]report!$A$2:$Q$496,3,FALSE)</f>
        <v>KIKI RESKI ANDRIANI</v>
      </c>
      <c r="E126" s="7">
        <f>VLOOKUP(C126,[2]report!$A$2:$Q$496,4,FALSE)</f>
        <v>93153811</v>
      </c>
      <c r="F126" s="7">
        <f>VLOOKUP(C126,[2]report!$A$2:$Q$496,5,FALSE)</f>
        <v>4120177437</v>
      </c>
      <c r="G126" s="12" t="str">
        <f>VLOOKUP(C126,[2]report!$A$2:$Q$496,8,FALSE)</f>
        <v>Kota Makassar - Kota Baubau</v>
      </c>
      <c r="H126" s="12" t="str">
        <f>VLOOKUP(C126,[2]report!$A$2:$Q$496,9,FALSE)</f>
        <v>27/08/2025 - 30/08/2025</v>
      </c>
      <c r="I126" s="13">
        <f>VLOOKUP(C126,[2]report!$A$2:$Q$496,17,FALSE)</f>
        <v>2352360</v>
      </c>
    </row>
    <row r="127" spans="2:9" s="5" customFormat="1" ht="18.75" customHeight="1" x14ac:dyDescent="0.25">
      <c r="B127" s="7">
        <v>122</v>
      </c>
      <c r="C127" s="51">
        <v>1279840520</v>
      </c>
      <c r="D127" s="12" t="s">
        <v>26</v>
      </c>
      <c r="E127" s="7">
        <v>93167609</v>
      </c>
      <c r="F127" s="7">
        <v>4120177432</v>
      </c>
      <c r="G127" s="12" t="s">
        <v>27</v>
      </c>
      <c r="H127" s="12" t="s">
        <v>28</v>
      </c>
      <c r="I127" s="13">
        <v>2352360</v>
      </c>
    </row>
    <row r="128" spans="2:9" s="5" customFormat="1" ht="18.75" customHeight="1" x14ac:dyDescent="0.25">
      <c r="B128" s="7">
        <v>123</v>
      </c>
      <c r="C128" s="11">
        <v>1279718541</v>
      </c>
      <c r="D128" s="12" t="str">
        <f>VLOOKUP(C128,[2]report!$A$2:$Q$496,3,FALSE)</f>
        <v>JULYANZAH PERDANA PUTRA</v>
      </c>
      <c r="E128" s="7">
        <f>VLOOKUP(C128,[2]report!$A$2:$Q$496,4,FALSE)</f>
        <v>88128002</v>
      </c>
      <c r="F128" s="7">
        <f>VLOOKUP(C128,[2]report!$A$2:$Q$496,5,FALSE)</f>
        <v>4120177386</v>
      </c>
      <c r="G128" s="12" t="str">
        <f>VLOOKUP(C128,[2]report!$A$2:$Q$496,8,FALSE)</f>
        <v>Kota Makassar - Jakarta Selatan</v>
      </c>
      <c r="H128" s="12" t="str">
        <f>VLOOKUP(C128,[2]report!$A$2:$Q$496,9,FALSE)</f>
        <v>24/08/2025 - 27/08/2025</v>
      </c>
      <c r="I128" s="13">
        <f>VLOOKUP(C128,[2]report!$A$2:$Q$496,17,FALSE)</f>
        <v>2381300</v>
      </c>
    </row>
    <row r="129" spans="2:9" s="5" customFormat="1" ht="18.75" customHeight="1" x14ac:dyDescent="0.25">
      <c r="B129" s="7">
        <v>124</v>
      </c>
      <c r="C129" s="11">
        <v>1279746426</v>
      </c>
      <c r="D129" s="12" t="str">
        <f>VLOOKUP(C129,[2]report!$A$2:$Q$496,3,FALSE)</f>
        <v>AGUS SALIM</v>
      </c>
      <c r="E129" s="7">
        <f>VLOOKUP(C129,[2]report!$A$2:$Q$496,4,FALSE)</f>
        <v>75947601</v>
      </c>
      <c r="F129" s="7">
        <f>VLOOKUP(C129,[2]report!$A$2:$Q$496,5,FALSE)</f>
        <v>4120177367</v>
      </c>
      <c r="G129" s="12" t="str">
        <f>VLOOKUP(C129,[2]report!$A$2:$Q$496,8,FALSE)</f>
        <v>Kota Makassar - Jakarta Selatan</v>
      </c>
      <c r="H129" s="12" t="str">
        <f>VLOOKUP(C129,[2]report!$A$2:$Q$496,9,FALSE)</f>
        <v>01/09/2025 - 04/09/2025</v>
      </c>
      <c r="I129" s="13">
        <f>VLOOKUP(C129,[2]report!$A$2:$Q$496,17,FALSE)</f>
        <v>3379200</v>
      </c>
    </row>
    <row r="130" spans="2:9" s="5" customFormat="1" ht="18.75" customHeight="1" x14ac:dyDescent="0.25">
      <c r="B130" s="7">
        <v>125</v>
      </c>
      <c r="C130" s="11">
        <v>1279933746</v>
      </c>
      <c r="D130" s="12" t="str">
        <f>VLOOKUP(C130,[2]report!$A$2:$Q$496,3,FALSE)</f>
        <v>AHMAD FATHAN MAARIF</v>
      </c>
      <c r="E130" s="7">
        <f>VLOOKUP(C130,[2]report!$A$2:$Q$496,4,FALSE)</f>
        <v>96197614</v>
      </c>
      <c r="F130" s="7">
        <f>VLOOKUP(C130,[2]report!$A$2:$Q$496,5,FALSE)</f>
        <v>4120177408</v>
      </c>
      <c r="G130" s="12" t="str">
        <f>VLOOKUP(C130,[2]report!$A$2:$Q$496,8,FALSE)</f>
        <v>Kota Kendari - Kab. Bogor</v>
      </c>
      <c r="H130" s="12" t="str">
        <f>VLOOKUP(C130,[2]report!$A$2:$Q$496,9,FALSE)</f>
        <v>26/08/2025 - 28/08/2025</v>
      </c>
      <c r="I130" s="13">
        <f>VLOOKUP(C130,[2]report!$A$2:$Q$496,17,FALSE)</f>
        <v>725000</v>
      </c>
    </row>
    <row r="131" spans="2:9" s="5" customFormat="1" ht="18.75" customHeight="1" x14ac:dyDescent="0.25">
      <c r="B131" s="7">
        <v>126</v>
      </c>
      <c r="C131" s="11">
        <v>1279919097</v>
      </c>
      <c r="D131" s="12" t="str">
        <f>VLOOKUP(C131,[2]report!$A$2:$Q$496,3,FALSE)</f>
        <v>HESFIALWAN B</v>
      </c>
      <c r="E131" s="7">
        <f>VLOOKUP(C131,[2]report!$A$2:$Q$496,4,FALSE)</f>
        <v>89087601</v>
      </c>
      <c r="F131" s="7">
        <f>VLOOKUP(C131,[2]report!$A$2:$Q$496,5,FALSE)</f>
        <v>4120177460</v>
      </c>
      <c r="G131" s="12" t="str">
        <f>VLOOKUP(C131,[2]report!$A$2:$Q$496,8,FALSE)</f>
        <v>Kota Makassar - Jakarta Selatan</v>
      </c>
      <c r="H131" s="12" t="str">
        <f>VLOOKUP(C131,[2]report!$A$2:$Q$496,9,FALSE)</f>
        <v>26/08/2025 - 27/08/2025</v>
      </c>
      <c r="I131" s="13">
        <f>VLOOKUP(C131,[2]report!$A$2:$Q$496,17,FALSE)</f>
        <v>970000</v>
      </c>
    </row>
    <row r="132" spans="2:9" s="5" customFormat="1" ht="18.75" customHeight="1" x14ac:dyDescent="0.25">
      <c r="B132" s="7">
        <v>127</v>
      </c>
      <c r="C132" s="11">
        <v>1279880270</v>
      </c>
      <c r="D132" s="12" t="str">
        <f>VLOOKUP(C132,[2]report!$A$2:$Q$496,3,FALSE)</f>
        <v>BONILISA SA'PANG RANTEBALIK</v>
      </c>
      <c r="E132" s="7">
        <f>VLOOKUP(C132,[2]report!$A$2:$Q$496,4,FALSE)</f>
        <v>94170108</v>
      </c>
      <c r="F132" s="7">
        <f>VLOOKUP(C132,[2]report!$A$2:$Q$496,5,FALSE)</f>
        <v>4120177450</v>
      </c>
      <c r="G132" s="12" t="str">
        <f>VLOOKUP(C132,[2]report!$A$2:$Q$496,8,FALSE)</f>
        <v>Kota Makassar - Jakarta Pusat</v>
      </c>
      <c r="H132" s="12" t="str">
        <f>VLOOKUP(C132,[2]report!$A$2:$Q$496,9,FALSE)</f>
        <v>27/08/2025 - 30/08/2025</v>
      </c>
      <c r="I132" s="13">
        <f>VLOOKUP(C132,[2]report!$A$2:$Q$496,17,FALSE)</f>
        <v>1246600</v>
      </c>
    </row>
    <row r="133" spans="2:9" s="5" customFormat="1" ht="18.75" customHeight="1" x14ac:dyDescent="0.25">
      <c r="B133" s="7">
        <v>128</v>
      </c>
      <c r="C133" s="11">
        <v>1279885673</v>
      </c>
      <c r="D133" s="12" t="str">
        <f>VLOOKUP(C133,[2]report!$A$2:$Q$496,3,FALSE)</f>
        <v xml:space="preserve">MIRSAN </v>
      </c>
      <c r="E133" s="7">
        <f>VLOOKUP(C133,[2]report!$A$2:$Q$496,4,FALSE)</f>
        <v>84087802</v>
      </c>
      <c r="F133" s="7">
        <f>VLOOKUP(C133,[2]report!$A$2:$Q$496,5,FALSE)</f>
        <v>4120177398</v>
      </c>
      <c r="G133" s="12" t="str">
        <f>VLOOKUP(C133,[2]report!$A$2:$Q$496,8,FALSE)</f>
        <v>Kota Makassar - Kab. Kolaka</v>
      </c>
      <c r="H133" s="12" t="str">
        <f>VLOOKUP(C133,[2]report!$A$2:$Q$496,9,FALSE)</f>
        <v>26/08/2025 - 28/08/2025</v>
      </c>
      <c r="I133" s="13">
        <f>VLOOKUP(C133,[2]report!$A$2:$Q$496,17,FALSE)</f>
        <v>1315800</v>
      </c>
    </row>
    <row r="134" spans="2:9" ht="18.75" customHeight="1" x14ac:dyDescent="0.25">
      <c r="B134" s="7">
        <v>129</v>
      </c>
      <c r="C134" s="11">
        <v>1279922897</v>
      </c>
      <c r="D134" s="12" t="str">
        <f>VLOOKUP(C134,[2]report!$A$2:$Q$496,3,FALSE)</f>
        <v>NURDIANTY MAHYUDDIN</v>
      </c>
      <c r="E134" s="7">
        <f>VLOOKUP(C134,[2]report!$A$2:$Q$496,4,FALSE)</f>
        <v>85117400</v>
      </c>
      <c r="F134" s="7">
        <f>VLOOKUP(C134,[2]report!$A$2:$Q$496,5,FALSE)</f>
        <v>4120177436</v>
      </c>
      <c r="G134" s="12" t="str">
        <f>VLOOKUP(C134,[2]report!$A$2:$Q$496,8,FALSE)</f>
        <v>Kota Makassar - Kota Palopo</v>
      </c>
      <c r="H134" s="12" t="str">
        <f>VLOOKUP(C134,[2]report!$A$2:$Q$496,9,FALSE)</f>
        <v>27/08/2025 - 30/08/2025</v>
      </c>
      <c r="I134" s="13">
        <f>VLOOKUP(C134,[2]report!$A$2:$Q$496,17,FALSE)</f>
        <v>1455300</v>
      </c>
    </row>
    <row r="135" spans="2:9" s="5" customFormat="1" ht="18.75" customHeight="1" x14ac:dyDescent="0.25">
      <c r="B135" s="7">
        <v>130</v>
      </c>
      <c r="C135" s="11">
        <v>1279938851</v>
      </c>
      <c r="D135" s="12" t="str">
        <f>VLOOKUP(C135,[2]report!$A$2:$Q$496,3,FALSE)</f>
        <v>AHMAD FATHAN MAARIF</v>
      </c>
      <c r="E135" s="7">
        <f>VLOOKUP(C135,[2]report!$A$2:$Q$496,4,FALSE)</f>
        <v>96197614</v>
      </c>
      <c r="F135" s="7">
        <f>VLOOKUP(C135,[2]report!$A$2:$Q$496,5,FALSE)</f>
        <v>4120177408</v>
      </c>
      <c r="G135" s="12" t="str">
        <f>VLOOKUP(C135,[2]report!$A$2:$Q$496,8,FALSE)</f>
        <v>Kota Kendari - Kab. Bogor</v>
      </c>
      <c r="H135" s="12" t="str">
        <f>VLOOKUP(C135,[2]report!$A$2:$Q$496,9,FALSE)</f>
        <v>26/08/2025 - 28/08/2025</v>
      </c>
      <c r="I135" s="13">
        <f>VLOOKUP(C135,[2]report!$A$2:$Q$496,17,FALSE)</f>
        <v>1514100</v>
      </c>
    </row>
    <row r="136" spans="2:9" s="5" customFormat="1" ht="18.75" customHeight="1" x14ac:dyDescent="0.25">
      <c r="B136" s="7">
        <v>131</v>
      </c>
      <c r="C136" s="11">
        <v>1279944100</v>
      </c>
      <c r="D136" s="12" t="str">
        <f>VLOOKUP(C136,[2]report!$A$2:$Q$496,3,FALSE)</f>
        <v>I WAYAN EDY PURNAMA ARSA</v>
      </c>
      <c r="E136" s="7">
        <f>VLOOKUP(C136,[2]report!$A$2:$Q$496,4,FALSE)</f>
        <v>91147609</v>
      </c>
      <c r="F136" s="7">
        <f>VLOOKUP(C136,[2]report!$A$2:$Q$496,5,FALSE)</f>
        <v>4120177438</v>
      </c>
      <c r="G136" s="12" t="str">
        <f>VLOOKUP(C136,[2]report!$A$2:$Q$496,8,FALSE)</f>
        <v>Kota Makassar - Kota Kendari</v>
      </c>
      <c r="H136" s="12" t="str">
        <f>VLOOKUP(C136,[2]report!$A$2:$Q$496,9,FALSE)</f>
        <v>27/08/2025 - 30/08/2025</v>
      </c>
      <c r="I136" s="13">
        <f>VLOOKUP(C136,[2]report!$A$2:$Q$496,17,FALSE)</f>
        <v>1666668</v>
      </c>
    </row>
    <row r="137" spans="2:9" s="5" customFormat="1" ht="18.75" customHeight="1" x14ac:dyDescent="0.25">
      <c r="B137" s="7">
        <v>132</v>
      </c>
      <c r="C137" s="11">
        <v>1279923720</v>
      </c>
      <c r="D137" s="12" t="str">
        <f>VLOOKUP(C137,[2]report!$A$2:$Q$496,3,FALSE)</f>
        <v>KOMANG YEHUDA PRAWIRA</v>
      </c>
      <c r="E137" s="7">
        <f>VLOOKUP(C137,[2]report!$A$2:$Q$496,4,FALSE)</f>
        <v>86098203</v>
      </c>
      <c r="F137" s="7">
        <f>VLOOKUP(C137,[2]report!$A$2:$Q$496,5,FALSE)</f>
        <v>4120177439</v>
      </c>
      <c r="G137" s="12" t="str">
        <f>VLOOKUP(C137,[2]report!$A$2:$Q$496,8,FALSE)</f>
        <v>Kota Makassar - Kota Kendari</v>
      </c>
      <c r="H137" s="12" t="str">
        <f>VLOOKUP(C137,[2]report!$A$2:$Q$496,9,FALSE)</f>
        <v>27/08/2025 - 30/08/2025</v>
      </c>
      <c r="I137" s="13">
        <f>VLOOKUP(C137,[2]report!$A$2:$Q$496,17,FALSE)</f>
        <v>1984500</v>
      </c>
    </row>
    <row r="138" spans="2:9" s="5" customFormat="1" ht="18.75" customHeight="1" x14ac:dyDescent="0.25">
      <c r="B138" s="7">
        <v>133</v>
      </c>
      <c r="C138" s="11">
        <v>1279945762</v>
      </c>
      <c r="D138" s="12" t="str">
        <f>VLOOKUP(C138,[2]report!$A$2:$Q$496,3,FALSE)</f>
        <v xml:space="preserve">FATMAWATI </v>
      </c>
      <c r="E138" s="7">
        <f>VLOOKUP(C138,[2]report!$A$2:$Q$496,4,FALSE)</f>
        <v>86104000</v>
      </c>
      <c r="F138" s="7">
        <f>VLOOKUP(C138,[2]report!$A$2:$Q$496,5,FALSE)</f>
        <v>4120177452</v>
      </c>
      <c r="G138" s="12" t="str">
        <f>VLOOKUP(C138,[2]report!$A$2:$Q$496,8,FALSE)</f>
        <v>Kota Makassar - Jakarta Pusat</v>
      </c>
      <c r="H138" s="12" t="str">
        <f>VLOOKUP(C138,[2]report!$A$2:$Q$496,9,FALSE)</f>
        <v>27/08/2025 - 30/08/2025</v>
      </c>
      <c r="I138" s="13">
        <f>VLOOKUP(C138,[2]report!$A$2:$Q$496,17,FALSE)</f>
        <v>2156200</v>
      </c>
    </row>
    <row r="139" spans="2:9" s="5" customFormat="1" ht="18.75" customHeight="1" x14ac:dyDescent="0.25">
      <c r="B139" s="7">
        <v>134</v>
      </c>
      <c r="C139" s="11">
        <v>1279949244</v>
      </c>
      <c r="D139" s="12" t="str">
        <f>VLOOKUP(C139,[2]report!$A$2:$Q$496,3,FALSE)</f>
        <v xml:space="preserve">JASMAN </v>
      </c>
      <c r="E139" s="7">
        <f>VLOOKUP(C139,[2]report!$A$2:$Q$496,4,FALSE)</f>
        <v>89107607</v>
      </c>
      <c r="F139" s="7">
        <f>VLOOKUP(C139,[2]report!$A$2:$Q$496,5,FALSE)</f>
        <v>4120177447</v>
      </c>
      <c r="G139" s="12" t="str">
        <f>VLOOKUP(C139,[2]report!$A$2:$Q$496,8,FALSE)</f>
        <v>Kota Makassar - Jakarta Pusat</v>
      </c>
      <c r="H139" s="12" t="str">
        <f>VLOOKUP(C139,[2]report!$A$2:$Q$496,9,FALSE)</f>
        <v>27/08/2025 - 30/08/2025</v>
      </c>
      <c r="I139" s="13">
        <f>VLOOKUP(C139,[2]report!$A$2:$Q$496,17,FALSE)</f>
        <v>2222200</v>
      </c>
    </row>
    <row r="140" spans="2:9" s="5" customFormat="1" ht="18.75" customHeight="1" x14ac:dyDescent="0.25">
      <c r="B140" s="7">
        <v>135</v>
      </c>
      <c r="C140" s="11">
        <v>1279933421</v>
      </c>
      <c r="D140" s="12" t="str">
        <f>VLOOKUP(C140,[2]report!$A$2:$Q$496,3,FALSE)</f>
        <v xml:space="preserve">SULTAN </v>
      </c>
      <c r="E140" s="7">
        <f>VLOOKUP(C140,[2]report!$A$2:$Q$496,4,FALSE)</f>
        <v>73937614</v>
      </c>
      <c r="F140" s="7">
        <f>VLOOKUP(C140,[2]report!$A$2:$Q$496,5,FALSE)</f>
        <v>4120177469</v>
      </c>
      <c r="G140" s="12" t="str">
        <f>VLOOKUP(C140,[2]report!$A$2:$Q$496,8,FALSE)</f>
        <v>Kota Makassar - Kota Manado</v>
      </c>
      <c r="H140" s="12" t="str">
        <f>VLOOKUP(C140,[2]report!$A$2:$Q$496,9,FALSE)</f>
        <v>27/08/2025 - 30/08/2025</v>
      </c>
      <c r="I140" s="13">
        <f>VLOOKUP(C140,[2]report!$A$2:$Q$496,17,FALSE)</f>
        <v>2530598</v>
      </c>
    </row>
    <row r="141" spans="2:9" s="5" customFormat="1" ht="18.75" customHeight="1" x14ac:dyDescent="0.25">
      <c r="B141" s="7">
        <v>136</v>
      </c>
      <c r="C141" s="11">
        <v>1279931493</v>
      </c>
      <c r="D141" s="12" t="str">
        <f>VLOOKUP(C141,[2]report!$A$2:$Q$496,3,FALSE)</f>
        <v xml:space="preserve">SULTAN </v>
      </c>
      <c r="E141" s="7">
        <f>VLOOKUP(C141,[2]report!$A$2:$Q$496,4,FALSE)</f>
        <v>73937614</v>
      </c>
      <c r="F141" s="7">
        <f>VLOOKUP(C141,[2]report!$A$2:$Q$496,5,FALSE)</f>
        <v>4120177469</v>
      </c>
      <c r="G141" s="12" t="str">
        <f>VLOOKUP(C141,[2]report!$A$2:$Q$496,8,FALSE)</f>
        <v>Kota Makassar - Kota Manado</v>
      </c>
      <c r="H141" s="12" t="str">
        <f>VLOOKUP(C141,[2]report!$A$2:$Q$496,9,FALSE)</f>
        <v>27/08/2025 - 30/08/2025</v>
      </c>
      <c r="I141" s="13">
        <f>VLOOKUP(C141,[2]report!$A$2:$Q$496,17,FALSE)</f>
        <v>2843500</v>
      </c>
    </row>
    <row r="142" spans="2:9" s="5" customFormat="1" ht="18.75" customHeight="1" x14ac:dyDescent="0.25">
      <c r="B142" s="7">
        <v>137</v>
      </c>
      <c r="C142" s="11">
        <v>1280063887</v>
      </c>
      <c r="D142" s="12" t="str">
        <f>VLOOKUP(C142,[2]report!$A$2:$Q$496,3,FALSE)</f>
        <v>DIAN ADHIRAMA ACHDAR</v>
      </c>
      <c r="E142" s="7">
        <f>VLOOKUP(C142,[2]report!$A$2:$Q$496,4,FALSE)</f>
        <v>81067606</v>
      </c>
      <c r="F142" s="7">
        <f>VLOOKUP(C142,[2]report!$A$2:$Q$496,5,FALSE)</f>
        <v>4120177429</v>
      </c>
      <c r="G142" s="12" t="str">
        <f>VLOOKUP(C142,[2]report!$A$2:$Q$496,8,FALSE)</f>
        <v>Kota Makassar - Kab. Bulukumba</v>
      </c>
      <c r="H142" s="12" t="str">
        <f>VLOOKUP(C142,[2]report!$A$2:$Q$496,9,FALSE)</f>
        <v>26/08/2025 - 28/08/2025</v>
      </c>
      <c r="I142" s="13">
        <f>VLOOKUP(C142,[2]report!$A$2:$Q$496,17,FALSE)</f>
        <v>760000</v>
      </c>
    </row>
    <row r="143" spans="2:9" s="5" customFormat="1" ht="18.75" customHeight="1" x14ac:dyDescent="0.25">
      <c r="B143" s="7">
        <v>138</v>
      </c>
      <c r="C143" s="11">
        <v>1279996489</v>
      </c>
      <c r="D143" s="12" t="str">
        <f>VLOOKUP(C143,[2]report!$A$2:$Q$496,3,FALSE)</f>
        <v>RATHY SHINTA UTAMI</v>
      </c>
      <c r="E143" s="7">
        <f>VLOOKUP(C143,[2]report!$A$2:$Q$496,4,FALSE)</f>
        <v>86093800</v>
      </c>
      <c r="F143" s="7">
        <f>VLOOKUP(C143,[2]report!$A$2:$Q$496,5,FALSE)</f>
        <v>4120177458</v>
      </c>
      <c r="G143" s="12" t="str">
        <f>VLOOKUP(C143,[2]report!$A$2:$Q$496,8,FALSE)</f>
        <v>Kota Makassar - Kota Parepare</v>
      </c>
      <c r="H143" s="12" t="str">
        <f>VLOOKUP(C143,[2]report!$A$2:$Q$496,9,FALSE)</f>
        <v>27/08/2025 - 29/08/2025</v>
      </c>
      <c r="I143" s="13">
        <f>VLOOKUP(C143,[2]report!$A$2:$Q$496,17,FALSE)</f>
        <v>800000</v>
      </c>
    </row>
    <row r="144" spans="2:9" s="5" customFormat="1" ht="18.75" customHeight="1" x14ac:dyDescent="0.25">
      <c r="B144" s="7">
        <v>139</v>
      </c>
      <c r="C144" s="11">
        <v>1279995722</v>
      </c>
      <c r="D144" s="12" t="str">
        <f>VLOOKUP(C144,[2]report!$A$2:$Q$496,3,FALSE)</f>
        <v xml:space="preserve">SUNARTI </v>
      </c>
      <c r="E144" s="7">
        <f>VLOOKUP(C144,[2]report!$A$2:$Q$496,4,FALSE)</f>
        <v>92168019</v>
      </c>
      <c r="F144" s="7">
        <f>VLOOKUP(C144,[2]report!$A$2:$Q$496,5,FALSE)</f>
        <v>4120177461</v>
      </c>
      <c r="G144" s="12" t="str">
        <f>VLOOKUP(C144,[2]report!$A$2:$Q$496,8,FALSE)</f>
        <v>Kota Makassar - Kota Parepare - Kab. Pinrang</v>
      </c>
      <c r="H144" s="12" t="str">
        <f>VLOOKUP(C144,[2]report!$A$2:$Q$496,9,FALSE)</f>
        <v>27/08/2025 - 29/08/2025</v>
      </c>
      <c r="I144" s="13">
        <f>VLOOKUP(C144,[2]report!$A$2:$Q$496,17,FALSE)</f>
        <v>1000000</v>
      </c>
    </row>
    <row r="145" spans="2:9" s="5" customFormat="1" ht="18.75" customHeight="1" x14ac:dyDescent="0.25">
      <c r="B145" s="7">
        <v>140</v>
      </c>
      <c r="C145" s="11">
        <v>1280007159</v>
      </c>
      <c r="D145" s="12" t="str">
        <f>VLOOKUP(C145,[2]report!$A$2:$Q$496,3,FALSE)</f>
        <v xml:space="preserve">LALLA </v>
      </c>
      <c r="E145" s="7">
        <f>VLOOKUP(C145,[2]report!$A$2:$Q$496,4,FALSE)</f>
        <v>72937616</v>
      </c>
      <c r="F145" s="7">
        <f>VLOOKUP(C145,[2]report!$A$2:$Q$496,5,FALSE)</f>
        <v>4120177468</v>
      </c>
      <c r="G145" s="12" t="str">
        <f>VLOOKUP(C145,[2]report!$A$2:$Q$496,8,FALSE)</f>
        <v>Kota Makassar - Kota Manado</v>
      </c>
      <c r="H145" s="12" t="str">
        <f>VLOOKUP(C145,[2]report!$A$2:$Q$496,9,FALSE)</f>
        <v>28/08/2025 - 30/08/2025</v>
      </c>
      <c r="I145" s="13">
        <f>VLOOKUP(C145,[2]report!$A$2:$Q$496,17,FALSE)</f>
        <v>1446900</v>
      </c>
    </row>
    <row r="146" spans="2:9" s="5" customFormat="1" ht="18.75" customHeight="1" x14ac:dyDescent="0.25">
      <c r="B146" s="7">
        <v>141</v>
      </c>
      <c r="C146" s="11">
        <v>1279972692</v>
      </c>
      <c r="D146" s="12" t="str">
        <f>VLOOKUP(C146,[2]report!$A$2:$Q$496,3,FALSE)</f>
        <v>HESFIALWAN B</v>
      </c>
      <c r="E146" s="7">
        <f>VLOOKUP(C146,[2]report!$A$2:$Q$496,4,FALSE)</f>
        <v>89087601</v>
      </c>
      <c r="F146" s="7">
        <f>VLOOKUP(C146,[2]report!$A$2:$Q$496,5,FALSE)</f>
        <v>4120177460</v>
      </c>
      <c r="G146" s="12" t="str">
        <f>VLOOKUP(C146,[2]report!$A$2:$Q$496,8,FALSE)</f>
        <v>Kota Makassar - Jakarta Selatan</v>
      </c>
      <c r="H146" s="12" t="str">
        <f>VLOOKUP(C146,[2]report!$A$2:$Q$496,9,FALSE)</f>
        <v>26/08/2025 - 27/08/2025</v>
      </c>
      <c r="I146" s="13">
        <f>VLOOKUP(C146,[2]report!$A$2:$Q$496,17,FALSE)</f>
        <v>1750000</v>
      </c>
    </row>
    <row r="147" spans="2:9" s="5" customFormat="1" ht="18.75" customHeight="1" x14ac:dyDescent="0.25">
      <c r="B147" s="7">
        <v>142</v>
      </c>
      <c r="C147" s="11">
        <v>1280049268</v>
      </c>
      <c r="D147" s="12" t="str">
        <f>VLOOKUP(C147,[2]report!$A$2:$Q$496,3,FALSE)</f>
        <v>MUHAMMAD IMRAN SARBIN AR</v>
      </c>
      <c r="E147" s="7">
        <f>VLOOKUP(C147,[2]report!$A$2:$Q$496,4,FALSE)</f>
        <v>74937604</v>
      </c>
      <c r="F147" s="7">
        <f>VLOOKUP(C147,[2]report!$A$2:$Q$496,5,FALSE)</f>
        <v>4120177476</v>
      </c>
      <c r="G147" s="12" t="str">
        <f>VLOOKUP(C147,[2]report!$A$2:$Q$496,8,FALSE)</f>
        <v>Kota Makassar - Jakarta Pusat</v>
      </c>
      <c r="H147" s="12" t="str">
        <f>VLOOKUP(C147,[2]report!$A$2:$Q$496,9,FALSE)</f>
        <v>27/08/2025 - 30/08/2025</v>
      </c>
      <c r="I147" s="13">
        <f>VLOOKUP(C147,[2]report!$A$2:$Q$496,17,FALSE)</f>
        <v>1870200</v>
      </c>
    </row>
    <row r="148" spans="2:9" s="5" customFormat="1" ht="18.75" customHeight="1" x14ac:dyDescent="0.25">
      <c r="B148" s="7">
        <v>143</v>
      </c>
      <c r="C148" s="11">
        <v>1279979206</v>
      </c>
      <c r="D148" s="12" t="str">
        <f>VLOOKUP(C148,[2]report!$A$2:$Q$496,3,FALSE)</f>
        <v>SATRIA PRASAMYA</v>
      </c>
      <c r="E148" s="7">
        <f>VLOOKUP(C148,[2]report!$A$2:$Q$496,4,FALSE)</f>
        <v>88127601</v>
      </c>
      <c r="F148" s="7">
        <f>VLOOKUP(C148,[2]report!$A$2:$Q$496,5,FALSE)</f>
        <v>4120177403</v>
      </c>
      <c r="G148" s="12" t="str">
        <f>VLOOKUP(C148,[2]report!$A$2:$Q$496,8,FALSE)</f>
        <v>Kota Makassar - Jakarta Barat</v>
      </c>
      <c r="H148" s="12" t="str">
        <f>VLOOKUP(C148,[2]report!$A$2:$Q$496,9,FALSE)</f>
        <v>25/08/2025 - 27/08/2025</v>
      </c>
      <c r="I148" s="13">
        <f>VLOOKUP(C148,[2]report!$A$2:$Q$496,17,FALSE)</f>
        <v>2156200</v>
      </c>
    </row>
    <row r="149" spans="2:9" s="5" customFormat="1" ht="18.75" customHeight="1" x14ac:dyDescent="0.25">
      <c r="B149" s="7">
        <v>144</v>
      </c>
      <c r="C149" s="11">
        <v>1280052318</v>
      </c>
      <c r="D149" s="12" t="str">
        <f>VLOOKUP(C149,[2]report!$A$2:$Q$496,3,FALSE)</f>
        <v>MUHAMMAD IMRAN SARBIN AR</v>
      </c>
      <c r="E149" s="7">
        <f>VLOOKUP(C149,[2]report!$A$2:$Q$496,4,FALSE)</f>
        <v>74937604</v>
      </c>
      <c r="F149" s="7">
        <f>VLOOKUP(C149,[2]report!$A$2:$Q$496,5,FALSE)</f>
        <v>4120177476</v>
      </c>
      <c r="G149" s="12" t="str">
        <f>VLOOKUP(C149,[2]report!$A$2:$Q$496,8,FALSE)</f>
        <v>Kota Makassar - Jakarta Pusat</v>
      </c>
      <c r="H149" s="12" t="str">
        <f>VLOOKUP(C149,[2]report!$A$2:$Q$496,9,FALSE)</f>
        <v>27/08/2025 - 30/08/2025</v>
      </c>
      <c r="I149" s="13">
        <f>VLOOKUP(C149,[2]report!$A$2:$Q$496,17,FALSE)</f>
        <v>2298909</v>
      </c>
    </row>
    <row r="150" spans="2:9" s="5" customFormat="1" ht="18.75" customHeight="1" x14ac:dyDescent="0.25">
      <c r="B150" s="7">
        <v>145</v>
      </c>
      <c r="C150" s="11">
        <v>1280090086</v>
      </c>
      <c r="D150" s="12" t="str">
        <f>VLOOKUP(C150,[2]report!$A$2:$Q$496,3,FALSE)</f>
        <v>WASHILATUL HUDA</v>
      </c>
      <c r="E150" s="7">
        <f>VLOOKUP(C150,[2]report!$A$2:$Q$496,4,FALSE)</f>
        <v>95197611</v>
      </c>
      <c r="F150" s="7">
        <f>VLOOKUP(C150,[2]report!$A$2:$Q$496,5,FALSE)</f>
        <v>4120177412</v>
      </c>
      <c r="G150" s="12" t="str">
        <f>VLOOKUP(C150,[2]report!$A$2:$Q$496,8,FALSE)</f>
        <v>Kota Makassar - Jakarta Pusat</v>
      </c>
      <c r="H150" s="12" t="str">
        <f>VLOOKUP(C150,[2]report!$A$2:$Q$496,9,FALSE)</f>
        <v>28/08/2025 - 29/08/2025</v>
      </c>
      <c r="I150" s="13">
        <f>VLOOKUP(C150,[2]report!$A$2:$Q$496,17,FALSE)</f>
        <v>2343100</v>
      </c>
    </row>
    <row r="151" spans="2:9" s="5" customFormat="1" ht="18.75" customHeight="1" x14ac:dyDescent="0.25">
      <c r="B151" s="7">
        <v>146</v>
      </c>
      <c r="C151" s="11">
        <v>1279989558</v>
      </c>
      <c r="D151" s="12" t="str">
        <f>VLOOKUP(C151,[2]report!$A$2:$Q$496,3,FALSE)</f>
        <v xml:space="preserve">ZULFIKRI </v>
      </c>
      <c r="E151" s="7">
        <f>VLOOKUP(C151,[2]report!$A$2:$Q$496,4,FALSE)</f>
        <v>86088002</v>
      </c>
      <c r="F151" s="7">
        <f>VLOOKUP(C151,[2]report!$A$2:$Q$496,5,FALSE)</f>
        <v>4120177454</v>
      </c>
      <c r="G151" s="12" t="str">
        <f>VLOOKUP(C151,[2]report!$A$2:$Q$496,8,FALSE)</f>
        <v>Kota Makassar - Jakarta Pusat</v>
      </c>
      <c r="H151" s="12" t="str">
        <f>VLOOKUP(C151,[2]report!$A$2:$Q$496,9,FALSE)</f>
        <v>27/08/2025 - 30/08/2025</v>
      </c>
      <c r="I151" s="13">
        <f>VLOOKUP(C151,[2]report!$A$2:$Q$496,17,FALSE)</f>
        <v>2788200</v>
      </c>
    </row>
    <row r="152" spans="2:9" s="5" customFormat="1" ht="18.75" customHeight="1" x14ac:dyDescent="0.25">
      <c r="B152" s="7">
        <v>147</v>
      </c>
      <c r="C152" s="16">
        <v>1280006203</v>
      </c>
      <c r="D152" s="12" t="str">
        <f>VLOOKUP(C152,[2]report!$A$2:$Q$496,3,FALSE)</f>
        <v xml:space="preserve">LALLA </v>
      </c>
      <c r="E152" s="7">
        <f>VLOOKUP(C152,[2]report!$A$2:$Q$496,4,FALSE)</f>
        <v>72937616</v>
      </c>
      <c r="F152" s="7">
        <f>VLOOKUP(C152,[2]report!$A$2:$Q$496,5,FALSE)</f>
        <v>4120177468</v>
      </c>
      <c r="G152" s="12" t="str">
        <f>VLOOKUP(C152,[2]report!$A$2:$Q$496,8,FALSE)</f>
        <v>Kota Makassar - Kota Manado</v>
      </c>
      <c r="H152" s="12" t="str">
        <f>VLOOKUP(C152,[2]report!$A$2:$Q$496,9,FALSE)</f>
        <v>28/08/2025 - 30/08/2025</v>
      </c>
      <c r="I152" s="13">
        <f>VLOOKUP(C152,[2]report!$A$2:$Q$496,17,FALSE)</f>
        <v>2929898</v>
      </c>
    </row>
    <row r="153" spans="2:9" s="5" customFormat="1" ht="18.75" customHeight="1" x14ac:dyDescent="0.25">
      <c r="B153" s="7">
        <v>148</v>
      </c>
      <c r="C153" s="11">
        <v>1280215756</v>
      </c>
      <c r="D153" s="12" t="str">
        <f>VLOOKUP(C153,[2]report!$A$2:$Q$496,3,FALSE)</f>
        <v>WASHILATUL HUDA</v>
      </c>
      <c r="E153" s="7">
        <f>VLOOKUP(C153,[2]report!$A$2:$Q$496,4,FALSE)</f>
        <v>95197611</v>
      </c>
      <c r="F153" s="7">
        <f>VLOOKUP(C153,[2]report!$A$2:$Q$496,5,FALSE)</f>
        <v>4120177412</v>
      </c>
      <c r="G153" s="12" t="str">
        <f>VLOOKUP(C153,[2]report!$A$2:$Q$496,8,FALSE)</f>
        <v>Kota Makassar - Jakarta Pusat</v>
      </c>
      <c r="H153" s="12" t="str">
        <f>VLOOKUP(C153,[2]report!$A$2:$Q$496,9,FALSE)</f>
        <v>28/08/2025 - 29/08/2025</v>
      </c>
      <c r="I153" s="13">
        <f>VLOOKUP(C153,[2]report!$A$2:$Q$496,17,FALSE)</f>
        <v>736000</v>
      </c>
    </row>
    <row r="154" spans="2:9" s="5" customFormat="1" ht="18.75" customHeight="1" x14ac:dyDescent="0.25">
      <c r="B154" s="7">
        <v>149</v>
      </c>
      <c r="C154" s="11">
        <v>1280153538</v>
      </c>
      <c r="D154" s="12" t="str">
        <f>VLOOKUP(C154,[2]report!$A$2:$Q$496,3,FALSE)</f>
        <v>KIKI RESKI ANDRIANI</v>
      </c>
      <c r="E154" s="7">
        <f>VLOOKUP(C154,[2]report!$A$2:$Q$496,4,FALSE)</f>
        <v>93153811</v>
      </c>
      <c r="F154" s="7">
        <f>VLOOKUP(C154,[2]report!$A$2:$Q$496,5,FALSE)</f>
        <v>4120177437</v>
      </c>
      <c r="G154" s="12" t="str">
        <f>VLOOKUP(C154,[2]report!$A$2:$Q$496,8,FALSE)</f>
        <v>Kota Makassar - Kota Baubau</v>
      </c>
      <c r="H154" s="12" t="str">
        <f>VLOOKUP(C154,[2]report!$A$2:$Q$496,9,FALSE)</f>
        <v>27/08/2025 - 30/08/2025</v>
      </c>
      <c r="I154" s="13">
        <f>VLOOKUP(C154,[2]report!$A$2:$Q$496,17,FALSE)</f>
        <v>744200</v>
      </c>
    </row>
    <row r="155" spans="2:9" s="5" customFormat="1" ht="18.75" customHeight="1" x14ac:dyDescent="0.25">
      <c r="B155" s="7">
        <v>150</v>
      </c>
      <c r="C155" s="11">
        <v>1280153613</v>
      </c>
      <c r="D155" s="12" t="str">
        <f>VLOOKUP(C155,[2]report!$A$2:$Q$496,3,FALSE)</f>
        <v xml:space="preserve">ASDARIA </v>
      </c>
      <c r="E155" s="7">
        <f>VLOOKUP(C155,[2]report!$A$2:$Q$496,4,FALSE)</f>
        <v>93167609</v>
      </c>
      <c r="F155" s="7">
        <f>VLOOKUP(C155,[2]report!$A$2:$Q$496,5,FALSE)</f>
        <v>4120177432</v>
      </c>
      <c r="G155" s="12" t="str">
        <f>VLOOKUP(C155,[2]report!$A$2:$Q$496,8,FALSE)</f>
        <v>Kota Makassar - Kota Baubau</v>
      </c>
      <c r="H155" s="12" t="str">
        <f>VLOOKUP(C155,[2]report!$A$2:$Q$496,9,FALSE)</f>
        <v>27/08/2025 - 30/08/2025</v>
      </c>
      <c r="I155" s="13">
        <f>VLOOKUP(C155,[2]report!$A$2:$Q$496,17,FALSE)</f>
        <v>744200</v>
      </c>
    </row>
    <row r="156" spans="2:9" s="5" customFormat="1" ht="18.75" customHeight="1" x14ac:dyDescent="0.25">
      <c r="B156" s="7">
        <v>151</v>
      </c>
      <c r="C156" s="11">
        <v>1280210256</v>
      </c>
      <c r="D156" s="12" t="str">
        <f>VLOOKUP(C156,[2]report!$A$2:$Q$496,3,FALSE)</f>
        <v>BAMA RUSMALI</v>
      </c>
      <c r="E156" s="7">
        <f>VLOOKUP(C156,[2]report!$A$2:$Q$496,4,FALSE)</f>
        <v>96197617</v>
      </c>
      <c r="F156" s="7">
        <f>VLOOKUP(C156,[2]report!$A$2:$Q$496,5,FALSE)</f>
        <v>4120177473</v>
      </c>
      <c r="G156" s="12" t="str">
        <f>VLOOKUP(C156,[2]report!$A$2:$Q$496,8,FALSE)</f>
        <v>Kota Makassar - Jakarta Pusat</v>
      </c>
      <c r="H156" s="12" t="str">
        <f>VLOOKUP(C156,[2]report!$A$2:$Q$496,9,FALSE)</f>
        <v>28/08/2025 - 29/08/2025</v>
      </c>
      <c r="I156" s="13">
        <f>VLOOKUP(C156,[2]report!$A$2:$Q$496,17,FALSE)</f>
        <v>848038</v>
      </c>
    </row>
    <row r="157" spans="2:9" s="5" customFormat="1" ht="18.75" customHeight="1" x14ac:dyDescent="0.25">
      <c r="B157" s="7">
        <v>152</v>
      </c>
      <c r="C157" s="11">
        <v>1280149341</v>
      </c>
      <c r="D157" s="12" t="str">
        <f>VLOOKUP(C157,[2]report!$A$2:$Q$496,3,FALSE)</f>
        <v>EKO HANGGORO WICAKSONO</v>
      </c>
      <c r="E157" s="7">
        <f>VLOOKUP(C157,[2]report!$A$2:$Q$496,4,FALSE)</f>
        <v>84067601</v>
      </c>
      <c r="F157" s="7">
        <f>VLOOKUP(C157,[2]report!$A$2:$Q$496,5,FALSE)</f>
        <v>4120177475</v>
      </c>
      <c r="G157" s="12" t="str">
        <f>VLOOKUP(C157,[2]report!$A$2:$Q$496,8,FALSE)</f>
        <v>Kota Makassar - Kota Sukabumi</v>
      </c>
      <c r="H157" s="12" t="str">
        <f>VLOOKUP(C157,[2]report!$A$2:$Q$496,9,FALSE)</f>
        <v>28/08/2025 - 30/08/2025</v>
      </c>
      <c r="I157" s="13">
        <f>VLOOKUP(C157,[2]report!$A$2:$Q$496,17,FALSE)</f>
        <v>929280</v>
      </c>
    </row>
    <row r="158" spans="2:9" s="5" customFormat="1" ht="18.75" customHeight="1" x14ac:dyDescent="0.25">
      <c r="B158" s="7">
        <v>153</v>
      </c>
      <c r="C158" s="11">
        <v>1280140394</v>
      </c>
      <c r="D158" s="12" t="str">
        <f>VLOOKUP(C158,[2]report!$A$2:$Q$496,3,FALSE)</f>
        <v>WAWANG WIRATAMA</v>
      </c>
      <c r="E158" s="7">
        <f>VLOOKUP(C158,[2]report!$A$2:$Q$496,4,FALSE)</f>
        <v>83098401</v>
      </c>
      <c r="F158" s="7">
        <f>VLOOKUP(C158,[2]report!$A$2:$Q$496,5,FALSE)</f>
        <v>4120177463</v>
      </c>
      <c r="G158" s="12" t="str">
        <f>VLOOKUP(C158,[2]report!$A$2:$Q$496,8,FALSE)</f>
        <v>Kota Makassar - Kab. Bone</v>
      </c>
      <c r="H158" s="12" t="str">
        <f>VLOOKUP(C158,[2]report!$A$2:$Q$496,9,FALSE)</f>
        <v>27/08/2025 - 29/08/2025</v>
      </c>
      <c r="I158" s="13">
        <f>VLOOKUP(C158,[2]report!$A$2:$Q$496,17,FALSE)</f>
        <v>1566360</v>
      </c>
    </row>
    <row r="159" spans="2:9" s="5" customFormat="1" ht="18.75" customHeight="1" x14ac:dyDescent="0.25">
      <c r="B159" s="7">
        <v>154</v>
      </c>
      <c r="C159" s="11">
        <v>1280139102</v>
      </c>
      <c r="D159" s="12" t="str">
        <f>VLOOKUP(C159,[2]report!$A$2:$Q$496,3,FALSE)</f>
        <v>ALAMSYAH ANWAR</v>
      </c>
      <c r="E159" s="7">
        <f>VLOOKUP(C159,[2]report!$A$2:$Q$496,4,FALSE)</f>
        <v>78050000</v>
      </c>
      <c r="F159" s="7">
        <f>VLOOKUP(C159,[2]report!$A$2:$Q$496,5,FALSE)</f>
        <v>4120177456</v>
      </c>
      <c r="G159" s="12" t="str">
        <f>VLOOKUP(C159,[2]report!$A$2:$Q$496,8,FALSE)</f>
        <v>Kota Makassar - Kab. Bone</v>
      </c>
      <c r="H159" s="12" t="str">
        <f>VLOOKUP(C159,[2]report!$A$2:$Q$496,9,FALSE)</f>
        <v>27/08/2025 - 29/08/2025</v>
      </c>
      <c r="I159" s="13">
        <f>VLOOKUP(C159,[2]report!$A$2:$Q$496,17,FALSE)</f>
        <v>1566360</v>
      </c>
    </row>
    <row r="160" spans="2:9" s="5" customFormat="1" ht="18.75" customHeight="1" x14ac:dyDescent="0.25">
      <c r="B160" s="7">
        <v>155</v>
      </c>
      <c r="C160" s="11">
        <v>1280196454</v>
      </c>
      <c r="D160" s="12" t="str">
        <f>VLOOKUP(C160,[2]report!$A$2:$Q$496,3,FALSE)</f>
        <v>BAMA RUSMALI</v>
      </c>
      <c r="E160" s="7">
        <f>VLOOKUP(C160,[2]report!$A$2:$Q$496,4,FALSE)</f>
        <v>96197617</v>
      </c>
      <c r="F160" s="7">
        <f>VLOOKUP(C160,[2]report!$A$2:$Q$496,5,FALSE)</f>
        <v>4120177473</v>
      </c>
      <c r="G160" s="12" t="str">
        <f>VLOOKUP(C160,[2]report!$A$2:$Q$496,8,FALSE)</f>
        <v>Kota Makassar - Jakarta Pusat</v>
      </c>
      <c r="H160" s="12" t="str">
        <f>VLOOKUP(C160,[2]report!$A$2:$Q$496,9,FALSE)</f>
        <v>28/08/2025 - 29/08/2025</v>
      </c>
      <c r="I160" s="13">
        <f>VLOOKUP(C160,[2]report!$A$2:$Q$496,17,FALSE)</f>
        <v>2301000</v>
      </c>
    </row>
    <row r="161" spans="2:9" s="5" customFormat="1" ht="18.75" customHeight="1" x14ac:dyDescent="0.25">
      <c r="B161" s="7">
        <v>156</v>
      </c>
      <c r="C161" s="11">
        <v>1280132670</v>
      </c>
      <c r="D161" s="12" t="str">
        <f>VLOOKUP(C161,[2]report!$A$2:$Q$496,3,FALSE)</f>
        <v>EKO HANGGORO WICAKSONO</v>
      </c>
      <c r="E161" s="7">
        <f>VLOOKUP(C161,[2]report!$A$2:$Q$496,4,FALSE)</f>
        <v>84067601</v>
      </c>
      <c r="F161" s="7">
        <f>VLOOKUP(C161,[2]report!$A$2:$Q$496,5,FALSE)</f>
        <v>4120177475</v>
      </c>
      <c r="G161" s="12" t="str">
        <f>VLOOKUP(C161,[2]report!$A$2:$Q$496,8,FALSE)</f>
        <v>Kota Makassar - Kota Sukabumi</v>
      </c>
      <c r="H161" s="12" t="str">
        <f>VLOOKUP(C161,[2]report!$A$2:$Q$496,9,FALSE)</f>
        <v>28/08/2025 - 30/08/2025</v>
      </c>
      <c r="I161" s="13">
        <f>VLOOKUP(C161,[2]report!$A$2:$Q$496,17,FALSE)</f>
        <v>3962600</v>
      </c>
    </row>
    <row r="162" spans="2:9" s="5" customFormat="1" ht="18.75" customHeight="1" x14ac:dyDescent="0.25">
      <c r="B162" s="7">
        <v>157</v>
      </c>
      <c r="C162" s="11">
        <v>1280379885</v>
      </c>
      <c r="D162" s="12" t="str">
        <f>VLOOKUP(C162,[2]report!$A$2:$Q$496,3,FALSE)</f>
        <v>ZAKI ASHARI</v>
      </c>
      <c r="E162" s="7">
        <f>VLOOKUP(C162,[2]report!$A$2:$Q$496,4,FALSE)</f>
        <v>90087607</v>
      </c>
      <c r="F162" s="7">
        <f>VLOOKUP(C162,[2]report!$A$2:$Q$496,5,FALSE)</f>
        <v>4120177448</v>
      </c>
      <c r="G162" s="12" t="str">
        <f>VLOOKUP(C162,[2]report!$A$2:$Q$496,8,FALSE)</f>
        <v>Kota Makassar - Kab. Bulukumba</v>
      </c>
      <c r="H162" s="12" t="str">
        <f>VLOOKUP(C162,[2]report!$A$2:$Q$496,9,FALSE)</f>
        <v>27/08/2025 - 29/08/2025</v>
      </c>
      <c r="I162" s="13">
        <f>VLOOKUP(C162,[2]report!$A$2:$Q$496,17,FALSE)</f>
        <v>405000</v>
      </c>
    </row>
    <row r="163" spans="2:9" s="5" customFormat="1" ht="18.75" customHeight="1" x14ac:dyDescent="0.25">
      <c r="B163" s="7">
        <v>158</v>
      </c>
      <c r="C163" s="11">
        <v>1280371861</v>
      </c>
      <c r="D163" s="12" t="str">
        <f>VLOOKUP(C163,[2]report!$A$2:$Q$496,3,FALSE)</f>
        <v>M. LUKMAN HAKIM</v>
      </c>
      <c r="E163" s="7">
        <f>VLOOKUP(C163,[2]report!$A$2:$Q$496,4,FALSE)</f>
        <v>87127603</v>
      </c>
      <c r="F163" s="7">
        <f>VLOOKUP(C163,[2]report!$A$2:$Q$496,5,FALSE)</f>
        <v>4120177453</v>
      </c>
      <c r="G163" s="12" t="str">
        <f>VLOOKUP(C163,[2]report!$A$2:$Q$496,8,FALSE)</f>
        <v>Kota Makassar - Kab. Bulukumba</v>
      </c>
      <c r="H163" s="12" t="str">
        <f>VLOOKUP(C163,[2]report!$A$2:$Q$496,9,FALSE)</f>
        <v>27/08/2025 - 29/08/2025</v>
      </c>
      <c r="I163" s="13">
        <f>VLOOKUP(C163,[2]report!$A$2:$Q$496,17,FALSE)</f>
        <v>405000</v>
      </c>
    </row>
    <row r="164" spans="2:9" s="5" customFormat="1" ht="18.75" customHeight="1" x14ac:dyDescent="0.25">
      <c r="B164" s="7">
        <v>159</v>
      </c>
      <c r="C164" s="11">
        <v>1280299982</v>
      </c>
      <c r="D164" s="12" t="str">
        <f>VLOOKUP(C164,[2]report!$A$2:$Q$496,3,FALSE)</f>
        <v>APRIZAL ARIF AMIR</v>
      </c>
      <c r="E164" s="7">
        <f>VLOOKUP(C164,[2]report!$A$2:$Q$496,4,FALSE)</f>
        <v>93157607</v>
      </c>
      <c r="F164" s="7">
        <f>VLOOKUP(C164,[2]report!$A$2:$Q$496,5,FALSE)</f>
        <v>4120177481</v>
      </c>
      <c r="G164" s="12" t="str">
        <f>VLOOKUP(C164,[2]report!$A$2:$Q$496,8,FALSE)</f>
        <v>Kab. Buton Tengah - Kota Baubau</v>
      </c>
      <c r="H164" s="12" t="str">
        <f>VLOOKUP(C164,[2]report!$A$2:$Q$496,9,FALSE)</f>
        <v>29/08/2025 - 30/08/2025</v>
      </c>
      <c r="I164" s="13">
        <f>VLOOKUP(C164,[2]report!$A$2:$Q$496,17,FALSE)</f>
        <v>784120</v>
      </c>
    </row>
    <row r="165" spans="2:9" s="5" customFormat="1" ht="18.75" customHeight="1" x14ac:dyDescent="0.25">
      <c r="B165" s="7">
        <v>160</v>
      </c>
      <c r="C165" s="11">
        <v>1280308209</v>
      </c>
      <c r="D165" s="12" t="str">
        <f>VLOOKUP(C165,[2]report!$A$2:$Q$496,3,FALSE)</f>
        <v>RICKY TITIN TRIPUTRA</v>
      </c>
      <c r="E165" s="7">
        <f>VLOOKUP(C165,[2]report!$A$2:$Q$496,4,FALSE)</f>
        <v>91157612</v>
      </c>
      <c r="F165" s="7">
        <f>VLOOKUP(C165,[2]report!$A$2:$Q$496,5,FALSE)</f>
        <v>4120177487</v>
      </c>
      <c r="G165" s="12" t="str">
        <f>VLOOKUP(C165,[2]report!$A$2:$Q$496,8,FALSE)</f>
        <v>Kab. Wakatobi - Kota Baubau</v>
      </c>
      <c r="H165" s="12" t="str">
        <f>VLOOKUP(C165,[2]report!$A$2:$Q$496,9,FALSE)</f>
        <v>28/08/2025 - 30/08/2025</v>
      </c>
      <c r="I165" s="13">
        <f>VLOOKUP(C165,[2]report!$A$2:$Q$496,17,FALSE)</f>
        <v>789920</v>
      </c>
    </row>
    <row r="166" spans="2:9" s="5" customFormat="1" ht="18.75" customHeight="1" x14ac:dyDescent="0.25">
      <c r="B166" s="7">
        <v>161</v>
      </c>
      <c r="C166" s="11">
        <v>1280355920</v>
      </c>
      <c r="D166" s="12" t="str">
        <f>VLOOKUP(C166,[2]report!$A$2:$Q$496,3,FALSE)</f>
        <v>SATRIA ANSARUDIN ANWAR</v>
      </c>
      <c r="E166" s="7">
        <f>VLOOKUP(C166,[2]report!$A$2:$Q$496,4,FALSE)</f>
        <v>96167802</v>
      </c>
      <c r="F166" s="7">
        <f>VLOOKUP(C166,[2]report!$A$2:$Q$496,5,FALSE)</f>
        <v>4120177415</v>
      </c>
      <c r="G166" s="12" t="str">
        <f>VLOOKUP(C166,[2]report!$A$2:$Q$496,8,FALSE)</f>
        <v>Kota Baubau - Kota Kendari</v>
      </c>
      <c r="H166" s="12" t="str">
        <f>VLOOKUP(C166,[2]report!$A$2:$Q$496,9,FALSE)</f>
        <v>27/08/2025 - 30/08/2025</v>
      </c>
      <c r="I166" s="13">
        <f>VLOOKUP(C166,[2]report!$A$2:$Q$496,17,FALSE)</f>
        <v>1084339</v>
      </c>
    </row>
    <row r="167" spans="2:9" s="5" customFormat="1" ht="18.75" customHeight="1" x14ac:dyDescent="0.25">
      <c r="B167" s="7">
        <v>162</v>
      </c>
      <c r="C167" s="11">
        <v>1280356009</v>
      </c>
      <c r="D167" s="12" t="str">
        <f>VLOOKUP(C167,[2]report!$A$2:$Q$496,3,FALSE)</f>
        <v>FORTUNATUS YOSANTONINO SETYONO PUTRA</v>
      </c>
      <c r="E167" s="7">
        <f>VLOOKUP(C167,[2]report!$A$2:$Q$496,4,FALSE)</f>
        <v>97196206</v>
      </c>
      <c r="F167" s="7">
        <f>VLOOKUP(C167,[2]report!$A$2:$Q$496,5,FALSE)</f>
        <v>4120177433</v>
      </c>
      <c r="G167" s="12" t="str">
        <f>VLOOKUP(C167,[2]report!$A$2:$Q$496,8,FALSE)</f>
        <v>Kota Kendari - Kota Kendari</v>
      </c>
      <c r="H167" s="12" t="str">
        <f>VLOOKUP(C167,[2]report!$A$2:$Q$496,9,FALSE)</f>
        <v>27/08/2025 - 30/08/2025</v>
      </c>
      <c r="I167" s="13">
        <f>VLOOKUP(C167,[2]report!$A$2:$Q$496,17,FALSE)</f>
        <v>1084339</v>
      </c>
    </row>
    <row r="168" spans="2:9" s="5" customFormat="1" ht="18.75" customHeight="1" x14ac:dyDescent="0.25">
      <c r="B168" s="7">
        <v>163</v>
      </c>
      <c r="C168" s="11">
        <v>1280238660</v>
      </c>
      <c r="D168" s="12" t="str">
        <f>VLOOKUP(C168,[2]report!$A$2:$Q$496,3,FALSE)</f>
        <v>YANUAR MUHAMMAD IQBAL</v>
      </c>
      <c r="E168" s="7">
        <f>VLOOKUP(C168,[2]report!$A$2:$Q$496,4,FALSE)</f>
        <v>95207604</v>
      </c>
      <c r="F168" s="7">
        <f>VLOOKUP(C168,[2]report!$A$2:$Q$496,5,FALSE)</f>
        <v>4120177396</v>
      </c>
      <c r="G168" s="12" t="str">
        <f>VLOOKUP(C168,[2]report!$A$2:$Q$496,8,FALSE)</f>
        <v>Kab. Bone - Kota Mataram</v>
      </c>
      <c r="H168" s="12" t="str">
        <f>VLOOKUP(C168,[2]report!$A$2:$Q$496,9,FALSE)</f>
        <v>01/09/2025 - 04/09/2025</v>
      </c>
      <c r="I168" s="13">
        <f>VLOOKUP(C168,[2]report!$A$2:$Q$496,17,FALSE)</f>
        <v>1879600</v>
      </c>
    </row>
    <row r="169" spans="2:9" s="5" customFormat="1" ht="18.75" customHeight="1" x14ac:dyDescent="0.25">
      <c r="B169" s="7">
        <v>164</v>
      </c>
      <c r="C169" s="11">
        <v>1280376865</v>
      </c>
      <c r="D169" s="12" t="str">
        <f>VLOOKUP(C169,[2]report!$A$2:$Q$496,3,FALSE)</f>
        <v>ABDUL RAIS</v>
      </c>
      <c r="E169" s="7">
        <f>VLOOKUP(C169,[2]report!$A$2:$Q$496,4,FALSE)</f>
        <v>91127600</v>
      </c>
      <c r="F169" s="7">
        <f>VLOOKUP(C169,[2]report!$A$2:$Q$496,5,FALSE)</f>
        <v>4120177506</v>
      </c>
      <c r="G169" s="12" t="str">
        <f>VLOOKUP(C169,[2]report!$A$2:$Q$496,8,FALSE)</f>
        <v>Kota Baubau - Kota Yogyakarta</v>
      </c>
      <c r="H169" s="12" t="str">
        <f>VLOOKUP(C169,[2]report!$A$2:$Q$496,9,FALSE)</f>
        <v>01/09/2025 - 05/09/2025</v>
      </c>
      <c r="I169" s="13">
        <f>VLOOKUP(C169,[2]report!$A$2:$Q$496,17,FALSE)</f>
        <v>2598500</v>
      </c>
    </row>
    <row r="170" spans="2:9" s="5" customFormat="1" ht="18.75" customHeight="1" x14ac:dyDescent="0.25">
      <c r="B170" s="7">
        <v>165</v>
      </c>
      <c r="C170" s="11">
        <v>1280344826</v>
      </c>
      <c r="D170" s="12" t="str">
        <f>VLOOKUP(C170,[2]report!$A$2:$Q$496,3,FALSE)</f>
        <v>MUHAMMAD IQBAAL MS</v>
      </c>
      <c r="E170" s="7">
        <f>VLOOKUP(C170,[2]report!$A$2:$Q$496,4,FALSE)</f>
        <v>94177619</v>
      </c>
      <c r="F170" s="7">
        <f>VLOOKUP(C170,[2]report!$A$2:$Q$496,5,FALSE)</f>
        <v>4120177496</v>
      </c>
      <c r="G170" s="12" t="str">
        <f>VLOOKUP(C170,[2]report!$A$2:$Q$496,8,FALSE)</f>
        <v>Kota Baubau - Kota Yogyakarta</v>
      </c>
      <c r="H170" s="12" t="str">
        <f>VLOOKUP(C170,[2]report!$A$2:$Q$496,9,FALSE)</f>
        <v>01/09/2025 - 05/09/2025</v>
      </c>
      <c r="I170" s="13">
        <f>VLOOKUP(C170,[2]report!$A$2:$Q$496,17,FALSE)</f>
        <v>3247100</v>
      </c>
    </row>
    <row r="171" spans="2:9" s="5" customFormat="1" ht="18.75" customHeight="1" x14ac:dyDescent="0.25">
      <c r="B171" s="7">
        <v>166</v>
      </c>
      <c r="C171" s="11">
        <v>1280346724</v>
      </c>
      <c r="D171" s="12" t="str">
        <f>VLOOKUP(C171,[2]report!$A$2:$Q$496,3,FALSE)</f>
        <v>MUHAMMAD IQBAAL MS</v>
      </c>
      <c r="E171" s="7">
        <f>VLOOKUP(C171,[2]report!$A$2:$Q$496,4,FALSE)</f>
        <v>94177619</v>
      </c>
      <c r="F171" s="7">
        <f>VLOOKUP(C171,[2]report!$A$2:$Q$496,5,FALSE)</f>
        <v>4120177496</v>
      </c>
      <c r="G171" s="12" t="str">
        <f>VLOOKUP(C171,[2]report!$A$2:$Q$496,8,FALSE)</f>
        <v>Kota Baubau - Kota Yogyakarta</v>
      </c>
      <c r="H171" s="12" t="str">
        <f>VLOOKUP(C171,[2]report!$A$2:$Q$496,9,FALSE)</f>
        <v>01/09/2025 - 05/09/2025</v>
      </c>
      <c r="I171" s="13">
        <f>VLOOKUP(C171,[2]report!$A$2:$Q$496,17,FALSE)</f>
        <v>2827000</v>
      </c>
    </row>
    <row r="172" spans="2:9" s="5" customFormat="1" ht="18.75" customHeight="1" x14ac:dyDescent="0.25">
      <c r="B172" s="7">
        <v>167</v>
      </c>
      <c r="C172" s="11">
        <v>1280387742</v>
      </c>
      <c r="D172" s="12" t="str">
        <f>VLOOKUP(C172,[2]report!$A$2:$Q$496,3,FALSE)</f>
        <v>ANDI FAUZAN ALIM</v>
      </c>
      <c r="E172" s="7">
        <f>VLOOKUP(C172,[2]report!$A$2:$Q$496,4,FALSE)</f>
        <v>98237600</v>
      </c>
      <c r="F172" s="7">
        <f>VLOOKUP(C172,[2]report!$A$2:$Q$496,5,FALSE)</f>
        <v>4120177484</v>
      </c>
      <c r="G172" s="12" t="str">
        <f>VLOOKUP(C172,[2]report!$A$2:$Q$496,8,FALSE)</f>
        <v>Kab. Bulukumba - Kota Makassar</v>
      </c>
      <c r="H172" s="12" t="str">
        <f>VLOOKUP(C172,[2]report!$A$2:$Q$496,9,FALSE)</f>
        <v>28/08/2025 - 29/08/2025</v>
      </c>
      <c r="I172" s="13">
        <f>VLOOKUP(C172,[2]report!$A$2:$Q$496,17,FALSE)</f>
        <v>628625</v>
      </c>
    </row>
    <row r="173" spans="2:9" s="5" customFormat="1" ht="18.75" customHeight="1" x14ac:dyDescent="0.25">
      <c r="B173" s="7">
        <v>168</v>
      </c>
      <c r="C173" s="11">
        <v>1280451961</v>
      </c>
      <c r="D173" s="12" t="str">
        <f>VLOOKUP(C173,[2]report!$A$2:$Q$496,3,FALSE)</f>
        <v>EKO HANGGORO WICAKSONO</v>
      </c>
      <c r="E173" s="7">
        <f>VLOOKUP(C173,[2]report!$A$2:$Q$496,4,FALSE)</f>
        <v>84067601</v>
      </c>
      <c r="F173" s="7">
        <f>VLOOKUP(C173,[2]report!$A$2:$Q$496,5,FALSE)</f>
        <v>4120177475</v>
      </c>
      <c r="G173" s="12" t="str">
        <f>VLOOKUP(C173,[2]report!$A$2:$Q$496,8,FALSE)</f>
        <v>Kota Makassar - Kota Sukabumi</v>
      </c>
      <c r="H173" s="12" t="str">
        <f>VLOOKUP(C173,[2]report!$A$2:$Q$496,9,FALSE)</f>
        <v>28/08/2025 - 30/08/2025</v>
      </c>
      <c r="I173" s="13">
        <f>VLOOKUP(C173,[2]report!$A$2:$Q$496,17,FALSE)</f>
        <v>746975</v>
      </c>
    </row>
    <row r="174" spans="2:9" s="5" customFormat="1" ht="18.75" customHeight="1" x14ac:dyDescent="0.25">
      <c r="B174" s="7">
        <v>169</v>
      </c>
      <c r="C174" s="11">
        <v>1280548362</v>
      </c>
      <c r="D174" s="12" t="str">
        <f>VLOOKUP(C174,[2]report!$A$2:$Q$496,3,FALSE)</f>
        <v>SEKARWATI CIPTOROSO</v>
      </c>
      <c r="E174" s="7">
        <f>VLOOKUP(C174,[2]report!$A$2:$Q$496,4,FALSE)</f>
        <v>96197610</v>
      </c>
      <c r="F174" s="7">
        <f>VLOOKUP(C174,[2]report!$A$2:$Q$496,5,FALSE)</f>
        <v>4120177514</v>
      </c>
      <c r="G174" s="12" t="str">
        <f>VLOOKUP(C174,[2]report!$A$2:$Q$496,8,FALSE)</f>
        <v>Kota Baubau - Kota Makassar</v>
      </c>
      <c r="H174" s="12" t="str">
        <f>VLOOKUP(C174,[2]report!$A$2:$Q$496,9,FALSE)</f>
        <v>02/09/2025 - 05/09/2025</v>
      </c>
      <c r="I174" s="13">
        <f>VLOOKUP(C174,[2]report!$A$2:$Q$496,17,FALSE)</f>
        <v>744200</v>
      </c>
    </row>
    <row r="175" spans="2:9" s="5" customFormat="1" ht="18.75" customHeight="1" x14ac:dyDescent="0.25">
      <c r="B175" s="7">
        <v>170</v>
      </c>
      <c r="C175" s="11">
        <v>1280602319</v>
      </c>
      <c r="D175" s="12" t="str">
        <f>VLOOKUP(C175,[2]report!$A$2:$Q$496,3,FALSE)</f>
        <v xml:space="preserve">JASMAN </v>
      </c>
      <c r="E175" s="7">
        <f>VLOOKUP(C175,[2]report!$A$2:$Q$496,4,FALSE)</f>
        <v>89107607</v>
      </c>
      <c r="F175" s="7">
        <f>VLOOKUP(C175,[2]report!$A$2:$Q$496,5,FALSE)</f>
        <v>4120177447</v>
      </c>
      <c r="G175" s="12" t="str">
        <f>VLOOKUP(C175,[2]report!$A$2:$Q$496,8,FALSE)</f>
        <v>Kota Makassar - Jakarta Pusat</v>
      </c>
      <c r="H175" s="12" t="str">
        <f>VLOOKUP(C175,[2]report!$A$2:$Q$496,9,FALSE)</f>
        <v>27/08/2025 - 30/08/2025</v>
      </c>
      <c r="I175" s="13">
        <f>VLOOKUP(C175,[2]report!$A$2:$Q$496,17,FALSE)</f>
        <v>750000</v>
      </c>
    </row>
    <row r="176" spans="2:9" s="5" customFormat="1" ht="18.75" customHeight="1" x14ac:dyDescent="0.25">
      <c r="B176" s="7">
        <v>171</v>
      </c>
      <c r="C176" s="11">
        <v>1280640250</v>
      </c>
      <c r="D176" s="12" t="str">
        <f>VLOOKUP(C176,[2]report!$A$2:$Q$496,3,FALSE)</f>
        <v>ISWANTO HAKIM</v>
      </c>
      <c r="E176" s="7">
        <f>VLOOKUP(C176,[2]report!$A$2:$Q$496,4,FALSE)</f>
        <v>90117611</v>
      </c>
      <c r="F176" s="7">
        <f>VLOOKUP(C176,[2]report!$A$2:$Q$496,5,FALSE)</f>
        <v>4120177480</v>
      </c>
      <c r="G176" s="12" t="str">
        <f>VLOOKUP(C176,[2]report!$A$2:$Q$496,8,FALSE)</f>
        <v>Kab. Muna - Kota Baubau</v>
      </c>
      <c r="H176" s="12" t="str">
        <f>VLOOKUP(C176,[2]report!$A$2:$Q$496,9,FALSE)</f>
        <v>28/08/2025 - 30/08/2025</v>
      </c>
      <c r="I176" s="13">
        <f>VLOOKUP(C176,[2]report!$A$2:$Q$496,17,FALSE)</f>
        <v>782655</v>
      </c>
    </row>
    <row r="177" spans="2:9" s="5" customFormat="1" ht="18.75" customHeight="1" x14ac:dyDescent="0.25">
      <c r="B177" s="7">
        <v>172</v>
      </c>
      <c r="C177" s="11">
        <v>1280636942</v>
      </c>
      <c r="D177" s="12" t="str">
        <f>VLOOKUP(C177,[2]report!$A$2:$Q$496,3,FALSE)</f>
        <v>AGUS RIANTO WIBOWO</v>
      </c>
      <c r="E177" s="7">
        <f>VLOOKUP(C177,[2]report!$A$2:$Q$496,4,FALSE)</f>
        <v>96137735</v>
      </c>
      <c r="F177" s="7">
        <f>VLOOKUP(C177,[2]report!$A$2:$Q$496,5,FALSE)</f>
        <v>4120177497</v>
      </c>
      <c r="G177" s="12" t="str">
        <f>VLOOKUP(C177,[2]report!$A$2:$Q$496,8,FALSE)</f>
        <v>Kota Kendari - Kota Makassar</v>
      </c>
      <c r="H177" s="12" t="str">
        <f>VLOOKUP(C177,[2]report!$A$2:$Q$496,9,FALSE)</f>
        <v>02/09/2025 - 05/09/2025</v>
      </c>
      <c r="I177" s="13">
        <f>VLOOKUP(C177,[2]report!$A$2:$Q$496,17,FALSE)</f>
        <v>970800</v>
      </c>
    </row>
    <row r="178" spans="2:9" s="5" customFormat="1" ht="18.75" customHeight="1" x14ac:dyDescent="0.25">
      <c r="B178" s="7">
        <v>173</v>
      </c>
      <c r="C178" s="11">
        <v>1280530544</v>
      </c>
      <c r="D178" s="12" t="str">
        <f>VLOOKUP(C178,[2]report!$A$2:$Q$496,3,FALSE)</f>
        <v>MUHAMMAD SUSGANDINATA</v>
      </c>
      <c r="E178" s="7">
        <f>VLOOKUP(C178,[2]report!$A$2:$Q$496,4,FALSE)</f>
        <v>86097601</v>
      </c>
      <c r="F178" s="7">
        <f>VLOOKUP(C178,[2]report!$A$2:$Q$496,5,FALSE)</f>
        <v>4120177435</v>
      </c>
      <c r="G178" s="12" t="str">
        <f>VLOOKUP(C178,[2]report!$A$2:$Q$496,8,FALSE)</f>
        <v>Kota Makassar - Kota Palopo</v>
      </c>
      <c r="H178" s="12" t="str">
        <f>VLOOKUP(C178,[2]report!$A$2:$Q$496,9,FALSE)</f>
        <v>27/08/2025 - 30/08/2025</v>
      </c>
      <c r="I178" s="13">
        <f>VLOOKUP(C178,[2]report!$A$2:$Q$496,17,FALSE)</f>
        <v>1355400</v>
      </c>
    </row>
    <row r="179" spans="2:9" s="5" customFormat="1" ht="18.75" customHeight="1" x14ac:dyDescent="0.25">
      <c r="B179" s="7">
        <v>174</v>
      </c>
      <c r="C179" s="11">
        <v>1280580127</v>
      </c>
      <c r="D179" s="12" t="str">
        <f>VLOOKUP(C179,[2]report!$A$2:$Q$496,3,FALSE)</f>
        <v>YOGA YUNIAR B M</v>
      </c>
      <c r="E179" s="7">
        <f>VLOOKUP(C179,[2]report!$A$2:$Q$496,4,FALSE)</f>
        <v>96196205</v>
      </c>
      <c r="F179" s="7">
        <f>VLOOKUP(C179,[2]report!$A$2:$Q$496,5,FALSE)</f>
        <v>4120177517</v>
      </c>
      <c r="G179" s="12" t="str">
        <f>VLOOKUP(C179,[2]report!$A$2:$Q$496,8,FALSE)</f>
        <v>Kab. Pinrang - Jakarta Barat</v>
      </c>
      <c r="H179" s="12" t="str">
        <f>VLOOKUP(C179,[2]report!$A$2:$Q$496,9,FALSE)</f>
        <v>30/08/2025 - 06/09/2025</v>
      </c>
      <c r="I179" s="13">
        <f>VLOOKUP(C179,[2]report!$A$2:$Q$496,17,FALSE)</f>
        <v>1547700</v>
      </c>
    </row>
    <row r="180" spans="2:9" ht="18.75" customHeight="1" x14ac:dyDescent="0.25">
      <c r="B180" s="7">
        <v>175</v>
      </c>
      <c r="C180" s="11">
        <v>1280558996</v>
      </c>
      <c r="D180" s="12" t="str">
        <f>VLOOKUP(C180,[2]report!$A$2:$Q$496,3,FALSE)</f>
        <v>SEKARWATI CIPTOROSO</v>
      </c>
      <c r="E180" s="7">
        <f>VLOOKUP(C180,[2]report!$A$2:$Q$496,4,FALSE)</f>
        <v>96197610</v>
      </c>
      <c r="F180" s="7">
        <f>VLOOKUP(C180,[2]report!$A$2:$Q$496,5,FALSE)</f>
        <v>4120177514</v>
      </c>
      <c r="G180" s="12" t="str">
        <f>VLOOKUP(C180,[2]report!$A$2:$Q$496,8,FALSE)</f>
        <v>Kota Baubau - Kota Makassar</v>
      </c>
      <c r="H180" s="12" t="str">
        <f>VLOOKUP(C180,[2]report!$A$2:$Q$496,9,FALSE)</f>
        <v>02/09/2025 - 05/09/2025</v>
      </c>
      <c r="I180" s="13">
        <f>VLOOKUP(C180,[2]report!$A$2:$Q$496,17,FALSE)</f>
        <v>1738800</v>
      </c>
    </row>
    <row r="181" spans="2:9" ht="18.75" customHeight="1" x14ac:dyDescent="0.25">
      <c r="B181" s="7">
        <v>176</v>
      </c>
      <c r="C181" s="11">
        <v>1280590472</v>
      </c>
      <c r="D181" s="12" t="str">
        <f>VLOOKUP(C181,[2]report!$A$2:$Q$496,3,FALSE)</f>
        <v xml:space="preserve">FATMAWATI </v>
      </c>
      <c r="E181" s="7">
        <f>VLOOKUP(C181,[2]report!$A$2:$Q$496,4,FALSE)</f>
        <v>86104000</v>
      </c>
      <c r="F181" s="7">
        <f>VLOOKUP(C181,[2]report!$A$2:$Q$496,5,FALSE)</f>
        <v>4120177452</v>
      </c>
      <c r="G181" s="12" t="str">
        <f>VLOOKUP(C181,[2]report!$A$2:$Q$496,8,FALSE)</f>
        <v>Kota Makassar - Jakarta Pusat</v>
      </c>
      <c r="H181" s="12" t="str">
        <f>VLOOKUP(C181,[2]report!$A$2:$Q$496,9,FALSE)</f>
        <v>27/08/2025 - 30/08/2025</v>
      </c>
      <c r="I181" s="13">
        <f>VLOOKUP(C181,[2]report!$A$2:$Q$496,17,FALSE)</f>
        <v>1750000</v>
      </c>
    </row>
    <row r="182" spans="2:9" ht="18.75" customHeight="1" x14ac:dyDescent="0.25">
      <c r="B182" s="7">
        <v>177</v>
      </c>
      <c r="C182" s="16">
        <v>1280628483</v>
      </c>
      <c r="D182" s="12" t="str">
        <f>VLOOKUP(C182,[2]report!$A$2:$Q$496,3,FALSE)</f>
        <v>M. JABAL NOOR</v>
      </c>
      <c r="E182" s="7">
        <f>VLOOKUP(C182,[2]report!$A$2:$Q$496,4,FALSE)</f>
        <v>88087601</v>
      </c>
      <c r="F182" s="7">
        <f>VLOOKUP(C182,[2]report!$A$2:$Q$496,5,FALSE)</f>
        <v>4120177501</v>
      </c>
      <c r="G182" s="12" t="str">
        <f>VLOOKUP(C182,[2]report!$A$2:$Q$496,8,FALSE)</f>
        <v>Kota Kendari - Jakarta Barat</v>
      </c>
      <c r="H182" s="12" t="str">
        <f>VLOOKUP(C182,[2]report!$A$2:$Q$496,9,FALSE)</f>
        <v>30/08/2025 - 06/09/2025</v>
      </c>
      <c r="I182" s="13">
        <f>VLOOKUP(C182,[2]report!$A$2:$Q$496,17,FALSE)</f>
        <v>1881500</v>
      </c>
    </row>
    <row r="183" spans="2:9" ht="18.75" customHeight="1" x14ac:dyDescent="0.25">
      <c r="B183" s="7">
        <v>178</v>
      </c>
      <c r="C183" s="11">
        <v>1280599920</v>
      </c>
      <c r="D183" s="12" t="str">
        <f>VLOOKUP(C183,[2]report!$A$2:$Q$496,3,FALSE)</f>
        <v>RISKY ASWARA ASWIN</v>
      </c>
      <c r="E183" s="7">
        <f>VLOOKUP(C183,[2]report!$A$2:$Q$496,4,FALSE)</f>
        <v>95187604</v>
      </c>
      <c r="F183" s="7">
        <f>VLOOKUP(C183,[2]report!$A$2:$Q$496,5,FALSE)</f>
        <v>4120177519</v>
      </c>
      <c r="G183" s="12" t="str">
        <f>VLOOKUP(C183,[2]report!$A$2:$Q$496,8,FALSE)</f>
        <v>Kota Makassar - Kota Yogyakarta</v>
      </c>
      <c r="H183" s="12" t="str">
        <f>VLOOKUP(C183,[2]report!$A$2:$Q$496,9,FALSE)</f>
        <v>01/09/2025 - 05/09/2025</v>
      </c>
      <c r="I183" s="13">
        <f>VLOOKUP(C183,[2]report!$A$2:$Q$496,17,FALSE)</f>
        <v>2329800</v>
      </c>
    </row>
    <row r="184" spans="2:9" ht="18.75" customHeight="1" x14ac:dyDescent="0.25">
      <c r="B184" s="7">
        <v>179</v>
      </c>
      <c r="C184" s="11">
        <v>1280620370</v>
      </c>
      <c r="D184" s="12" t="str">
        <f>VLOOKUP(C184,[2]report!$A$2:$Q$496,3,FALSE)</f>
        <v>MUHAMMAD REZKI NEHRU</v>
      </c>
      <c r="E184" s="7">
        <f>VLOOKUP(C184,[2]report!$A$2:$Q$496,4,FALSE)</f>
        <v>96167812</v>
      </c>
      <c r="F184" s="7">
        <f>VLOOKUP(C184,[2]report!$A$2:$Q$496,5,FALSE)</f>
        <v>4120177486</v>
      </c>
      <c r="G184" s="12" t="str">
        <f>VLOOKUP(C184,[2]report!$A$2:$Q$496,8,FALSE)</f>
        <v>Kota Makassar - Kota Cilegon</v>
      </c>
      <c r="H184" s="12" t="str">
        <f>VLOOKUP(C184,[2]report!$A$2:$Q$496,9,FALSE)</f>
        <v>31/08/2025 - 05/09/2025</v>
      </c>
      <c r="I184" s="13">
        <f>VLOOKUP(C184,[2]report!$A$2:$Q$496,17,FALSE)</f>
        <v>2349600</v>
      </c>
    </row>
    <row r="185" spans="2:9" ht="18.75" customHeight="1" x14ac:dyDescent="0.25">
      <c r="B185" s="7">
        <v>180</v>
      </c>
      <c r="C185" s="11">
        <v>1280615523</v>
      </c>
      <c r="D185" s="12" t="str">
        <f>VLOOKUP(C185,[2]report!$A$2:$Q$496,3,FALSE)</f>
        <v>M. JABAL NOOR</v>
      </c>
      <c r="E185" s="7">
        <f>VLOOKUP(C185,[2]report!$A$2:$Q$496,4,FALSE)</f>
        <v>88087601</v>
      </c>
      <c r="F185" s="7">
        <f>VLOOKUP(C185,[2]report!$A$2:$Q$496,5,FALSE)</f>
        <v>4120177501</v>
      </c>
      <c r="G185" s="12" t="str">
        <f>VLOOKUP(C185,[2]report!$A$2:$Q$496,8,FALSE)</f>
        <v>Kota Kendari - Jakarta Barat</v>
      </c>
      <c r="H185" s="12" t="str">
        <f>VLOOKUP(C185,[2]report!$A$2:$Q$496,9,FALSE)</f>
        <v>30/08/2025 - 06/09/2025</v>
      </c>
      <c r="I185" s="13">
        <f>VLOOKUP(C185,[2]report!$A$2:$Q$496,17,FALSE)</f>
        <v>2422000</v>
      </c>
    </row>
    <row r="186" spans="2:9" ht="18.75" customHeight="1" x14ac:dyDescent="0.25">
      <c r="B186" s="7">
        <v>181</v>
      </c>
      <c r="C186" s="11">
        <v>1280637841</v>
      </c>
      <c r="D186" s="12" t="str">
        <f>VLOOKUP(C186,[2]report!$A$2:$Q$496,3,FALSE)</f>
        <v>MUH. RIYAN MIFTA</v>
      </c>
      <c r="E186" s="7">
        <f>VLOOKUP(C186,[2]report!$A$2:$Q$496,4,FALSE)</f>
        <v>96187604</v>
      </c>
      <c r="F186" s="7">
        <f>VLOOKUP(C186,[2]report!$A$2:$Q$496,5,FALSE)</f>
        <v>4120177502</v>
      </c>
      <c r="G186" s="12" t="str">
        <f>VLOOKUP(C186,[2]report!$A$2:$Q$496,8,FALSE)</f>
        <v>Kab. Mamuju - Kota Cilegon</v>
      </c>
      <c r="H186" s="12" t="str">
        <f>VLOOKUP(C186,[2]report!$A$2:$Q$496,9,FALSE)</f>
        <v>31/08/2025 - 05/09/2025</v>
      </c>
      <c r="I186" s="13">
        <f>VLOOKUP(C186,[2]report!$A$2:$Q$496,17,FALSE)</f>
        <v>2643000</v>
      </c>
    </row>
    <row r="187" spans="2:9" ht="18.75" customHeight="1" x14ac:dyDescent="0.25">
      <c r="B187" s="7">
        <v>182</v>
      </c>
      <c r="C187" s="11">
        <v>1280628422</v>
      </c>
      <c r="D187" s="12" t="str">
        <f>VLOOKUP(C187,[2]report!$A$2:$Q$496,3,FALSE)</f>
        <v>NUR LAYLA SARI HS</v>
      </c>
      <c r="E187" s="7">
        <f>VLOOKUP(C187,[2]report!$A$2:$Q$496,4,FALSE)</f>
        <v>93177609</v>
      </c>
      <c r="F187" s="7">
        <f>VLOOKUP(C187,[2]report!$A$2:$Q$496,5,FALSE)</f>
        <v>4120177518</v>
      </c>
      <c r="G187" s="12" t="str">
        <f>VLOOKUP(C187,[2]report!$A$2:$Q$496,8,FALSE)</f>
        <v>Kota Makassar - Jakarta Barat</v>
      </c>
      <c r="H187" s="12" t="str">
        <f>VLOOKUP(C187,[2]report!$A$2:$Q$496,9,FALSE)</f>
        <v>30/08/2025 - 06/09/2025</v>
      </c>
      <c r="I187" s="13">
        <f>VLOOKUP(C187,[2]report!$A$2:$Q$496,17,FALSE)</f>
        <v>4735300</v>
      </c>
    </row>
    <row r="188" spans="2:9" ht="18.75" customHeight="1" x14ac:dyDescent="0.25">
      <c r="B188" s="7">
        <v>183</v>
      </c>
      <c r="C188" s="11">
        <v>1280674442</v>
      </c>
      <c r="D188" s="12" t="str">
        <f>VLOOKUP(C188,[2]report!$A$2:$Q$496,3,FALSE)</f>
        <v xml:space="preserve">JASMAN </v>
      </c>
      <c r="E188" s="7">
        <f>VLOOKUP(C188,[2]report!$A$2:$Q$496,4,FALSE)</f>
        <v>89107607</v>
      </c>
      <c r="F188" s="7">
        <f>VLOOKUP(C188,[2]report!$A$2:$Q$496,5,FALSE)</f>
        <v>4120177447</v>
      </c>
      <c r="G188" s="12" t="str">
        <f>VLOOKUP(C188,[2]report!$A$2:$Q$496,8,FALSE)</f>
        <v>Kota Makassar - Jakarta Pusat</v>
      </c>
      <c r="H188" s="12" t="str">
        <f>VLOOKUP(C188,[2]report!$A$2:$Q$496,9,FALSE)</f>
        <v>27/08/2025 - 30/08/2025</v>
      </c>
      <c r="I188" s="13">
        <f>VLOOKUP(C188,[2]report!$A$2:$Q$496,17,FALSE)</f>
        <v>1787100</v>
      </c>
    </row>
    <row r="189" spans="2:9" ht="18.75" customHeight="1" x14ac:dyDescent="0.25">
      <c r="B189" s="7">
        <v>184</v>
      </c>
      <c r="C189" s="11">
        <v>1280756627</v>
      </c>
      <c r="D189" s="12" t="str">
        <f>VLOOKUP(C189,[2]report!$A$2:$Q$496,3,FALSE)</f>
        <v>MUHAMMAD ROYAN BUDI RINALDY</v>
      </c>
      <c r="E189" s="7">
        <f>VLOOKUP(C189,[2]report!$A$2:$Q$496,4,FALSE)</f>
        <v>85128000</v>
      </c>
      <c r="F189" s="7">
        <f>VLOOKUP(C189,[2]report!$A$2:$Q$496,5,FALSE)</f>
        <v>4120177521</v>
      </c>
      <c r="G189" s="12" t="str">
        <f>VLOOKUP(C189,[2]report!$A$2:$Q$496,8,FALSE)</f>
        <v>Kota Makassar - Kota Yogyakarta</v>
      </c>
      <c r="H189" s="12" t="str">
        <f>VLOOKUP(C189,[2]report!$A$2:$Q$496,9,FALSE)</f>
        <v>01/09/2025 - 05/09/2025</v>
      </c>
      <c r="I189" s="13">
        <f>VLOOKUP(C189,[2]report!$A$2:$Q$496,17,FALSE)</f>
        <v>1330000</v>
      </c>
    </row>
    <row r="190" spans="2:9" ht="18.75" customHeight="1" x14ac:dyDescent="0.25">
      <c r="B190" s="7">
        <v>185</v>
      </c>
      <c r="C190" s="11">
        <v>1280770841</v>
      </c>
      <c r="D190" s="12" t="str">
        <f>VLOOKUP(C190,[2]report!$A$2:$Q$496,3,FALSE)</f>
        <v>RESJAN MANAYA SAMBARA</v>
      </c>
      <c r="E190" s="7">
        <f>VLOOKUP(C190,[2]report!$A$2:$Q$496,4,FALSE)</f>
        <v>91107603</v>
      </c>
      <c r="F190" s="7">
        <f>VLOOKUP(C190,[2]report!$A$2:$Q$496,5,FALSE)</f>
        <v>4120177507</v>
      </c>
      <c r="G190" s="12" t="str">
        <f>VLOOKUP(C190,[2]report!$A$2:$Q$496,8,FALSE)</f>
        <v>Kota Makassar - Kota Yogyakarta</v>
      </c>
      <c r="H190" s="12" t="str">
        <f>VLOOKUP(C190,[2]report!$A$2:$Q$496,9,FALSE)</f>
        <v>01/09/2025 - 05/09/2025</v>
      </c>
      <c r="I190" s="13">
        <f>VLOOKUP(C190,[2]report!$A$2:$Q$496,17,FALSE)</f>
        <v>1330000</v>
      </c>
    </row>
    <row r="191" spans="2:9" ht="18.75" customHeight="1" x14ac:dyDescent="0.25">
      <c r="B191" s="7">
        <v>186</v>
      </c>
      <c r="C191" s="11">
        <v>1280775598</v>
      </c>
      <c r="D191" s="12" t="str">
        <f>VLOOKUP(C191,[2]report!$A$2:$Q$496,3,FALSE)</f>
        <v>ANDY JUNIWASTIAR</v>
      </c>
      <c r="E191" s="7">
        <f>VLOOKUP(C191,[2]report!$A$2:$Q$496,4,FALSE)</f>
        <v>91107606</v>
      </c>
      <c r="F191" s="7">
        <f>VLOOKUP(C191,[2]report!$A$2:$Q$496,5,FALSE)</f>
        <v>4120177526</v>
      </c>
      <c r="G191" s="12" t="str">
        <f>VLOOKUP(C191,[2]report!$A$2:$Q$496,8,FALSE)</f>
        <v>Kota Makassar - Kota Yogyakarta</v>
      </c>
      <c r="H191" s="12" t="str">
        <f>VLOOKUP(C191,[2]report!$A$2:$Q$496,9,FALSE)</f>
        <v>01/09/2025 - 05/09/2025</v>
      </c>
      <c r="I191" s="13">
        <f>VLOOKUP(C191,[2]report!$A$2:$Q$496,17,FALSE)</f>
        <v>1330000</v>
      </c>
    </row>
    <row r="192" spans="2:9" ht="18.75" customHeight="1" x14ac:dyDescent="0.25">
      <c r="B192" s="7">
        <v>187</v>
      </c>
      <c r="C192" s="11">
        <v>1280750410</v>
      </c>
      <c r="D192" s="12" t="str">
        <f>VLOOKUP(C192,[2]report!$A$2:$Q$496,3,FALSE)</f>
        <v>ARMAN ARIF</v>
      </c>
      <c r="E192" s="7">
        <f>VLOOKUP(C192,[2]report!$A$2:$Q$496,4,FALSE)</f>
        <v>88087610</v>
      </c>
      <c r="F192" s="7">
        <f>VLOOKUP(C192,[2]report!$A$2:$Q$496,5,FALSE)</f>
        <v>4120177516</v>
      </c>
      <c r="G192" s="12" t="str">
        <f>VLOOKUP(C192,[2]report!$A$2:$Q$496,8,FALSE)</f>
        <v>Kota Palopo - Jakarta Barat</v>
      </c>
      <c r="H192" s="12" t="str">
        <f>VLOOKUP(C192,[2]report!$A$2:$Q$496,9,FALSE)</f>
        <v>30/08/2025 - 06/09/2025</v>
      </c>
      <c r="I192" s="13">
        <f>VLOOKUP(C192,[2]report!$A$2:$Q$496,17,FALSE)</f>
        <v>3724700</v>
      </c>
    </row>
    <row r="193" spans="2:9" ht="18.75" customHeight="1" x14ac:dyDescent="0.25">
      <c r="B193" s="7">
        <v>188</v>
      </c>
      <c r="C193" s="11">
        <v>1280897809</v>
      </c>
      <c r="D193" s="12" t="str">
        <f>VLOOKUP(C193,[2]report!$A$2:$Q$496,3,FALSE)</f>
        <v>YOGA YUNIAR B M</v>
      </c>
      <c r="E193" s="7">
        <f>VLOOKUP(C193,[2]report!$A$2:$Q$496,4,FALSE)</f>
        <v>96196205</v>
      </c>
      <c r="F193" s="7">
        <f>VLOOKUP(C193,[2]report!$A$2:$Q$496,5,FALSE)</f>
        <v>4120177517</v>
      </c>
      <c r="G193" s="12" t="str">
        <f>VLOOKUP(C193,[2]report!$A$2:$Q$496,8,FALSE)</f>
        <v>Kab. Pinrang - Jakarta Barat</v>
      </c>
      <c r="H193" s="12" t="str">
        <f>VLOOKUP(C193,[2]report!$A$2:$Q$496,9,FALSE)</f>
        <v>30/08/2025 - 06/09/2025</v>
      </c>
      <c r="I193" s="13">
        <f>VLOOKUP(C193,[2]report!$A$2:$Q$496,17,FALSE)</f>
        <v>637338</v>
      </c>
    </row>
    <row r="194" spans="2:9" ht="18.75" customHeight="1" x14ac:dyDescent="0.25">
      <c r="B194" s="7">
        <v>189</v>
      </c>
      <c r="C194" s="11">
        <v>1280738301</v>
      </c>
      <c r="D194" s="12" t="str">
        <f>VLOOKUP(C194,[2]report!$A$2:$Q$496,3,FALSE)</f>
        <v>MUH. RIYAN MIFTA</v>
      </c>
      <c r="E194" s="7">
        <f>VLOOKUP(C194,[2]report!$A$2:$Q$496,4,FALSE)</f>
        <v>96187604</v>
      </c>
      <c r="F194" s="7">
        <f>VLOOKUP(C194,[2]report!$A$2:$Q$496,5,FALSE)</f>
        <v>4120177502</v>
      </c>
      <c r="G194" s="12" t="str">
        <f>VLOOKUP(C194,[2]report!$A$2:$Q$496,8,FALSE)</f>
        <v>Kab. Mamuju - Kota Cilegon</v>
      </c>
      <c r="H194" s="12" t="str">
        <f>VLOOKUP(C194,[2]report!$A$2:$Q$496,9,FALSE)</f>
        <v>31/08/2025 - 05/09/2025</v>
      </c>
      <c r="I194" s="13">
        <f>VLOOKUP(C194,[2]report!$A$2:$Q$496,17,FALSE)</f>
        <v>2595600</v>
      </c>
    </row>
    <row r="195" spans="2:9" ht="18.75" customHeight="1" x14ac:dyDescent="0.25">
      <c r="B195" s="7">
        <v>190</v>
      </c>
      <c r="C195" s="11">
        <v>1281531139</v>
      </c>
      <c r="D195" s="12" t="str">
        <f>VLOOKUP(C195,[2]report!$A$2:$Q$496,3,FALSE)</f>
        <v>RATHY SHINTA UTAMI</v>
      </c>
      <c r="E195" s="7">
        <f>VLOOKUP(C195,[2]report!$A$2:$Q$496,4,FALSE)</f>
        <v>86093800</v>
      </c>
      <c r="F195" s="7">
        <f>VLOOKUP(C195,[2]report!$A$2:$Q$496,5,FALSE)</f>
        <v>4120177479</v>
      </c>
      <c r="G195" s="12" t="str">
        <f>VLOOKUP(C195,[2]report!$A$2:$Q$496,8,FALSE)</f>
        <v>Kota Makassar - Kab. Mamuju</v>
      </c>
      <c r="H195" s="12" t="str">
        <f>VLOOKUP(C195,[2]report!$A$2:$Q$496,9,FALSE)</f>
        <v>03/09/2025 - 05/09/2025</v>
      </c>
      <c r="I195" s="13">
        <f>VLOOKUP(C195,[2]report!$A$2:$Q$496,17,FALSE)</f>
        <v>778500</v>
      </c>
    </row>
    <row r="196" spans="2:9" ht="18.75" customHeight="1" x14ac:dyDescent="0.25">
      <c r="B196" s="7">
        <v>191</v>
      </c>
      <c r="C196" s="11">
        <v>1281413447</v>
      </c>
      <c r="D196" s="12" t="str">
        <f>VLOOKUP(C196,[2]report!$A$2:$Q$496,3,FALSE)</f>
        <v>RATHY SHINTA UTAMI</v>
      </c>
      <c r="E196" s="7">
        <f>VLOOKUP(C196,[2]report!$A$2:$Q$496,4,FALSE)</f>
        <v>86093800</v>
      </c>
      <c r="F196" s="7">
        <f>VLOOKUP(C196,[2]report!$A$2:$Q$496,5,FALSE)</f>
        <v>4120177479</v>
      </c>
      <c r="G196" s="12" t="str">
        <f>VLOOKUP(C196,[2]report!$A$2:$Q$496,8,FALSE)</f>
        <v>Kota Makassar - Kab. Mamuju</v>
      </c>
      <c r="H196" s="12" t="str">
        <f>VLOOKUP(C196,[2]report!$A$2:$Q$496,9,FALSE)</f>
        <v>31/08/2025 - 03/09/2025</v>
      </c>
      <c r="I196" s="13">
        <f>VLOOKUP(C196,[2]report!$A$2:$Q$496,17,FALSE)</f>
        <v>873400</v>
      </c>
    </row>
    <row r="197" spans="2:9" ht="18.75" customHeight="1" x14ac:dyDescent="0.25">
      <c r="B197" s="7">
        <v>192</v>
      </c>
      <c r="C197" s="11">
        <v>1281513970</v>
      </c>
      <c r="D197" s="12" t="str">
        <f>VLOOKUP(C197,[2]report!$A$2:$Q$496,3,FALSE)</f>
        <v>RESJAN MANAYA SAMBARA</v>
      </c>
      <c r="E197" s="7">
        <f>VLOOKUP(C197,[2]report!$A$2:$Q$496,4,FALSE)</f>
        <v>91107603</v>
      </c>
      <c r="F197" s="7">
        <f>VLOOKUP(C197,[2]report!$A$2:$Q$496,5,FALSE)</f>
        <v>4120177507</v>
      </c>
      <c r="G197" s="12" t="str">
        <f>VLOOKUP(C197,[2]report!$A$2:$Q$496,8,FALSE)</f>
        <v>Kota Makassar - Kota Yogyakarta</v>
      </c>
      <c r="H197" s="12" t="str">
        <f>VLOOKUP(C197,[2]report!$A$2:$Q$496,9,FALSE)</f>
        <v>01/09/2025 - 05/09/2025</v>
      </c>
      <c r="I197" s="13">
        <f>VLOOKUP(C197,[2]report!$A$2:$Q$496,17,FALSE)</f>
        <v>1134200</v>
      </c>
    </row>
    <row r="198" spans="2:9" ht="18.75" customHeight="1" x14ac:dyDescent="0.25">
      <c r="B198" s="7">
        <v>193</v>
      </c>
      <c r="C198" s="11">
        <v>1281517448</v>
      </c>
      <c r="D198" s="12" t="str">
        <f>VLOOKUP(C198,[2]report!$A$2:$Q$496,3,FALSE)</f>
        <v>ANDY JUNIWASTIAR</v>
      </c>
      <c r="E198" s="7">
        <f>VLOOKUP(C198,[2]report!$A$2:$Q$496,4,FALSE)</f>
        <v>91107606</v>
      </c>
      <c r="F198" s="7">
        <f>VLOOKUP(C198,[2]report!$A$2:$Q$496,5,FALSE)</f>
        <v>4120177526</v>
      </c>
      <c r="G198" s="12" t="str">
        <f>VLOOKUP(C198,[2]report!$A$2:$Q$496,8,FALSE)</f>
        <v>Kota Makassar - Kota Yogyakarta</v>
      </c>
      <c r="H198" s="12" t="str">
        <f>VLOOKUP(C198,[2]report!$A$2:$Q$496,9,FALSE)</f>
        <v>01/09/2025 - 05/09/2025</v>
      </c>
      <c r="I198" s="13">
        <f>VLOOKUP(C198,[2]report!$A$2:$Q$496,17,FALSE)</f>
        <v>1134200</v>
      </c>
    </row>
    <row r="199" spans="2:9" ht="18.75" customHeight="1" x14ac:dyDescent="0.25">
      <c r="B199" s="7">
        <v>194</v>
      </c>
      <c r="C199" s="11">
        <v>1281427064</v>
      </c>
      <c r="D199" s="12" t="str">
        <f>VLOOKUP(C199,[2]report!$A$2:$Q$496,3,FALSE)</f>
        <v>KOMANG YEHUDA PRAWIRA</v>
      </c>
      <c r="E199" s="7">
        <f>VLOOKUP(C199,[2]report!$A$2:$Q$496,4,FALSE)</f>
        <v>86098203</v>
      </c>
      <c r="F199" s="7">
        <f>VLOOKUP(C199,[2]report!$A$2:$Q$496,5,FALSE)</f>
        <v>4120177539</v>
      </c>
      <c r="G199" s="12" t="str">
        <f>VLOOKUP(C199,[2]report!$A$2:$Q$496,8,FALSE)</f>
        <v>Kota Makassar - Kab. Mamuju</v>
      </c>
      <c r="H199" s="12" t="str">
        <f>VLOOKUP(C199,[2]report!$A$2:$Q$496,9,FALSE)</f>
        <v>03/09/2025 - 05/09/2025</v>
      </c>
      <c r="I199" s="13">
        <f>VLOOKUP(C199,[2]report!$A$2:$Q$496,17,FALSE)</f>
        <v>1651900</v>
      </c>
    </row>
    <row r="200" spans="2:9" ht="18.75" customHeight="1" x14ac:dyDescent="0.25">
      <c r="B200" s="7">
        <v>195</v>
      </c>
      <c r="C200" s="11">
        <v>1281674926</v>
      </c>
      <c r="D200" s="12" t="str">
        <f>VLOOKUP(C200,[2]report!$A$2:$Q$496,3,FALSE)</f>
        <v>MUHAMMAD ROYAN BUDI RINALDY</v>
      </c>
      <c r="E200" s="7">
        <f>VLOOKUP(C200,[2]report!$A$2:$Q$496,4,FALSE)</f>
        <v>85128000</v>
      </c>
      <c r="F200" s="7">
        <f>VLOOKUP(C200,[2]report!$A$2:$Q$496,5,FALSE)</f>
        <v>4120177521</v>
      </c>
      <c r="G200" s="12" t="str">
        <f>VLOOKUP(C200,[2]report!$A$2:$Q$496,8,FALSE)</f>
        <v>Kota Makassar - Kota Yogyakarta</v>
      </c>
      <c r="H200" s="12" t="str">
        <f>VLOOKUP(C200,[2]report!$A$2:$Q$496,9,FALSE)</f>
        <v>01/09/2025 - 05/09/2025</v>
      </c>
      <c r="I200" s="13">
        <f>VLOOKUP(C200,[2]report!$A$2:$Q$496,17,FALSE)</f>
        <v>1134200</v>
      </c>
    </row>
    <row r="201" spans="2:9" ht="18.75" customHeight="1" x14ac:dyDescent="0.25">
      <c r="B201" s="7">
        <v>196</v>
      </c>
      <c r="C201" s="11">
        <v>1281744423</v>
      </c>
      <c r="D201" s="12" t="str">
        <f>VLOOKUP(C201,[2]report!$A$2:$Q$496,3,FALSE)</f>
        <v>MUHAMMAD REZKI NEHRU</v>
      </c>
      <c r="E201" s="7">
        <f>VLOOKUP(C201,[2]report!$A$2:$Q$496,4,FALSE)</f>
        <v>96167812</v>
      </c>
      <c r="F201" s="7">
        <f>VLOOKUP(C201,[2]report!$A$2:$Q$496,5,FALSE)</f>
        <v>4120177486</v>
      </c>
      <c r="G201" s="12" t="str">
        <f>VLOOKUP(C201,[2]report!$A$2:$Q$496,8,FALSE)</f>
        <v>Kota Makassar - Kota Cilegon</v>
      </c>
      <c r="H201" s="12" t="str">
        <f>VLOOKUP(C201,[2]report!$A$2:$Q$496,9,FALSE)</f>
        <v>31/08/2025 - 05/09/2025</v>
      </c>
      <c r="I201" s="13">
        <f>VLOOKUP(C201,[2]report!$A$2:$Q$496,17,FALSE)</f>
        <v>1431600</v>
      </c>
    </row>
    <row r="202" spans="2:9" ht="18.75" customHeight="1" x14ac:dyDescent="0.25">
      <c r="B202" s="7">
        <v>197</v>
      </c>
      <c r="C202" s="11">
        <v>1281656532</v>
      </c>
      <c r="D202" s="12" t="str">
        <f>VLOOKUP(C202,[2]report!$A$2:$Q$496,3,FALSE)</f>
        <v>YOGA YUNIAR B M</v>
      </c>
      <c r="E202" s="7">
        <f>VLOOKUP(C202,[2]report!$A$2:$Q$496,4,FALSE)</f>
        <v>96196205</v>
      </c>
      <c r="F202" s="7">
        <f>VLOOKUP(C202,[2]report!$A$2:$Q$496,5,FALSE)</f>
        <v>4120177517</v>
      </c>
      <c r="G202" s="12" t="str">
        <f>VLOOKUP(C202,[2]report!$A$2:$Q$496,8,FALSE)</f>
        <v>Kab. Pinrang - Jakarta Barat</v>
      </c>
      <c r="H202" s="12" t="str">
        <f>VLOOKUP(C202,[2]report!$A$2:$Q$496,9,FALSE)</f>
        <v>30/08/2025 - 06/09/2025</v>
      </c>
      <c r="I202" s="13">
        <f>VLOOKUP(C202,[2]report!$A$2:$Q$496,17,FALSE)</f>
        <v>1431600</v>
      </c>
    </row>
    <row r="203" spans="2:9" ht="18.75" customHeight="1" x14ac:dyDescent="0.25">
      <c r="B203" s="7">
        <v>198</v>
      </c>
      <c r="C203" s="11">
        <v>1281853254</v>
      </c>
      <c r="D203" s="12" t="str">
        <f>VLOOKUP(C203,[2]report!$A$2:$Q$496,3,FALSE)</f>
        <v>MUH. RIYAN MIFTA</v>
      </c>
      <c r="E203" s="7">
        <f>VLOOKUP(C203,[2]report!$A$2:$Q$496,4,FALSE)</f>
        <v>96187604</v>
      </c>
      <c r="F203" s="7">
        <f>VLOOKUP(C203,[2]report!$A$2:$Q$496,5,FALSE)</f>
        <v>4120177502</v>
      </c>
      <c r="G203" s="12" t="str">
        <f>VLOOKUP(C203,[2]report!$A$2:$Q$496,8,FALSE)</f>
        <v>Kab. Mamuju - Kota Cilegon</v>
      </c>
      <c r="H203" s="12" t="str">
        <f>VLOOKUP(C203,[2]report!$A$2:$Q$496,9,FALSE)</f>
        <v>31/08/2025 - 05/09/2025</v>
      </c>
      <c r="I203" s="13">
        <f>VLOOKUP(C203,[2]report!$A$2:$Q$496,17,FALSE)</f>
        <v>2371200</v>
      </c>
    </row>
    <row r="204" spans="2:9" ht="18.75" customHeight="1" x14ac:dyDescent="0.25">
      <c r="B204" s="7">
        <v>199</v>
      </c>
      <c r="C204" s="11">
        <v>1282019059</v>
      </c>
      <c r="D204" s="12" t="str">
        <f>VLOOKUP(C204,[2]report!$A$2:$Q$496,3,FALSE)</f>
        <v xml:space="preserve">EDYANSYAH </v>
      </c>
      <c r="E204" s="7">
        <f>VLOOKUP(C204,[2]report!$A$2:$Q$496,4,FALSE)</f>
        <v>70957602</v>
      </c>
      <c r="F204" s="7">
        <f>VLOOKUP(C204,[2]report!$A$2:$Q$496,5,FALSE)</f>
        <v>4120177579</v>
      </c>
      <c r="G204" s="12" t="str">
        <f>VLOOKUP(C204,[2]report!$A$2:$Q$496,8,FALSE)</f>
        <v>Kota Makassar - Kab. Bombana - Jakarta Pusat</v>
      </c>
      <c r="H204" s="12" t="str">
        <f>VLOOKUP(C204,[2]report!$A$2:$Q$496,9,FALSE)</f>
        <v>08/09/2025 - 12/09/2025</v>
      </c>
      <c r="I204" s="13">
        <f>VLOOKUP(C204,[2]report!$A$2:$Q$496,17,FALSE)</f>
        <v>915000</v>
      </c>
    </row>
    <row r="205" spans="2:9" ht="18.75" customHeight="1" x14ac:dyDescent="0.25">
      <c r="B205" s="7">
        <v>200</v>
      </c>
      <c r="C205" s="11">
        <v>1282067546</v>
      </c>
      <c r="D205" s="12" t="str">
        <f>VLOOKUP(C205,[2]report!$A$2:$Q$496,3,FALSE)</f>
        <v>AGUS SALIM</v>
      </c>
      <c r="E205" s="7">
        <f>VLOOKUP(C205,[2]report!$A$2:$Q$496,4,FALSE)</f>
        <v>75947601</v>
      </c>
      <c r="F205" s="7">
        <f>VLOOKUP(C205,[2]report!$A$2:$Q$496,5,FALSE)</f>
        <v>4120177585</v>
      </c>
      <c r="G205" s="12" t="str">
        <f>VLOOKUP(C205,[2]report!$A$2:$Q$496,8,FALSE)</f>
        <v>Kota Makassar - Kota Kendari</v>
      </c>
      <c r="H205" s="12" t="str">
        <f>VLOOKUP(C205,[2]report!$A$2:$Q$496,9,FALSE)</f>
        <v>08/09/2025 - 10/09/2025</v>
      </c>
      <c r="I205" s="13">
        <f>VLOOKUP(C205,[2]report!$A$2:$Q$496,17,FALSE)</f>
        <v>990700</v>
      </c>
    </row>
    <row r="206" spans="2:9" ht="18.75" customHeight="1" x14ac:dyDescent="0.25">
      <c r="B206" s="7">
        <v>201</v>
      </c>
      <c r="C206" s="11">
        <v>1282127514</v>
      </c>
      <c r="D206" s="12" t="str">
        <f>VLOOKUP(C206,[2]report!$A$2:$Q$496,3,FALSE)</f>
        <v>BAYU BASKORO</v>
      </c>
      <c r="E206" s="7">
        <f>VLOOKUP(C206,[2]report!$A$2:$Q$496,4,FALSE)</f>
        <v>96197613</v>
      </c>
      <c r="F206" s="7">
        <f>VLOOKUP(C206,[2]report!$A$2:$Q$496,5,FALSE)</f>
        <v>4120177567</v>
      </c>
      <c r="G206" s="12" t="str">
        <f>VLOOKUP(C206,[2]report!$A$2:$Q$496,8,FALSE)</f>
        <v>Kota Makassar - Jakarta Pusat</v>
      </c>
      <c r="H206" s="12" t="str">
        <f>VLOOKUP(C206,[2]report!$A$2:$Q$496,9,FALSE)</f>
        <v>08/09/2025 - 09/09/2025</v>
      </c>
      <c r="I206" s="13">
        <f>VLOOKUP(C206,[2]report!$A$2:$Q$496,17,FALSE)</f>
        <v>810000</v>
      </c>
    </row>
    <row r="207" spans="2:9" ht="18.75" customHeight="1" x14ac:dyDescent="0.25">
      <c r="B207" s="7">
        <v>202</v>
      </c>
      <c r="C207" s="11">
        <v>1282123254</v>
      </c>
      <c r="D207" s="12" t="str">
        <f>VLOOKUP(C207,[2]report!$A$2:$Q$496,3,FALSE)</f>
        <v>EKO WAHYU PRASONGKO</v>
      </c>
      <c r="E207" s="7">
        <f>VLOOKUP(C207,[2]report!$A$2:$Q$496,4,FALSE)</f>
        <v>72937606</v>
      </c>
      <c r="F207" s="7">
        <f>VLOOKUP(C207,[2]report!$A$2:$Q$496,5,FALSE)</f>
        <v>4120177577</v>
      </c>
      <c r="G207" s="12" t="str">
        <f>VLOOKUP(C207,[2]report!$A$2:$Q$496,8,FALSE)</f>
        <v>Kota Makassar - Kab. Bombana</v>
      </c>
      <c r="H207" s="12" t="str">
        <f>VLOOKUP(C207,[2]report!$A$2:$Q$496,9,FALSE)</f>
        <v>08/09/2025 - 10/09/2025</v>
      </c>
      <c r="I207" s="13">
        <f>VLOOKUP(C207,[2]report!$A$2:$Q$496,17,FALSE)</f>
        <v>975800</v>
      </c>
    </row>
    <row r="208" spans="2:9" ht="18.75" customHeight="1" x14ac:dyDescent="0.25">
      <c r="B208" s="7">
        <v>203</v>
      </c>
      <c r="C208" s="11">
        <v>1282125756</v>
      </c>
      <c r="D208" s="12" t="str">
        <f>VLOOKUP(C208,[2]report!$A$2:$Q$496,3,FALSE)</f>
        <v>EKO WAHYU PRASONGKO</v>
      </c>
      <c r="E208" s="7">
        <f>VLOOKUP(C208,[2]report!$A$2:$Q$496,4,FALSE)</f>
        <v>72937606</v>
      </c>
      <c r="F208" s="7">
        <f>VLOOKUP(C208,[2]report!$A$2:$Q$496,5,FALSE)</f>
        <v>4120177577</v>
      </c>
      <c r="G208" s="12" t="str">
        <f>VLOOKUP(C208,[2]report!$A$2:$Q$496,8,FALSE)</f>
        <v>Kota Makassar - Kab. Bombana</v>
      </c>
      <c r="H208" s="12" t="str">
        <f>VLOOKUP(C208,[2]report!$A$2:$Q$496,9,FALSE)</f>
        <v>08/09/2025 - 10/09/2025</v>
      </c>
      <c r="I208" s="13">
        <f>VLOOKUP(C208,[2]report!$A$2:$Q$496,17,FALSE)</f>
        <v>1600000</v>
      </c>
    </row>
    <row r="209" spans="2:9" ht="18.75" customHeight="1" x14ac:dyDescent="0.25">
      <c r="B209" s="7">
        <v>204</v>
      </c>
      <c r="C209" s="11">
        <v>1282128832</v>
      </c>
      <c r="D209" s="12" t="str">
        <f>VLOOKUP(C209,[2]report!$A$2:$Q$496,3,FALSE)</f>
        <v xml:space="preserve">EDYANSYAH </v>
      </c>
      <c r="E209" s="7">
        <f>VLOOKUP(C209,[2]report!$A$2:$Q$496,4,FALSE)</f>
        <v>70957602</v>
      </c>
      <c r="F209" s="7">
        <f>VLOOKUP(C209,[2]report!$A$2:$Q$496,5,FALSE)</f>
        <v>4120177579</v>
      </c>
      <c r="G209" s="12" t="str">
        <f>VLOOKUP(C209,[2]report!$A$2:$Q$496,8,FALSE)</f>
        <v>Kota Makassar - Kab. Bombana - Jakarta Pusat</v>
      </c>
      <c r="H209" s="12" t="str">
        <f>VLOOKUP(C209,[2]report!$A$2:$Q$496,9,FALSE)</f>
        <v>08/09/2025 - 12/09/2025</v>
      </c>
      <c r="I209" s="13">
        <f>VLOOKUP(C209,[2]report!$A$2:$Q$496,17,FALSE)</f>
        <v>1600000</v>
      </c>
    </row>
    <row r="210" spans="2:9" ht="18.75" customHeight="1" x14ac:dyDescent="0.25">
      <c r="B210" s="7">
        <v>205</v>
      </c>
      <c r="C210" s="16">
        <v>1282131581</v>
      </c>
      <c r="D210" s="12" t="str">
        <f>VLOOKUP(C210,[2]report!$A$2:$Q$496,3,FALSE)</f>
        <v>BAYU BASKORO</v>
      </c>
      <c r="E210" s="7">
        <f>VLOOKUP(C210,[2]report!$A$2:$Q$496,4,FALSE)</f>
        <v>96197613</v>
      </c>
      <c r="F210" s="7">
        <f>VLOOKUP(C210,[2]report!$A$2:$Q$496,5,FALSE)</f>
        <v>4120177567</v>
      </c>
      <c r="G210" s="12" t="str">
        <f>VLOOKUP(C210,[2]report!$A$2:$Q$496,8,FALSE)</f>
        <v>Kota Makassar - Jakarta Pusat</v>
      </c>
      <c r="H210" s="12" t="str">
        <f>VLOOKUP(C210,[2]report!$A$2:$Q$496,9,FALSE)</f>
        <v>08/09/2025 - 09/09/2025</v>
      </c>
      <c r="I210" s="13">
        <f>VLOOKUP(C210,[2]report!$A$2:$Q$496,17,FALSE)</f>
        <v>1874200</v>
      </c>
    </row>
    <row r="211" spans="2:9" ht="18.75" customHeight="1" x14ac:dyDescent="0.25">
      <c r="B211" s="7">
        <v>206</v>
      </c>
      <c r="C211" s="11">
        <v>1282121674</v>
      </c>
      <c r="D211" s="12" t="str">
        <f>VLOOKUP(C211,[2]report!$A$2:$Q$496,3,FALSE)</f>
        <v>BAYU BASKORO</v>
      </c>
      <c r="E211" s="7">
        <f>VLOOKUP(C211,[2]report!$A$2:$Q$496,4,FALSE)</f>
        <v>96197613</v>
      </c>
      <c r="F211" s="7">
        <f>VLOOKUP(C211,[2]report!$A$2:$Q$496,5,FALSE)</f>
        <v>4120177567</v>
      </c>
      <c r="G211" s="12" t="str">
        <f>VLOOKUP(C211,[2]report!$A$2:$Q$496,8,FALSE)</f>
        <v>Kota Makassar - Jakarta Pusat</v>
      </c>
      <c r="H211" s="12" t="str">
        <f>VLOOKUP(C211,[2]report!$A$2:$Q$496,9,FALSE)</f>
        <v>08/09/2025 - 09/09/2025</v>
      </c>
      <c r="I211" s="13">
        <f>VLOOKUP(C211,[2]report!$A$2:$Q$496,17,FALSE)</f>
        <v>2289800</v>
      </c>
    </row>
    <row r="212" spans="2:9" ht="18.75" customHeight="1" x14ac:dyDescent="0.25">
      <c r="B212" s="7">
        <v>207</v>
      </c>
      <c r="C212" s="11">
        <v>1282117420</v>
      </c>
      <c r="D212" s="12" t="str">
        <f>VLOOKUP(C212,[2]report!$A$2:$Q$496,3,FALSE)</f>
        <v>ANGGA SETIAWAN</v>
      </c>
      <c r="E212" s="7">
        <f>VLOOKUP(C212,[2]report!$A$2:$Q$496,4,FALSE)</f>
        <v>91107608</v>
      </c>
      <c r="F212" s="7">
        <f>VLOOKUP(C212,[2]report!$A$2:$Q$496,5,FALSE)</f>
        <v>4120177599</v>
      </c>
      <c r="G212" s="12" t="str">
        <f>VLOOKUP(C212,[2]report!$A$2:$Q$496,8,FALSE)</f>
        <v>Kota Makassar - Kota Cilegon</v>
      </c>
      <c r="H212" s="12" t="str">
        <f>VLOOKUP(C212,[2]report!$A$2:$Q$496,9,FALSE)</f>
        <v>07/09/2025 - 12/09/2025</v>
      </c>
      <c r="I212" s="13">
        <f>VLOOKUP(C212,[2]report!$A$2:$Q$496,17,FALSE)</f>
        <v>2350900</v>
      </c>
    </row>
    <row r="213" spans="2:9" ht="18.75" hidden="1" customHeight="1" x14ac:dyDescent="0.25">
      <c r="B213" s="7">
        <v>208</v>
      </c>
      <c r="C213" s="11"/>
      <c r="D213" s="12"/>
      <c r="E213" s="7"/>
      <c r="F213" s="7"/>
      <c r="G213" s="12"/>
      <c r="H213" s="12"/>
      <c r="I213" s="13"/>
    </row>
    <row r="214" spans="2:9" ht="18.75" hidden="1" customHeight="1" x14ac:dyDescent="0.25">
      <c r="B214" s="7">
        <v>209</v>
      </c>
      <c r="C214" s="11"/>
      <c r="D214" s="12"/>
      <c r="E214" s="7"/>
      <c r="F214" s="7"/>
      <c r="G214" s="12"/>
      <c r="H214" s="12"/>
      <c r="I214" s="13"/>
    </row>
    <row r="215" spans="2:9" ht="18.75" hidden="1" customHeight="1" x14ac:dyDescent="0.25">
      <c r="B215" s="7">
        <v>210</v>
      </c>
      <c r="C215" s="11"/>
      <c r="D215" s="12"/>
      <c r="E215" s="7"/>
      <c r="F215" s="7"/>
      <c r="G215" s="12"/>
      <c r="H215" s="12"/>
      <c r="I215" s="13"/>
    </row>
    <row r="216" spans="2:9" ht="18.75" hidden="1" customHeight="1" x14ac:dyDescent="0.25">
      <c r="B216" s="7">
        <v>211</v>
      </c>
      <c r="C216" s="11"/>
      <c r="D216" s="12"/>
      <c r="E216" s="7"/>
      <c r="F216" s="7"/>
      <c r="G216" s="12"/>
      <c r="H216" s="12"/>
      <c r="I216" s="13"/>
    </row>
    <row r="217" spans="2:9" ht="18.75" hidden="1" customHeight="1" x14ac:dyDescent="0.25">
      <c r="B217" s="7">
        <v>212</v>
      </c>
      <c r="C217" s="11"/>
      <c r="D217" s="12"/>
      <c r="E217" s="7"/>
      <c r="F217" s="7"/>
      <c r="G217" s="12"/>
      <c r="H217" s="12"/>
      <c r="I217" s="13"/>
    </row>
    <row r="218" spans="2:9" ht="18.75" hidden="1" customHeight="1" x14ac:dyDescent="0.25">
      <c r="B218" s="7">
        <v>213</v>
      </c>
      <c r="C218" s="11"/>
      <c r="D218" s="12"/>
      <c r="E218" s="7"/>
      <c r="F218" s="7"/>
      <c r="G218" s="12"/>
      <c r="H218" s="12"/>
      <c r="I218" s="13"/>
    </row>
    <row r="219" spans="2:9" ht="18.75" hidden="1" customHeight="1" x14ac:dyDescent="0.25">
      <c r="B219" s="7">
        <v>214</v>
      </c>
      <c r="C219" s="11"/>
      <c r="D219" s="12"/>
      <c r="E219" s="7"/>
      <c r="F219" s="7"/>
      <c r="G219" s="12"/>
      <c r="H219" s="12"/>
      <c r="I219" s="13"/>
    </row>
    <row r="220" spans="2:9" ht="18.75" hidden="1" customHeight="1" x14ac:dyDescent="0.25">
      <c r="B220" s="7">
        <v>215</v>
      </c>
      <c r="C220" s="11"/>
      <c r="D220" s="12"/>
      <c r="E220" s="7"/>
      <c r="F220" s="7"/>
      <c r="G220" s="12"/>
      <c r="H220" s="12"/>
      <c r="I220" s="13"/>
    </row>
    <row r="221" spans="2:9" ht="18.75" hidden="1" customHeight="1" x14ac:dyDescent="0.25">
      <c r="B221" s="7">
        <v>216</v>
      </c>
      <c r="C221" s="11"/>
      <c r="D221" s="12"/>
      <c r="E221" s="7"/>
      <c r="F221" s="7"/>
      <c r="G221" s="12"/>
      <c r="H221" s="12"/>
      <c r="I221" s="13"/>
    </row>
    <row r="222" spans="2:9" ht="18.75" hidden="1" customHeight="1" x14ac:dyDescent="0.25">
      <c r="B222" s="7">
        <v>217</v>
      </c>
      <c r="C222" s="11"/>
      <c r="D222" s="12"/>
      <c r="E222" s="7"/>
      <c r="F222" s="7"/>
      <c r="G222" s="12"/>
      <c r="H222" s="12"/>
      <c r="I222" s="13"/>
    </row>
    <row r="223" spans="2:9" ht="18.75" hidden="1" customHeight="1" x14ac:dyDescent="0.25">
      <c r="B223" s="7">
        <v>218</v>
      </c>
      <c r="C223" s="11"/>
      <c r="D223" s="12"/>
      <c r="E223" s="7"/>
      <c r="F223" s="7"/>
      <c r="G223" s="12"/>
      <c r="H223" s="12"/>
      <c r="I223" s="13"/>
    </row>
    <row r="224" spans="2:9" ht="18.75" hidden="1" customHeight="1" x14ac:dyDescent="0.25">
      <c r="B224" s="7">
        <v>219</v>
      </c>
      <c r="C224" s="11"/>
      <c r="D224" s="12"/>
      <c r="E224" s="7"/>
      <c r="F224" s="7"/>
      <c r="G224" s="12"/>
      <c r="H224" s="12"/>
      <c r="I224" s="13"/>
    </row>
    <row r="225" spans="2:9" ht="18.75" hidden="1" customHeight="1" x14ac:dyDescent="0.25">
      <c r="B225" s="7">
        <v>220</v>
      </c>
      <c r="C225" s="11"/>
      <c r="D225" s="12"/>
      <c r="E225" s="7"/>
      <c r="F225" s="7"/>
      <c r="G225" s="12"/>
      <c r="H225" s="12"/>
      <c r="I225" s="13"/>
    </row>
    <row r="226" spans="2:9" ht="18.75" hidden="1" customHeight="1" x14ac:dyDescent="0.25">
      <c r="B226" s="7">
        <v>221</v>
      </c>
      <c r="C226" s="11"/>
      <c r="D226" s="12"/>
      <c r="E226" s="7"/>
      <c r="F226" s="7"/>
      <c r="G226" s="12"/>
      <c r="H226" s="12"/>
      <c r="I226" s="13"/>
    </row>
    <row r="227" spans="2:9" ht="18.75" hidden="1" customHeight="1" x14ac:dyDescent="0.25">
      <c r="B227" s="7">
        <v>222</v>
      </c>
      <c r="C227" s="11"/>
      <c r="D227" s="12"/>
      <c r="E227" s="7"/>
      <c r="F227" s="7"/>
      <c r="G227" s="12"/>
      <c r="H227" s="12"/>
      <c r="I227" s="13"/>
    </row>
    <row r="228" spans="2:9" ht="18.75" hidden="1" customHeight="1" x14ac:dyDescent="0.25">
      <c r="B228" s="7">
        <v>223</v>
      </c>
      <c r="C228" s="11"/>
      <c r="D228" s="12"/>
      <c r="E228" s="7"/>
      <c r="F228" s="7"/>
      <c r="G228" s="12"/>
      <c r="H228" s="12"/>
      <c r="I228" s="13"/>
    </row>
    <row r="229" spans="2:9" ht="18.75" hidden="1" customHeight="1" x14ac:dyDescent="0.25">
      <c r="B229" s="7">
        <v>224</v>
      </c>
      <c r="C229" s="11"/>
      <c r="D229" s="12"/>
      <c r="E229" s="7"/>
      <c r="F229" s="7"/>
      <c r="G229" s="12"/>
      <c r="H229" s="12"/>
      <c r="I229" s="13"/>
    </row>
    <row r="230" spans="2:9" ht="18.75" hidden="1" customHeight="1" x14ac:dyDescent="0.25">
      <c r="B230" s="7">
        <v>225</v>
      </c>
      <c r="C230" s="11"/>
      <c r="D230" s="12"/>
      <c r="E230" s="7"/>
      <c r="F230" s="7"/>
      <c r="G230" s="12"/>
      <c r="H230" s="12"/>
      <c r="I230" s="13"/>
    </row>
    <row r="231" spans="2:9" ht="18.75" hidden="1" customHeight="1" x14ac:dyDescent="0.25">
      <c r="B231" s="7">
        <v>226</v>
      </c>
      <c r="C231" s="11"/>
      <c r="D231" s="12"/>
      <c r="E231" s="7"/>
      <c r="F231" s="7"/>
      <c r="G231" s="12"/>
      <c r="H231" s="12"/>
      <c r="I231" s="13"/>
    </row>
    <row r="232" spans="2:9" ht="18.75" hidden="1" customHeight="1" x14ac:dyDescent="0.25">
      <c r="B232" s="7">
        <v>227</v>
      </c>
      <c r="C232" s="11"/>
      <c r="D232" s="12"/>
      <c r="E232" s="7"/>
      <c r="F232" s="7"/>
      <c r="G232" s="12"/>
      <c r="H232" s="12"/>
      <c r="I232" s="13"/>
    </row>
    <row r="233" spans="2:9" ht="18.75" hidden="1" customHeight="1" x14ac:dyDescent="0.25">
      <c r="B233" s="7">
        <v>228</v>
      </c>
      <c r="C233" s="11"/>
      <c r="D233" s="12"/>
      <c r="E233" s="7"/>
      <c r="F233" s="7"/>
      <c r="G233" s="12"/>
      <c r="H233" s="12"/>
      <c r="I233" s="13"/>
    </row>
    <row r="234" spans="2:9" ht="18.75" hidden="1" customHeight="1" x14ac:dyDescent="0.25">
      <c r="B234" s="7">
        <v>229</v>
      </c>
      <c r="C234" s="11"/>
      <c r="D234" s="12"/>
      <c r="E234" s="7"/>
      <c r="F234" s="7"/>
      <c r="G234" s="12"/>
      <c r="H234" s="12"/>
      <c r="I234" s="13"/>
    </row>
    <row r="235" spans="2:9" ht="18.75" hidden="1" customHeight="1" x14ac:dyDescent="0.25">
      <c r="B235" s="7">
        <v>230</v>
      </c>
      <c r="C235" s="11"/>
      <c r="D235" s="12"/>
      <c r="E235" s="7"/>
      <c r="F235" s="7"/>
      <c r="G235" s="12"/>
      <c r="H235" s="12"/>
      <c r="I235" s="13"/>
    </row>
    <row r="236" spans="2:9" ht="18.75" hidden="1" customHeight="1" x14ac:dyDescent="0.25">
      <c r="B236" s="7">
        <v>231</v>
      </c>
      <c r="C236" s="11"/>
      <c r="D236" s="12"/>
      <c r="E236" s="7"/>
      <c r="F236" s="7"/>
      <c r="G236" s="12"/>
      <c r="H236" s="12"/>
      <c r="I236" s="13"/>
    </row>
    <row r="237" spans="2:9" ht="18.75" hidden="1" customHeight="1" x14ac:dyDescent="0.25">
      <c r="B237" s="7">
        <v>232</v>
      </c>
      <c r="C237" s="11"/>
      <c r="D237" s="12"/>
      <c r="E237" s="7"/>
      <c r="F237" s="7"/>
      <c r="G237" s="12"/>
      <c r="H237" s="12"/>
      <c r="I237" s="13"/>
    </row>
    <row r="238" spans="2:9" ht="18.75" hidden="1" customHeight="1" x14ac:dyDescent="0.25">
      <c r="B238" s="7">
        <v>233</v>
      </c>
      <c r="C238" s="11"/>
      <c r="D238" s="12"/>
      <c r="E238" s="7"/>
      <c r="F238" s="7"/>
      <c r="G238" s="12"/>
      <c r="H238" s="12"/>
      <c r="I238" s="13"/>
    </row>
    <row r="239" spans="2:9" ht="18.75" hidden="1" customHeight="1" x14ac:dyDescent="0.25">
      <c r="B239" s="7">
        <v>234</v>
      </c>
      <c r="C239" s="11"/>
      <c r="D239" s="12"/>
      <c r="E239" s="7"/>
      <c r="F239" s="7"/>
      <c r="G239" s="12"/>
      <c r="H239" s="12"/>
      <c r="I239" s="13"/>
    </row>
    <row r="240" spans="2:9" ht="18.75" hidden="1" customHeight="1" x14ac:dyDescent="0.25">
      <c r="B240" s="7">
        <v>235</v>
      </c>
      <c r="C240" s="16"/>
      <c r="D240" s="12"/>
      <c r="E240" s="7"/>
      <c r="F240" s="7"/>
      <c r="G240" s="12"/>
      <c r="H240" s="12"/>
      <c r="I240" s="13"/>
    </row>
    <row r="241" spans="2:9" ht="18.75" hidden="1" customHeight="1" x14ac:dyDescent="0.25">
      <c r="B241" s="7">
        <v>236</v>
      </c>
      <c r="C241" s="11"/>
      <c r="D241" s="12"/>
      <c r="E241" s="7"/>
      <c r="F241" s="7"/>
      <c r="G241" s="12"/>
      <c r="H241" s="12"/>
      <c r="I241" s="13"/>
    </row>
    <row r="242" spans="2:9" ht="18.75" hidden="1" customHeight="1" x14ac:dyDescent="0.25">
      <c r="B242" s="7">
        <v>237</v>
      </c>
      <c r="C242" s="11"/>
      <c r="D242" s="12"/>
      <c r="E242" s="7"/>
      <c r="F242" s="7"/>
      <c r="G242" s="12"/>
      <c r="H242" s="12"/>
      <c r="I242" s="13"/>
    </row>
    <row r="243" spans="2:9" ht="18.75" hidden="1" customHeight="1" x14ac:dyDescent="0.25">
      <c r="B243" s="7">
        <v>238</v>
      </c>
      <c r="C243" s="11"/>
      <c r="D243" s="12"/>
      <c r="E243" s="7"/>
      <c r="F243" s="7"/>
      <c r="G243" s="12"/>
      <c r="H243" s="12"/>
      <c r="I243" s="13"/>
    </row>
    <row r="244" spans="2:9" ht="18.75" hidden="1" customHeight="1" x14ac:dyDescent="0.25">
      <c r="B244" s="7">
        <v>239</v>
      </c>
      <c r="C244" s="11"/>
      <c r="D244" s="12"/>
      <c r="E244" s="7"/>
      <c r="F244" s="7"/>
      <c r="G244" s="12"/>
      <c r="H244" s="12"/>
      <c r="I244" s="13"/>
    </row>
    <row r="245" spans="2:9" ht="18.75" hidden="1" customHeight="1" x14ac:dyDescent="0.25">
      <c r="B245" s="7">
        <v>240</v>
      </c>
      <c r="C245" s="11"/>
      <c r="D245" s="12"/>
      <c r="E245" s="7"/>
      <c r="F245" s="7"/>
      <c r="G245" s="12"/>
      <c r="H245" s="12"/>
      <c r="I245" s="13"/>
    </row>
    <row r="246" spans="2:9" ht="18.75" hidden="1" customHeight="1" x14ac:dyDescent="0.25">
      <c r="B246" s="7">
        <v>241</v>
      </c>
      <c r="C246" s="11"/>
      <c r="D246" s="12"/>
      <c r="E246" s="7"/>
      <c r="F246" s="7"/>
      <c r="G246" s="12"/>
      <c r="H246" s="12"/>
      <c r="I246" s="13"/>
    </row>
    <row r="247" spans="2:9" ht="18.75" hidden="1" customHeight="1" x14ac:dyDescent="0.25">
      <c r="B247" s="7">
        <v>242</v>
      </c>
      <c r="C247" s="11"/>
      <c r="D247" s="12"/>
      <c r="E247" s="7"/>
      <c r="F247" s="7"/>
      <c r="G247" s="12"/>
      <c r="H247" s="12"/>
      <c r="I247" s="13"/>
    </row>
    <row r="248" spans="2:9" ht="18.75" hidden="1" customHeight="1" x14ac:dyDescent="0.25">
      <c r="B248" s="7">
        <v>243</v>
      </c>
      <c r="C248" s="11"/>
      <c r="D248" s="12"/>
      <c r="E248" s="7"/>
      <c r="F248" s="7"/>
      <c r="G248" s="12"/>
      <c r="H248" s="12"/>
      <c r="I248" s="13"/>
    </row>
    <row r="249" spans="2:9" ht="18.75" hidden="1" customHeight="1" x14ac:dyDescent="0.25">
      <c r="B249" s="7">
        <v>244</v>
      </c>
      <c r="C249" s="11"/>
      <c r="D249" s="12"/>
      <c r="E249" s="7"/>
      <c r="F249" s="7"/>
      <c r="G249" s="12"/>
      <c r="H249" s="12"/>
      <c r="I249" s="13"/>
    </row>
    <row r="250" spans="2:9" ht="18.75" hidden="1" customHeight="1" x14ac:dyDescent="0.25">
      <c r="B250" s="7">
        <v>245</v>
      </c>
      <c r="C250" s="11"/>
      <c r="D250" s="12"/>
      <c r="E250" s="7"/>
      <c r="F250" s="7"/>
      <c r="G250" s="12"/>
      <c r="H250" s="12"/>
      <c r="I250" s="13"/>
    </row>
    <row r="251" spans="2:9" ht="18.75" hidden="1" customHeight="1" x14ac:dyDescent="0.25">
      <c r="B251" s="7">
        <v>246</v>
      </c>
      <c r="C251" s="11"/>
      <c r="D251" s="12"/>
      <c r="E251" s="7"/>
      <c r="F251" s="7"/>
      <c r="G251" s="12"/>
      <c r="H251" s="12"/>
      <c r="I251" s="13"/>
    </row>
    <row r="252" spans="2:9" ht="18.75" hidden="1" customHeight="1" x14ac:dyDescent="0.25">
      <c r="B252" s="7">
        <v>247</v>
      </c>
      <c r="C252" s="11"/>
      <c r="D252" s="12"/>
      <c r="E252" s="7"/>
      <c r="F252" s="7"/>
      <c r="G252" s="12"/>
      <c r="H252" s="12"/>
      <c r="I252" s="13"/>
    </row>
    <row r="253" spans="2:9" ht="18.75" hidden="1" customHeight="1" x14ac:dyDescent="0.25">
      <c r="B253" s="7">
        <v>248</v>
      </c>
      <c r="C253" s="11"/>
      <c r="D253" s="12"/>
      <c r="E253" s="7"/>
      <c r="F253" s="7"/>
      <c r="G253" s="12"/>
      <c r="H253" s="12"/>
      <c r="I253" s="13"/>
    </row>
    <row r="254" spans="2:9" ht="18.75" hidden="1" customHeight="1" x14ac:dyDescent="0.25">
      <c r="B254" s="7">
        <v>249</v>
      </c>
      <c r="C254" s="11"/>
      <c r="D254" s="12"/>
      <c r="E254" s="7"/>
      <c r="F254" s="7"/>
      <c r="G254" s="12"/>
      <c r="H254" s="12"/>
      <c r="I254" s="13"/>
    </row>
    <row r="255" spans="2:9" ht="18.75" hidden="1" customHeight="1" x14ac:dyDescent="0.25">
      <c r="B255" s="7">
        <v>250</v>
      </c>
      <c r="C255" s="11"/>
      <c r="D255" s="12"/>
      <c r="E255" s="7"/>
      <c r="F255" s="7"/>
      <c r="G255" s="12"/>
      <c r="H255" s="12"/>
      <c r="I255" s="13"/>
    </row>
    <row r="256" spans="2:9" ht="18.75" hidden="1" customHeight="1" x14ac:dyDescent="0.25">
      <c r="B256" s="7">
        <v>251</v>
      </c>
      <c r="C256" s="11"/>
      <c r="D256" s="12"/>
      <c r="E256" s="7"/>
      <c r="F256" s="7"/>
      <c r="G256" s="12"/>
      <c r="H256" s="12"/>
      <c r="I256" s="13"/>
    </row>
    <row r="257" spans="2:9" ht="18.75" hidden="1" customHeight="1" x14ac:dyDescent="0.25">
      <c r="B257" s="7">
        <v>252</v>
      </c>
      <c r="C257" s="11"/>
      <c r="D257" s="12"/>
      <c r="E257" s="7"/>
      <c r="F257" s="7"/>
      <c r="G257" s="12"/>
      <c r="H257" s="12"/>
      <c r="I257" s="13"/>
    </row>
    <row r="258" spans="2:9" ht="18.75" hidden="1" customHeight="1" x14ac:dyDescent="0.25">
      <c r="B258" s="7">
        <v>253</v>
      </c>
      <c r="C258" s="11"/>
      <c r="D258" s="12"/>
      <c r="E258" s="7"/>
      <c r="F258" s="7"/>
      <c r="G258" s="12"/>
      <c r="H258" s="12"/>
      <c r="I258" s="13"/>
    </row>
    <row r="259" spans="2:9" ht="18.75" hidden="1" customHeight="1" x14ac:dyDescent="0.25">
      <c r="B259" s="7">
        <v>254</v>
      </c>
      <c r="C259" s="11"/>
      <c r="D259" s="12"/>
      <c r="E259" s="7"/>
      <c r="F259" s="7"/>
      <c r="G259" s="12"/>
      <c r="H259" s="12"/>
      <c r="I259" s="13"/>
    </row>
    <row r="260" spans="2:9" ht="18.75" hidden="1" customHeight="1" x14ac:dyDescent="0.25">
      <c r="B260" s="7">
        <v>255</v>
      </c>
      <c r="C260" s="11"/>
      <c r="D260" s="12"/>
      <c r="E260" s="7"/>
      <c r="F260" s="7"/>
      <c r="G260" s="12"/>
      <c r="H260" s="12"/>
      <c r="I260" s="13"/>
    </row>
    <row r="261" spans="2:9" ht="18.75" hidden="1" customHeight="1" x14ac:dyDescent="0.25">
      <c r="B261" s="7">
        <v>256</v>
      </c>
      <c r="C261" s="11"/>
      <c r="D261" s="12"/>
      <c r="E261" s="7"/>
      <c r="F261" s="7"/>
      <c r="G261" s="12"/>
      <c r="H261" s="12"/>
      <c r="I261" s="13"/>
    </row>
    <row r="262" spans="2:9" ht="18.75" hidden="1" customHeight="1" x14ac:dyDescent="0.25">
      <c r="B262" s="7">
        <v>257</v>
      </c>
      <c r="C262" s="11"/>
      <c r="D262" s="12"/>
      <c r="E262" s="7"/>
      <c r="F262" s="7"/>
      <c r="G262" s="12"/>
      <c r="H262" s="12"/>
      <c r="I262" s="13"/>
    </row>
    <row r="263" spans="2:9" ht="18.75" hidden="1" customHeight="1" x14ac:dyDescent="0.25">
      <c r="B263" s="7">
        <v>258</v>
      </c>
      <c r="C263" s="11"/>
      <c r="D263" s="12"/>
      <c r="E263" s="7"/>
      <c r="F263" s="7"/>
      <c r="G263" s="12"/>
      <c r="H263" s="12"/>
      <c r="I263" s="13"/>
    </row>
    <row r="264" spans="2:9" ht="18.75" hidden="1" customHeight="1" x14ac:dyDescent="0.25">
      <c r="B264" s="7">
        <v>259</v>
      </c>
      <c r="C264" s="11"/>
      <c r="D264" s="12"/>
      <c r="E264" s="7"/>
      <c r="F264" s="7"/>
      <c r="G264" s="12"/>
      <c r="H264" s="12"/>
      <c r="I264" s="13"/>
    </row>
    <row r="265" spans="2:9" ht="18.75" hidden="1" customHeight="1" x14ac:dyDescent="0.25">
      <c r="B265" s="7">
        <v>260</v>
      </c>
      <c r="C265" s="11"/>
      <c r="D265" s="12"/>
      <c r="E265" s="7"/>
      <c r="F265" s="7"/>
      <c r="G265" s="12"/>
      <c r="H265" s="12"/>
      <c r="I265" s="13"/>
    </row>
    <row r="266" spans="2:9" ht="18.75" hidden="1" customHeight="1" x14ac:dyDescent="0.25">
      <c r="B266" s="7">
        <v>261</v>
      </c>
      <c r="C266" s="11"/>
      <c r="D266" s="12"/>
      <c r="E266" s="7"/>
      <c r="F266" s="7"/>
      <c r="G266" s="12"/>
      <c r="H266" s="12"/>
      <c r="I266" s="13"/>
    </row>
    <row r="267" spans="2:9" ht="18.75" hidden="1" customHeight="1" x14ac:dyDescent="0.25">
      <c r="B267" s="7">
        <v>262</v>
      </c>
      <c r="C267" s="11"/>
      <c r="D267" s="12"/>
      <c r="E267" s="7"/>
      <c r="F267" s="7"/>
      <c r="G267" s="12"/>
      <c r="H267" s="12"/>
      <c r="I267" s="13"/>
    </row>
    <row r="268" spans="2:9" ht="18.75" hidden="1" customHeight="1" x14ac:dyDescent="0.25">
      <c r="B268" s="7">
        <v>263</v>
      </c>
      <c r="C268" s="11"/>
      <c r="D268" s="12"/>
      <c r="E268" s="7"/>
      <c r="F268" s="7"/>
      <c r="G268" s="12"/>
      <c r="H268" s="12"/>
      <c r="I268" s="13"/>
    </row>
    <row r="269" spans="2:9" ht="18.75" hidden="1" customHeight="1" x14ac:dyDescent="0.25">
      <c r="B269" s="7">
        <v>264</v>
      </c>
      <c r="C269" s="11"/>
      <c r="D269" s="12"/>
      <c r="E269" s="7"/>
      <c r="F269" s="7"/>
      <c r="G269" s="12"/>
      <c r="H269" s="12"/>
      <c r="I269" s="13"/>
    </row>
    <row r="270" spans="2:9" ht="18.75" hidden="1" customHeight="1" x14ac:dyDescent="0.25">
      <c r="B270" s="7">
        <v>265</v>
      </c>
      <c r="C270" s="11"/>
      <c r="D270" s="12"/>
      <c r="E270" s="7"/>
      <c r="F270" s="7"/>
      <c r="G270" s="12"/>
      <c r="H270" s="12"/>
      <c r="I270" s="13"/>
    </row>
    <row r="271" spans="2:9" ht="18.75" hidden="1" customHeight="1" x14ac:dyDescent="0.25">
      <c r="B271" s="7">
        <v>266</v>
      </c>
      <c r="C271" s="11"/>
      <c r="D271" s="12"/>
      <c r="E271" s="7"/>
      <c r="F271" s="7"/>
      <c r="G271" s="12"/>
      <c r="H271" s="12"/>
      <c r="I271" s="13"/>
    </row>
    <row r="272" spans="2:9" ht="18.75" hidden="1" customHeight="1" x14ac:dyDescent="0.25">
      <c r="B272" s="7">
        <v>267</v>
      </c>
      <c r="C272" s="11"/>
      <c r="D272" s="12"/>
      <c r="E272" s="7"/>
      <c r="F272" s="7"/>
      <c r="G272" s="12"/>
      <c r="H272" s="12"/>
      <c r="I272" s="13"/>
    </row>
    <row r="273" spans="2:9" ht="18.75" hidden="1" customHeight="1" x14ac:dyDescent="0.25">
      <c r="B273" s="7">
        <v>268</v>
      </c>
      <c r="C273" s="11"/>
      <c r="D273" s="12"/>
      <c r="E273" s="7"/>
      <c r="F273" s="7"/>
      <c r="G273" s="12"/>
      <c r="H273" s="12"/>
      <c r="I273" s="13"/>
    </row>
    <row r="274" spans="2:9" ht="18.75" hidden="1" customHeight="1" x14ac:dyDescent="0.25">
      <c r="B274" s="7">
        <v>269</v>
      </c>
      <c r="C274" s="11"/>
      <c r="D274" s="12"/>
      <c r="E274" s="7"/>
      <c r="F274" s="7"/>
      <c r="G274" s="12"/>
      <c r="H274" s="12"/>
      <c r="I274" s="13"/>
    </row>
    <row r="275" spans="2:9" ht="18.75" hidden="1" customHeight="1" x14ac:dyDescent="0.25">
      <c r="B275" s="7">
        <v>270</v>
      </c>
      <c r="C275" s="11"/>
      <c r="D275" s="12"/>
      <c r="E275" s="7"/>
      <c r="F275" s="7"/>
      <c r="G275" s="12"/>
      <c r="H275" s="12"/>
      <c r="I275" s="13"/>
    </row>
    <row r="276" spans="2:9" ht="18.75" hidden="1" customHeight="1" x14ac:dyDescent="0.25">
      <c r="B276" s="7">
        <v>271</v>
      </c>
      <c r="C276" s="11"/>
      <c r="D276" s="12"/>
      <c r="E276" s="7"/>
      <c r="F276" s="7"/>
      <c r="G276" s="12"/>
      <c r="H276" s="12"/>
      <c r="I276" s="13"/>
    </row>
    <row r="277" spans="2:9" ht="18.75" hidden="1" customHeight="1" x14ac:dyDescent="0.25">
      <c r="B277" s="7">
        <v>272</v>
      </c>
      <c r="C277" s="11"/>
      <c r="D277" s="12"/>
      <c r="E277" s="7"/>
      <c r="F277" s="7"/>
      <c r="G277" s="12"/>
      <c r="H277" s="12"/>
      <c r="I277" s="13"/>
    </row>
    <row r="278" spans="2:9" ht="18.75" hidden="1" customHeight="1" x14ac:dyDescent="0.25">
      <c r="B278" s="7">
        <v>273</v>
      </c>
      <c r="C278" s="11"/>
      <c r="D278" s="12"/>
      <c r="E278" s="7"/>
      <c r="F278" s="7"/>
      <c r="G278" s="12"/>
      <c r="H278" s="12"/>
      <c r="I278" s="13"/>
    </row>
    <row r="279" spans="2:9" ht="18.75" hidden="1" customHeight="1" x14ac:dyDescent="0.25">
      <c r="B279" s="7">
        <v>274</v>
      </c>
      <c r="C279" s="11"/>
      <c r="D279" s="12"/>
      <c r="E279" s="7"/>
      <c r="F279" s="7"/>
      <c r="G279" s="12"/>
      <c r="H279" s="12"/>
      <c r="I279" s="13"/>
    </row>
    <row r="280" spans="2:9" ht="18.75" hidden="1" customHeight="1" x14ac:dyDescent="0.25">
      <c r="B280" s="7">
        <v>275</v>
      </c>
      <c r="C280" s="11"/>
      <c r="D280" s="12"/>
      <c r="E280" s="7"/>
      <c r="F280" s="7"/>
      <c r="G280" s="12"/>
      <c r="H280" s="12"/>
      <c r="I280" s="13"/>
    </row>
    <row r="281" spans="2:9" ht="18.75" hidden="1" customHeight="1" x14ac:dyDescent="0.25">
      <c r="B281" s="7">
        <v>276</v>
      </c>
      <c r="C281" s="11"/>
      <c r="D281" s="12"/>
      <c r="E281" s="7"/>
      <c r="F281" s="7"/>
      <c r="G281" s="12"/>
      <c r="H281" s="12"/>
      <c r="I281" s="13"/>
    </row>
    <row r="282" spans="2:9" ht="18.75" hidden="1" customHeight="1" x14ac:dyDescent="0.25">
      <c r="B282" s="7">
        <v>277</v>
      </c>
      <c r="C282" s="11"/>
      <c r="D282" s="12"/>
      <c r="E282" s="7"/>
      <c r="F282" s="7"/>
      <c r="G282" s="12"/>
      <c r="H282" s="12"/>
      <c r="I282" s="13"/>
    </row>
    <row r="283" spans="2:9" ht="18.75" hidden="1" customHeight="1" x14ac:dyDescent="0.25">
      <c r="B283" s="7">
        <v>278</v>
      </c>
      <c r="C283" s="11"/>
      <c r="D283" s="12"/>
      <c r="E283" s="7"/>
      <c r="F283" s="7"/>
      <c r="G283" s="12"/>
      <c r="H283" s="12"/>
      <c r="I283" s="13"/>
    </row>
    <row r="284" spans="2:9" ht="18.75" hidden="1" customHeight="1" x14ac:dyDescent="0.25">
      <c r="B284" s="7">
        <v>279</v>
      </c>
      <c r="C284" s="11"/>
      <c r="D284" s="12"/>
      <c r="E284" s="7"/>
      <c r="F284" s="7"/>
      <c r="G284" s="12"/>
      <c r="H284" s="12"/>
      <c r="I284" s="13"/>
    </row>
    <row r="285" spans="2:9" ht="18.75" hidden="1" customHeight="1" x14ac:dyDescent="0.25">
      <c r="B285" s="7">
        <v>280</v>
      </c>
      <c r="C285" s="11"/>
      <c r="D285" s="12"/>
      <c r="E285" s="7"/>
      <c r="F285" s="7"/>
      <c r="G285" s="12"/>
      <c r="H285" s="12"/>
      <c r="I285" s="13"/>
    </row>
    <row r="286" spans="2:9" ht="18.75" hidden="1" customHeight="1" x14ac:dyDescent="0.25">
      <c r="B286" s="7">
        <v>281</v>
      </c>
      <c r="C286" s="11"/>
      <c r="D286" s="12"/>
      <c r="E286" s="7"/>
      <c r="F286" s="7"/>
      <c r="G286" s="12"/>
      <c r="H286" s="12"/>
      <c r="I286" s="13"/>
    </row>
    <row r="287" spans="2:9" ht="18.75" hidden="1" customHeight="1" x14ac:dyDescent="0.25">
      <c r="B287" s="7">
        <v>282</v>
      </c>
      <c r="C287" s="11"/>
      <c r="D287" s="12"/>
      <c r="E287" s="7"/>
      <c r="F287" s="7"/>
      <c r="G287" s="12"/>
      <c r="H287" s="12"/>
      <c r="I287" s="13"/>
    </row>
    <row r="288" spans="2:9" ht="18.75" hidden="1" customHeight="1" x14ac:dyDescent="0.25">
      <c r="B288" s="7">
        <v>283</v>
      </c>
      <c r="C288" s="11"/>
      <c r="D288" s="12"/>
      <c r="E288" s="7"/>
      <c r="F288" s="7"/>
      <c r="G288" s="12"/>
      <c r="H288" s="12"/>
      <c r="I288" s="13"/>
    </row>
    <row r="289" spans="2:9" ht="18.75" hidden="1" customHeight="1" x14ac:dyDescent="0.25">
      <c r="B289" s="7">
        <v>284</v>
      </c>
      <c r="C289" s="11"/>
      <c r="D289" s="12"/>
      <c r="E289" s="7"/>
      <c r="F289" s="7"/>
      <c r="G289" s="12"/>
      <c r="H289" s="12"/>
      <c r="I289" s="13"/>
    </row>
    <row r="290" spans="2:9" ht="18.75" hidden="1" customHeight="1" x14ac:dyDescent="0.25">
      <c r="B290" s="7">
        <v>285</v>
      </c>
      <c r="C290" s="11"/>
      <c r="D290" s="12"/>
      <c r="E290" s="7"/>
      <c r="F290" s="7"/>
      <c r="G290" s="12"/>
      <c r="H290" s="12"/>
      <c r="I290" s="13"/>
    </row>
    <row r="291" spans="2:9" ht="18.75" hidden="1" customHeight="1" x14ac:dyDescent="0.25">
      <c r="B291" s="7">
        <v>286</v>
      </c>
      <c r="C291" s="11"/>
      <c r="D291" s="12"/>
      <c r="E291" s="7"/>
      <c r="F291" s="7"/>
      <c r="G291" s="12"/>
      <c r="H291" s="12"/>
      <c r="I291" s="13"/>
    </row>
    <row r="292" spans="2:9" ht="18.75" hidden="1" customHeight="1" x14ac:dyDescent="0.25">
      <c r="B292" s="7">
        <v>287</v>
      </c>
      <c r="C292" s="11"/>
      <c r="D292" s="12"/>
      <c r="E292" s="7"/>
      <c r="F292" s="7"/>
      <c r="G292" s="12"/>
      <c r="H292" s="12"/>
      <c r="I292" s="13"/>
    </row>
    <row r="293" spans="2:9" ht="18.75" hidden="1" customHeight="1" x14ac:dyDescent="0.25">
      <c r="B293" s="7">
        <v>288</v>
      </c>
      <c r="C293" s="11"/>
      <c r="D293" s="12"/>
      <c r="E293" s="7"/>
      <c r="F293" s="7"/>
      <c r="G293" s="12"/>
      <c r="H293" s="12"/>
      <c r="I293" s="13"/>
    </row>
    <row r="294" spans="2:9" ht="18.75" hidden="1" customHeight="1" x14ac:dyDescent="0.25">
      <c r="B294" s="7">
        <v>289</v>
      </c>
      <c r="C294" s="11"/>
      <c r="D294" s="12"/>
      <c r="E294" s="7"/>
      <c r="F294" s="7"/>
      <c r="G294" s="12"/>
      <c r="H294" s="12"/>
      <c r="I294" s="13"/>
    </row>
    <row r="295" spans="2:9" ht="18.75" hidden="1" customHeight="1" x14ac:dyDescent="0.25">
      <c r="B295" s="7">
        <v>290</v>
      </c>
      <c r="C295" s="11"/>
      <c r="D295" s="12"/>
      <c r="E295" s="7"/>
      <c r="F295" s="7"/>
      <c r="G295" s="12"/>
      <c r="H295" s="12"/>
      <c r="I295" s="13"/>
    </row>
    <row r="296" spans="2:9" ht="18.75" hidden="1" customHeight="1" x14ac:dyDescent="0.25">
      <c r="B296" s="7">
        <v>291</v>
      </c>
      <c r="C296" s="11"/>
      <c r="D296" s="12"/>
      <c r="E296" s="7"/>
      <c r="F296" s="7"/>
      <c r="G296" s="12"/>
      <c r="H296" s="12"/>
      <c r="I296" s="13"/>
    </row>
    <row r="297" spans="2:9" ht="18.75" hidden="1" customHeight="1" x14ac:dyDescent="0.25">
      <c r="B297" s="7">
        <v>292</v>
      </c>
      <c r="C297" s="11"/>
      <c r="D297" s="12"/>
      <c r="E297" s="7"/>
      <c r="F297" s="7"/>
      <c r="G297" s="12"/>
      <c r="H297" s="12"/>
      <c r="I297" s="13"/>
    </row>
    <row r="298" spans="2:9" ht="18.75" hidden="1" customHeight="1" x14ac:dyDescent="0.25">
      <c r="B298" s="7">
        <v>293</v>
      </c>
      <c r="C298" s="16"/>
      <c r="D298" s="12"/>
      <c r="E298" s="7"/>
      <c r="F298" s="7"/>
      <c r="G298" s="12"/>
      <c r="H298" s="12"/>
      <c r="I298" s="13"/>
    </row>
    <row r="299" spans="2:9" ht="18.75" hidden="1" customHeight="1" x14ac:dyDescent="0.25">
      <c r="B299" s="7">
        <v>294</v>
      </c>
      <c r="C299" s="16"/>
      <c r="D299" s="12"/>
      <c r="E299" s="7"/>
      <c r="F299" s="7"/>
      <c r="G299" s="12"/>
      <c r="H299" s="12"/>
      <c r="I299" s="13"/>
    </row>
    <row r="300" spans="2:9" ht="18.75" hidden="1" customHeight="1" x14ac:dyDescent="0.25">
      <c r="B300" s="7">
        <v>295</v>
      </c>
      <c r="C300" s="16"/>
      <c r="D300" s="12"/>
      <c r="E300" s="7"/>
      <c r="F300" s="7"/>
      <c r="G300" s="12"/>
      <c r="H300" s="12"/>
      <c r="I300" s="13"/>
    </row>
    <row r="301" spans="2:9" ht="18.75" hidden="1" customHeight="1" x14ac:dyDescent="0.25">
      <c r="B301" s="7">
        <v>296</v>
      </c>
      <c r="C301" s="16"/>
      <c r="D301" s="12"/>
      <c r="E301" s="7"/>
      <c r="F301" s="7"/>
      <c r="G301" s="12"/>
      <c r="H301" s="12"/>
      <c r="I301" s="13"/>
    </row>
    <row r="302" spans="2:9" ht="18.75" hidden="1" customHeight="1" x14ac:dyDescent="0.25">
      <c r="B302" s="7">
        <v>297</v>
      </c>
      <c r="C302" s="16"/>
      <c r="D302" s="12"/>
      <c r="E302" s="7"/>
      <c r="F302" s="7"/>
      <c r="G302" s="12"/>
      <c r="H302" s="12"/>
      <c r="I302" s="13"/>
    </row>
    <row r="303" spans="2:9" ht="18.75" hidden="1" customHeight="1" x14ac:dyDescent="0.25">
      <c r="B303" s="7">
        <v>298</v>
      </c>
      <c r="C303" s="16"/>
      <c r="D303" s="12"/>
      <c r="E303" s="7"/>
      <c r="F303" s="7"/>
      <c r="G303" s="12"/>
      <c r="H303" s="12"/>
      <c r="I303" s="13"/>
    </row>
    <row r="304" spans="2:9" ht="18.75" hidden="1" customHeight="1" x14ac:dyDescent="0.25">
      <c r="B304" s="7">
        <v>299</v>
      </c>
      <c r="C304" s="16"/>
      <c r="D304" s="12"/>
      <c r="E304" s="7"/>
      <c r="F304" s="7"/>
      <c r="G304" s="12"/>
      <c r="H304" s="12"/>
      <c r="I304" s="13"/>
    </row>
    <row r="305" spans="2:9" ht="18.75" hidden="1" customHeight="1" x14ac:dyDescent="0.25">
      <c r="B305" s="7">
        <v>300</v>
      </c>
      <c r="C305" s="16"/>
      <c r="D305" s="12"/>
      <c r="E305" s="7"/>
      <c r="F305" s="7"/>
      <c r="G305" s="12"/>
      <c r="H305" s="12"/>
      <c r="I305" s="13"/>
    </row>
    <row r="306" spans="2:9" ht="18.75" hidden="1" customHeight="1" x14ac:dyDescent="0.25">
      <c r="B306" s="7">
        <v>301</v>
      </c>
      <c r="C306" s="16"/>
      <c r="D306" s="12"/>
      <c r="E306" s="7"/>
      <c r="F306" s="7"/>
      <c r="G306" s="12"/>
      <c r="H306" s="12"/>
      <c r="I306" s="13"/>
    </row>
    <row r="307" spans="2:9" ht="18.75" hidden="1" customHeight="1" x14ac:dyDescent="0.25">
      <c r="B307" s="7">
        <v>302</v>
      </c>
      <c r="C307" s="16"/>
      <c r="D307" s="12"/>
      <c r="E307" s="7"/>
      <c r="F307" s="7"/>
      <c r="G307" s="12"/>
      <c r="H307" s="12"/>
      <c r="I307" s="13"/>
    </row>
    <row r="308" spans="2:9" ht="18.75" hidden="1" customHeight="1" x14ac:dyDescent="0.25">
      <c r="B308" s="7">
        <v>303</v>
      </c>
      <c r="C308" s="16"/>
      <c r="D308" s="12"/>
      <c r="E308" s="7"/>
      <c r="F308" s="7"/>
      <c r="G308" s="12"/>
      <c r="H308" s="12"/>
      <c r="I308" s="13"/>
    </row>
    <row r="309" spans="2:9" ht="18.75" hidden="1" customHeight="1" x14ac:dyDescent="0.25">
      <c r="B309" s="7">
        <v>304</v>
      </c>
      <c r="C309" s="16"/>
      <c r="D309" s="12"/>
      <c r="E309" s="7"/>
      <c r="F309" s="7"/>
      <c r="G309" s="12"/>
      <c r="H309" s="12"/>
      <c r="I309" s="13"/>
    </row>
    <row r="310" spans="2:9" ht="18.75" hidden="1" customHeight="1" x14ac:dyDescent="0.25">
      <c r="B310" s="7">
        <v>305</v>
      </c>
      <c r="C310" s="16"/>
      <c r="D310" s="12"/>
      <c r="E310" s="7"/>
      <c r="F310" s="7"/>
      <c r="G310" s="12"/>
      <c r="H310" s="12"/>
      <c r="I310" s="13"/>
    </row>
    <row r="311" spans="2:9" ht="18.75" hidden="1" customHeight="1" x14ac:dyDescent="0.25">
      <c r="B311" s="7">
        <v>306</v>
      </c>
      <c r="C311" s="16"/>
      <c r="D311" s="12"/>
      <c r="E311" s="7"/>
      <c r="F311" s="7"/>
      <c r="G311" s="12"/>
      <c r="H311" s="12"/>
      <c r="I311" s="13"/>
    </row>
    <row r="312" spans="2:9" ht="18.75" hidden="1" customHeight="1" x14ac:dyDescent="0.25">
      <c r="B312" s="7">
        <v>307</v>
      </c>
      <c r="C312" s="16"/>
      <c r="D312" s="12"/>
      <c r="E312" s="7"/>
      <c r="F312" s="7"/>
      <c r="G312" s="12"/>
      <c r="H312" s="12"/>
      <c r="I312" s="13"/>
    </row>
    <row r="313" spans="2:9" ht="18.75" hidden="1" customHeight="1" x14ac:dyDescent="0.25">
      <c r="B313" s="7">
        <v>308</v>
      </c>
      <c r="C313" s="16"/>
      <c r="D313" s="12"/>
      <c r="E313" s="7"/>
      <c r="F313" s="7"/>
      <c r="G313" s="12"/>
      <c r="H313" s="12"/>
      <c r="I313" s="13"/>
    </row>
    <row r="314" spans="2:9" ht="18.75" hidden="1" customHeight="1" x14ac:dyDescent="0.25">
      <c r="B314" s="7">
        <v>309</v>
      </c>
      <c r="C314" s="16"/>
      <c r="D314" s="12"/>
      <c r="E314" s="7"/>
      <c r="F314" s="7"/>
      <c r="G314" s="12"/>
      <c r="H314" s="12"/>
      <c r="I314" s="13"/>
    </row>
    <row r="315" spans="2:9" ht="18.75" hidden="1" customHeight="1" x14ac:dyDescent="0.25">
      <c r="B315" s="7">
        <v>310</v>
      </c>
      <c r="C315" s="16"/>
      <c r="D315" s="12"/>
      <c r="E315" s="7"/>
      <c r="F315" s="7"/>
      <c r="G315" s="12"/>
      <c r="H315" s="12"/>
      <c r="I315" s="13"/>
    </row>
    <row r="316" spans="2:9" ht="18.75" hidden="1" customHeight="1" x14ac:dyDescent="0.25">
      <c r="B316" s="7">
        <v>311</v>
      </c>
      <c r="C316" s="16"/>
      <c r="D316" s="12"/>
      <c r="E316" s="7"/>
      <c r="F316" s="7"/>
      <c r="G316" s="12"/>
      <c r="H316" s="12"/>
      <c r="I316" s="13"/>
    </row>
    <row r="317" spans="2:9" ht="18.75" hidden="1" customHeight="1" x14ac:dyDescent="0.25">
      <c r="B317" s="7">
        <v>312</v>
      </c>
      <c r="C317" s="16"/>
      <c r="D317" s="12"/>
      <c r="E317" s="7"/>
      <c r="F317" s="7"/>
      <c r="G317" s="12"/>
      <c r="H317" s="12"/>
      <c r="I317" s="13"/>
    </row>
    <row r="318" spans="2:9" ht="18.75" hidden="1" customHeight="1" x14ac:dyDescent="0.25">
      <c r="B318" s="7">
        <v>313</v>
      </c>
      <c r="C318" s="16"/>
      <c r="D318" s="12"/>
      <c r="E318" s="7"/>
      <c r="F318" s="7"/>
      <c r="G318" s="12"/>
      <c r="H318" s="12"/>
      <c r="I318" s="13"/>
    </row>
    <row r="319" spans="2:9" ht="18.75" hidden="1" customHeight="1" x14ac:dyDescent="0.25">
      <c r="B319" s="7">
        <v>314</v>
      </c>
      <c r="C319" s="16"/>
      <c r="D319" s="12"/>
      <c r="E319" s="7"/>
      <c r="F319" s="7"/>
      <c r="G319" s="12"/>
      <c r="H319" s="12"/>
      <c r="I319" s="13"/>
    </row>
    <row r="320" spans="2:9" ht="18.75" hidden="1" customHeight="1" x14ac:dyDescent="0.25">
      <c r="B320" s="7">
        <v>315</v>
      </c>
      <c r="C320" s="16"/>
      <c r="D320" s="12"/>
      <c r="E320" s="7"/>
      <c r="F320" s="7"/>
      <c r="G320" s="12"/>
      <c r="H320" s="12"/>
      <c r="I320" s="13"/>
    </row>
    <row r="321" spans="2:9" ht="18.75" hidden="1" customHeight="1" x14ac:dyDescent="0.25">
      <c r="B321" s="7">
        <v>316</v>
      </c>
      <c r="C321" s="16"/>
      <c r="D321" s="12"/>
      <c r="E321" s="7"/>
      <c r="F321" s="7"/>
      <c r="G321" s="12"/>
      <c r="H321" s="12"/>
      <c r="I321" s="13"/>
    </row>
    <row r="322" spans="2:9" ht="18.75" hidden="1" customHeight="1" x14ac:dyDescent="0.25">
      <c r="B322" s="7">
        <v>317</v>
      </c>
      <c r="C322" s="16"/>
      <c r="D322" s="12"/>
      <c r="E322" s="7"/>
      <c r="F322" s="7"/>
      <c r="G322" s="12"/>
      <c r="H322" s="12"/>
      <c r="I322" s="13"/>
    </row>
    <row r="323" spans="2:9" ht="18.75" hidden="1" customHeight="1" x14ac:dyDescent="0.25">
      <c r="B323" s="7">
        <v>318</v>
      </c>
      <c r="C323" s="16"/>
      <c r="D323" s="12"/>
      <c r="E323" s="7"/>
      <c r="F323" s="7"/>
      <c r="G323" s="12"/>
      <c r="H323" s="12"/>
      <c r="I323" s="13"/>
    </row>
    <row r="324" spans="2:9" ht="18.75" hidden="1" customHeight="1" x14ac:dyDescent="0.25">
      <c r="B324" s="7">
        <v>319</v>
      </c>
      <c r="C324" s="16"/>
      <c r="D324" s="12"/>
      <c r="E324" s="7"/>
      <c r="F324" s="7"/>
      <c r="G324" s="12"/>
      <c r="H324" s="12"/>
      <c r="I324" s="13"/>
    </row>
    <row r="325" spans="2:9" ht="18.75" hidden="1" customHeight="1" x14ac:dyDescent="0.25">
      <c r="B325" s="7">
        <v>320</v>
      </c>
      <c r="C325" s="16"/>
      <c r="D325" s="12"/>
      <c r="E325" s="7"/>
      <c r="F325" s="7"/>
      <c r="G325" s="12"/>
      <c r="H325" s="12"/>
      <c r="I325" s="13"/>
    </row>
    <row r="326" spans="2:9" ht="18.75" hidden="1" customHeight="1" x14ac:dyDescent="0.25">
      <c r="B326" s="7">
        <v>321</v>
      </c>
      <c r="C326" s="16"/>
      <c r="D326" s="12"/>
      <c r="E326" s="7"/>
      <c r="F326" s="7"/>
      <c r="G326" s="12"/>
      <c r="H326" s="12"/>
      <c r="I326" s="13"/>
    </row>
    <row r="327" spans="2:9" ht="18.75" hidden="1" customHeight="1" x14ac:dyDescent="0.25">
      <c r="B327" s="7">
        <v>322</v>
      </c>
      <c r="C327" s="16"/>
      <c r="D327" s="12"/>
      <c r="E327" s="7"/>
      <c r="F327" s="7"/>
      <c r="G327" s="12"/>
      <c r="H327" s="12"/>
      <c r="I327" s="13"/>
    </row>
    <row r="328" spans="2:9" ht="18.75" hidden="1" customHeight="1" x14ac:dyDescent="0.25">
      <c r="B328" s="7">
        <v>323</v>
      </c>
      <c r="C328" s="16"/>
      <c r="D328" s="12"/>
      <c r="E328" s="7"/>
      <c r="F328" s="7"/>
      <c r="G328" s="12"/>
      <c r="H328" s="12"/>
      <c r="I328" s="13"/>
    </row>
    <row r="329" spans="2:9" ht="18.75" hidden="1" customHeight="1" x14ac:dyDescent="0.25">
      <c r="B329" s="7">
        <v>324</v>
      </c>
      <c r="C329" s="16"/>
      <c r="D329" s="12"/>
      <c r="E329" s="7"/>
      <c r="F329" s="7"/>
      <c r="G329" s="12"/>
      <c r="H329" s="12"/>
      <c r="I329" s="13"/>
    </row>
    <row r="330" spans="2:9" ht="18.75" hidden="1" customHeight="1" x14ac:dyDescent="0.25">
      <c r="B330" s="7">
        <v>325</v>
      </c>
      <c r="C330" s="16"/>
      <c r="D330" s="12"/>
      <c r="E330" s="7"/>
      <c r="F330" s="7"/>
      <c r="G330" s="12"/>
      <c r="H330" s="12"/>
      <c r="I330" s="13"/>
    </row>
    <row r="331" spans="2:9" ht="18.75" hidden="1" customHeight="1" x14ac:dyDescent="0.25">
      <c r="B331" s="7">
        <v>326</v>
      </c>
      <c r="C331" s="16"/>
      <c r="D331" s="12"/>
      <c r="E331" s="7"/>
      <c r="F331" s="7"/>
      <c r="G331" s="12"/>
      <c r="H331" s="12"/>
      <c r="I331" s="13"/>
    </row>
    <row r="332" spans="2:9" ht="18.75" hidden="1" customHeight="1" x14ac:dyDescent="0.25">
      <c r="B332" s="7">
        <v>327</v>
      </c>
      <c r="C332" s="16"/>
      <c r="D332" s="12"/>
      <c r="E332" s="7"/>
      <c r="F332" s="7"/>
      <c r="G332" s="12"/>
      <c r="H332" s="12"/>
      <c r="I332" s="13"/>
    </row>
    <row r="333" spans="2:9" ht="18.75" hidden="1" customHeight="1" x14ac:dyDescent="0.25">
      <c r="B333" s="7">
        <v>328</v>
      </c>
      <c r="C333" s="16"/>
      <c r="D333" s="12"/>
      <c r="E333" s="7"/>
      <c r="F333" s="7"/>
      <c r="G333" s="12"/>
      <c r="H333" s="12"/>
      <c r="I333" s="13"/>
    </row>
    <row r="334" spans="2:9" ht="18.75" hidden="1" customHeight="1" x14ac:dyDescent="0.25">
      <c r="B334" s="7">
        <v>329</v>
      </c>
      <c r="C334" s="16"/>
      <c r="D334" s="12"/>
      <c r="E334" s="7"/>
      <c r="F334" s="7"/>
      <c r="G334" s="12"/>
      <c r="H334" s="12"/>
      <c r="I334" s="13"/>
    </row>
    <row r="335" spans="2:9" ht="18.75" hidden="1" customHeight="1" x14ac:dyDescent="0.25">
      <c r="B335" s="7">
        <v>330</v>
      </c>
      <c r="C335" s="16"/>
      <c r="D335" s="12"/>
      <c r="E335" s="7"/>
      <c r="F335" s="7"/>
      <c r="G335" s="12"/>
      <c r="H335" s="12"/>
      <c r="I335" s="13"/>
    </row>
    <row r="336" spans="2:9" ht="18.75" hidden="1" customHeight="1" x14ac:dyDescent="0.25">
      <c r="B336" s="7">
        <v>331</v>
      </c>
      <c r="C336" s="16"/>
      <c r="D336" s="12"/>
      <c r="E336" s="7"/>
      <c r="F336" s="7"/>
      <c r="G336" s="12"/>
      <c r="H336" s="12"/>
      <c r="I336" s="13"/>
    </row>
    <row r="337" spans="2:9" ht="18.75" hidden="1" customHeight="1" x14ac:dyDescent="0.25">
      <c r="B337" s="7">
        <v>332</v>
      </c>
      <c r="C337" s="16"/>
      <c r="D337" s="12"/>
      <c r="E337" s="7"/>
      <c r="F337" s="7"/>
      <c r="G337" s="12"/>
      <c r="H337" s="12"/>
      <c r="I337" s="13"/>
    </row>
    <row r="338" spans="2:9" ht="18.75" hidden="1" customHeight="1" x14ac:dyDescent="0.25">
      <c r="B338" s="7">
        <v>333</v>
      </c>
      <c r="C338" s="16"/>
      <c r="D338" s="12"/>
      <c r="E338" s="7"/>
      <c r="F338" s="7"/>
      <c r="G338" s="12"/>
      <c r="H338" s="12"/>
      <c r="I338" s="13"/>
    </row>
    <row r="339" spans="2:9" ht="18.75" hidden="1" customHeight="1" x14ac:dyDescent="0.25">
      <c r="B339" s="7">
        <v>334</v>
      </c>
      <c r="C339" s="16"/>
      <c r="D339" s="12"/>
      <c r="E339" s="7"/>
      <c r="F339" s="7"/>
      <c r="G339" s="12"/>
      <c r="H339" s="12"/>
      <c r="I339" s="13"/>
    </row>
    <row r="340" spans="2:9" ht="18.75" hidden="1" customHeight="1" x14ac:dyDescent="0.25">
      <c r="B340" s="7">
        <v>335</v>
      </c>
      <c r="C340" s="16"/>
      <c r="D340" s="12"/>
      <c r="E340" s="7"/>
      <c r="F340" s="7"/>
      <c r="G340" s="12"/>
      <c r="H340" s="12"/>
      <c r="I340" s="13"/>
    </row>
    <row r="341" spans="2:9" ht="18.75" hidden="1" customHeight="1" x14ac:dyDescent="0.25">
      <c r="B341" s="7">
        <v>336</v>
      </c>
      <c r="C341" s="16"/>
      <c r="D341" s="12"/>
      <c r="E341" s="7"/>
      <c r="F341" s="7"/>
      <c r="G341" s="12"/>
      <c r="H341" s="12"/>
      <c r="I341" s="13"/>
    </row>
    <row r="342" spans="2:9" ht="18.75" hidden="1" customHeight="1" x14ac:dyDescent="0.25">
      <c r="B342" s="7">
        <v>337</v>
      </c>
      <c r="C342" s="16"/>
      <c r="D342" s="12"/>
      <c r="E342" s="7"/>
      <c r="F342" s="7"/>
      <c r="G342" s="12"/>
      <c r="H342" s="12"/>
      <c r="I342" s="13"/>
    </row>
    <row r="343" spans="2:9" ht="18.75" hidden="1" customHeight="1" x14ac:dyDescent="0.25">
      <c r="B343" s="7">
        <v>338</v>
      </c>
      <c r="C343" s="16"/>
      <c r="D343" s="12"/>
      <c r="E343" s="7"/>
      <c r="F343" s="7"/>
      <c r="G343" s="12"/>
      <c r="H343" s="12"/>
      <c r="I343" s="13"/>
    </row>
    <row r="344" spans="2:9" ht="18.75" hidden="1" customHeight="1" x14ac:dyDescent="0.25">
      <c r="B344" s="7">
        <v>339</v>
      </c>
      <c r="C344" s="16"/>
      <c r="D344" s="12"/>
      <c r="E344" s="7"/>
      <c r="F344" s="7"/>
      <c r="G344" s="12"/>
      <c r="H344" s="12"/>
      <c r="I344" s="13"/>
    </row>
    <row r="345" spans="2:9" ht="18.75" hidden="1" customHeight="1" x14ac:dyDescent="0.25">
      <c r="B345" s="7">
        <v>340</v>
      </c>
      <c r="C345" s="16"/>
      <c r="D345" s="12"/>
      <c r="E345" s="7"/>
      <c r="F345" s="7"/>
      <c r="G345" s="12"/>
      <c r="H345" s="12"/>
      <c r="I345" s="13"/>
    </row>
    <row r="346" spans="2:9" ht="18.75" hidden="1" customHeight="1" x14ac:dyDescent="0.25">
      <c r="B346" s="7">
        <v>341</v>
      </c>
      <c r="C346" s="16"/>
      <c r="D346" s="12"/>
      <c r="E346" s="7"/>
      <c r="F346" s="7"/>
      <c r="G346" s="12"/>
      <c r="H346" s="12"/>
      <c r="I346" s="13"/>
    </row>
    <row r="347" spans="2:9" ht="18.75" hidden="1" customHeight="1" x14ac:dyDescent="0.25">
      <c r="B347" s="7">
        <v>342</v>
      </c>
      <c r="C347" s="16"/>
      <c r="D347" s="12"/>
      <c r="E347" s="7"/>
      <c r="F347" s="7"/>
      <c r="G347" s="12"/>
      <c r="H347" s="12"/>
      <c r="I347" s="13"/>
    </row>
    <row r="348" spans="2:9" ht="18.75" hidden="1" customHeight="1" x14ac:dyDescent="0.25">
      <c r="B348" s="7">
        <v>343</v>
      </c>
      <c r="C348" s="16"/>
      <c r="D348" s="12"/>
      <c r="E348" s="7"/>
      <c r="F348" s="7"/>
      <c r="G348" s="12"/>
      <c r="H348" s="12"/>
      <c r="I348" s="13"/>
    </row>
    <row r="349" spans="2:9" ht="18.75" hidden="1" customHeight="1" x14ac:dyDescent="0.25">
      <c r="B349" s="7">
        <v>344</v>
      </c>
      <c r="C349" s="16"/>
      <c r="D349" s="12"/>
      <c r="E349" s="7"/>
      <c r="F349" s="7"/>
      <c r="G349" s="12"/>
      <c r="H349" s="12"/>
      <c r="I349" s="13"/>
    </row>
    <row r="350" spans="2:9" ht="18.75" hidden="1" customHeight="1" x14ac:dyDescent="0.25">
      <c r="B350" s="7">
        <v>345</v>
      </c>
      <c r="C350" s="16"/>
      <c r="D350" s="12"/>
      <c r="E350" s="7"/>
      <c r="F350" s="7"/>
      <c r="G350" s="12"/>
      <c r="H350" s="12"/>
      <c r="I350" s="13"/>
    </row>
    <row r="351" spans="2:9" ht="18.75" hidden="1" customHeight="1" x14ac:dyDescent="0.25">
      <c r="B351" s="7">
        <v>346</v>
      </c>
      <c r="C351" s="16"/>
      <c r="D351" s="12"/>
      <c r="E351" s="7"/>
      <c r="F351" s="7"/>
      <c r="G351" s="12"/>
      <c r="H351" s="12"/>
      <c r="I351" s="13"/>
    </row>
    <row r="352" spans="2:9" ht="18.75" hidden="1" customHeight="1" x14ac:dyDescent="0.25">
      <c r="B352" s="7">
        <v>347</v>
      </c>
      <c r="C352" s="16"/>
      <c r="D352" s="12"/>
      <c r="E352" s="7"/>
      <c r="F352" s="7"/>
      <c r="G352" s="12"/>
      <c r="H352" s="12"/>
      <c r="I352" s="13"/>
    </row>
    <row r="353" spans="2:9" ht="18.75" hidden="1" customHeight="1" x14ac:dyDescent="0.25">
      <c r="B353" s="7">
        <v>348</v>
      </c>
      <c r="C353" s="16"/>
      <c r="D353" s="12"/>
      <c r="E353" s="7"/>
      <c r="F353" s="7"/>
      <c r="G353" s="12"/>
      <c r="H353" s="12"/>
      <c r="I353" s="13"/>
    </row>
    <row r="354" spans="2:9" ht="18.75" hidden="1" customHeight="1" x14ac:dyDescent="0.25">
      <c r="B354" s="7">
        <v>349</v>
      </c>
      <c r="C354" s="16"/>
      <c r="D354" s="12"/>
      <c r="E354" s="7"/>
      <c r="F354" s="7"/>
      <c r="G354" s="12"/>
      <c r="H354" s="12"/>
      <c r="I354" s="13"/>
    </row>
    <row r="355" spans="2:9" ht="18.75" hidden="1" customHeight="1" x14ac:dyDescent="0.25">
      <c r="B355" s="7">
        <v>350</v>
      </c>
      <c r="C355" s="16"/>
      <c r="D355" s="12"/>
      <c r="E355" s="7"/>
      <c r="F355" s="7"/>
      <c r="G355" s="12"/>
      <c r="H355" s="12"/>
      <c r="I355" s="13"/>
    </row>
    <row r="356" spans="2:9" ht="18.75" hidden="1" customHeight="1" x14ac:dyDescent="0.25">
      <c r="B356" s="7">
        <v>351</v>
      </c>
      <c r="C356" s="16"/>
      <c r="D356" s="12"/>
      <c r="E356" s="7"/>
      <c r="F356" s="7"/>
      <c r="G356" s="12"/>
      <c r="H356" s="12"/>
      <c r="I356" s="13"/>
    </row>
    <row r="357" spans="2:9" ht="18.75" hidden="1" customHeight="1" x14ac:dyDescent="0.25">
      <c r="B357" s="7">
        <v>352</v>
      </c>
      <c r="C357" s="16"/>
      <c r="D357" s="12"/>
      <c r="E357" s="7"/>
      <c r="F357" s="7"/>
      <c r="G357" s="12"/>
      <c r="H357" s="12"/>
      <c r="I357" s="13"/>
    </row>
    <row r="358" spans="2:9" ht="18.75" hidden="1" customHeight="1" x14ac:dyDescent="0.25">
      <c r="B358" s="7">
        <v>353</v>
      </c>
      <c r="C358" s="16"/>
      <c r="D358" s="12"/>
      <c r="E358" s="7"/>
      <c r="F358" s="7"/>
      <c r="G358" s="12"/>
      <c r="H358" s="12"/>
      <c r="I358" s="13"/>
    </row>
    <row r="359" spans="2:9" ht="18.75" hidden="1" customHeight="1" x14ac:dyDescent="0.25">
      <c r="B359" s="7">
        <v>354</v>
      </c>
      <c r="C359" s="16"/>
      <c r="D359" s="12"/>
      <c r="E359" s="7"/>
      <c r="F359" s="7"/>
      <c r="G359" s="12"/>
      <c r="H359" s="12"/>
      <c r="I359" s="13"/>
    </row>
    <row r="360" spans="2:9" ht="18.75" hidden="1" customHeight="1" x14ac:dyDescent="0.25">
      <c r="B360" s="7">
        <v>355</v>
      </c>
      <c r="C360" s="16"/>
      <c r="D360" s="12"/>
      <c r="E360" s="7"/>
      <c r="F360" s="7"/>
      <c r="G360" s="12"/>
      <c r="H360" s="12"/>
      <c r="I360" s="13"/>
    </row>
    <row r="361" spans="2:9" ht="18.75" hidden="1" customHeight="1" x14ac:dyDescent="0.25">
      <c r="B361" s="7">
        <v>356</v>
      </c>
      <c r="C361" s="16"/>
      <c r="D361" s="12"/>
      <c r="E361" s="7"/>
      <c r="F361" s="7"/>
      <c r="G361" s="12"/>
      <c r="H361" s="12"/>
      <c r="I361" s="13"/>
    </row>
    <row r="362" spans="2:9" ht="18.75" hidden="1" customHeight="1" x14ac:dyDescent="0.25">
      <c r="B362" s="7">
        <v>357</v>
      </c>
      <c r="C362" s="16"/>
      <c r="D362" s="12"/>
      <c r="E362" s="7"/>
      <c r="F362" s="7"/>
      <c r="G362" s="12"/>
      <c r="H362" s="12"/>
      <c r="I362" s="13"/>
    </row>
    <row r="363" spans="2:9" ht="18.75" hidden="1" customHeight="1" x14ac:dyDescent="0.25">
      <c r="B363" s="7">
        <v>358</v>
      </c>
      <c r="C363" s="16"/>
      <c r="D363" s="12"/>
      <c r="E363" s="7"/>
      <c r="F363" s="7"/>
      <c r="G363" s="12"/>
      <c r="H363" s="12"/>
      <c r="I363" s="13"/>
    </row>
    <row r="364" spans="2:9" ht="18.75" hidden="1" customHeight="1" x14ac:dyDescent="0.25">
      <c r="B364" s="7">
        <v>359</v>
      </c>
      <c r="C364" s="16"/>
      <c r="D364" s="12"/>
      <c r="E364" s="7"/>
      <c r="F364" s="7"/>
      <c r="G364" s="12"/>
      <c r="H364" s="12"/>
      <c r="I364" s="13"/>
    </row>
    <row r="365" spans="2:9" ht="18.75" hidden="1" customHeight="1" x14ac:dyDescent="0.25">
      <c r="B365" s="7">
        <v>360</v>
      </c>
      <c r="C365" s="16"/>
      <c r="D365" s="12"/>
      <c r="E365" s="7"/>
      <c r="F365" s="7"/>
      <c r="G365" s="12"/>
      <c r="H365" s="12"/>
      <c r="I365" s="13"/>
    </row>
    <row r="366" spans="2:9" ht="18.75" hidden="1" customHeight="1" x14ac:dyDescent="0.25">
      <c r="B366" s="7">
        <v>361</v>
      </c>
      <c r="C366" s="16"/>
      <c r="D366" s="12"/>
      <c r="E366" s="7"/>
      <c r="F366" s="7"/>
      <c r="G366" s="12"/>
      <c r="H366" s="12"/>
      <c r="I366" s="13"/>
    </row>
    <row r="367" spans="2:9" ht="18.75" hidden="1" customHeight="1" x14ac:dyDescent="0.25">
      <c r="B367" s="7">
        <v>362</v>
      </c>
      <c r="C367" s="16"/>
      <c r="D367" s="12"/>
      <c r="E367" s="7"/>
      <c r="F367" s="7"/>
      <c r="G367" s="12"/>
      <c r="H367" s="12"/>
      <c r="I367" s="13"/>
    </row>
    <row r="368" spans="2:9" ht="18.75" hidden="1" customHeight="1" x14ac:dyDescent="0.25">
      <c r="B368" s="7">
        <v>363</v>
      </c>
      <c r="C368" s="16"/>
      <c r="D368" s="12"/>
      <c r="E368" s="7"/>
      <c r="F368" s="7"/>
      <c r="G368" s="12"/>
      <c r="H368" s="12"/>
      <c r="I368" s="13"/>
    </row>
    <row r="369" spans="2:9" ht="18.75" hidden="1" customHeight="1" x14ac:dyDescent="0.25">
      <c r="B369" s="7">
        <v>364</v>
      </c>
      <c r="C369" s="16"/>
      <c r="D369" s="12"/>
      <c r="E369" s="7"/>
      <c r="F369" s="7"/>
      <c r="G369" s="12"/>
      <c r="H369" s="12"/>
      <c r="I369" s="13"/>
    </row>
    <row r="370" spans="2:9" ht="18.75" hidden="1" customHeight="1" x14ac:dyDescent="0.25">
      <c r="B370" s="7">
        <v>365</v>
      </c>
      <c r="C370" s="16"/>
      <c r="D370" s="12"/>
      <c r="E370" s="7"/>
      <c r="F370" s="7"/>
      <c r="G370" s="12"/>
      <c r="H370" s="12"/>
      <c r="I370" s="13"/>
    </row>
    <row r="371" spans="2:9" ht="18.75" hidden="1" customHeight="1" x14ac:dyDescent="0.25">
      <c r="B371" s="7">
        <v>366</v>
      </c>
      <c r="C371" s="16"/>
      <c r="D371" s="12"/>
      <c r="E371" s="7"/>
      <c r="F371" s="7"/>
      <c r="G371" s="12"/>
      <c r="H371" s="12"/>
      <c r="I371" s="13"/>
    </row>
    <row r="372" spans="2:9" ht="18.75" hidden="1" customHeight="1" x14ac:dyDescent="0.25">
      <c r="B372" s="7">
        <v>367</v>
      </c>
      <c r="C372" s="16"/>
      <c r="D372" s="12"/>
      <c r="E372" s="7"/>
      <c r="F372" s="7"/>
      <c r="G372" s="12"/>
      <c r="H372" s="12"/>
      <c r="I372" s="13"/>
    </row>
    <row r="373" spans="2:9" ht="18.75" hidden="1" customHeight="1" x14ac:dyDescent="0.25">
      <c r="B373" s="7">
        <v>368</v>
      </c>
      <c r="C373" s="16"/>
      <c r="D373" s="12"/>
      <c r="E373" s="7"/>
      <c r="F373" s="7"/>
      <c r="G373" s="12"/>
      <c r="H373" s="12"/>
      <c r="I373" s="13"/>
    </row>
    <row r="374" spans="2:9" ht="18.75" hidden="1" customHeight="1" x14ac:dyDescent="0.25">
      <c r="B374" s="7">
        <v>369</v>
      </c>
      <c r="C374" s="16"/>
      <c r="D374" s="12"/>
      <c r="E374" s="7"/>
      <c r="F374" s="7"/>
      <c r="G374" s="12"/>
      <c r="H374" s="12"/>
      <c r="I374" s="13"/>
    </row>
    <row r="375" spans="2:9" ht="18.75" hidden="1" customHeight="1" x14ac:dyDescent="0.25">
      <c r="B375" s="7">
        <v>370</v>
      </c>
      <c r="C375" s="16"/>
      <c r="D375" s="12"/>
      <c r="E375" s="7"/>
      <c r="F375" s="7"/>
      <c r="G375" s="12"/>
      <c r="H375" s="12"/>
      <c r="I375" s="13"/>
    </row>
    <row r="376" spans="2:9" ht="18.75" hidden="1" customHeight="1" x14ac:dyDescent="0.25">
      <c r="B376" s="7">
        <v>371</v>
      </c>
      <c r="C376" s="16"/>
      <c r="D376" s="12"/>
      <c r="E376" s="7"/>
      <c r="F376" s="7"/>
      <c r="G376" s="12"/>
      <c r="H376" s="12"/>
      <c r="I376" s="13"/>
    </row>
    <row r="377" spans="2:9" ht="18.75" hidden="1" customHeight="1" x14ac:dyDescent="0.25">
      <c r="B377" s="7">
        <v>372</v>
      </c>
      <c r="C377" s="16"/>
      <c r="D377" s="12"/>
      <c r="E377" s="7"/>
      <c r="F377" s="7"/>
      <c r="G377" s="12"/>
      <c r="H377" s="12"/>
      <c r="I377" s="13"/>
    </row>
    <row r="378" spans="2:9" ht="18.75" hidden="1" customHeight="1" x14ac:dyDescent="0.25">
      <c r="B378" s="7">
        <v>373</v>
      </c>
      <c r="C378" s="16"/>
      <c r="D378" s="12"/>
      <c r="E378" s="7"/>
      <c r="F378" s="7"/>
      <c r="G378" s="12"/>
      <c r="H378" s="12"/>
      <c r="I378" s="13"/>
    </row>
    <row r="379" spans="2:9" ht="18.75" hidden="1" customHeight="1" x14ac:dyDescent="0.25">
      <c r="B379" s="7">
        <v>374</v>
      </c>
      <c r="C379" s="16"/>
      <c r="D379" s="12"/>
      <c r="E379" s="7"/>
      <c r="F379" s="7"/>
      <c r="G379" s="12"/>
      <c r="H379" s="12"/>
      <c r="I379" s="13"/>
    </row>
    <row r="380" spans="2:9" ht="18.75" hidden="1" customHeight="1" x14ac:dyDescent="0.25">
      <c r="B380" s="7">
        <v>375</v>
      </c>
      <c r="C380" s="16"/>
      <c r="D380" s="12"/>
      <c r="E380" s="7"/>
      <c r="F380" s="7"/>
      <c r="G380" s="12"/>
      <c r="H380" s="12"/>
      <c r="I380" s="13"/>
    </row>
    <row r="381" spans="2:9" ht="18.75" hidden="1" customHeight="1" x14ac:dyDescent="0.25">
      <c r="B381" s="7">
        <v>376</v>
      </c>
      <c r="C381" s="16"/>
      <c r="D381" s="12"/>
      <c r="E381" s="7"/>
      <c r="F381" s="7"/>
      <c r="G381" s="12"/>
      <c r="H381" s="12"/>
      <c r="I381" s="13"/>
    </row>
    <row r="382" spans="2:9" ht="18.75" hidden="1" customHeight="1" x14ac:dyDescent="0.25">
      <c r="B382" s="7">
        <v>377</v>
      </c>
      <c r="C382" s="16"/>
      <c r="D382" s="12"/>
      <c r="E382" s="7"/>
      <c r="F382" s="7"/>
      <c r="G382" s="12"/>
      <c r="H382" s="12"/>
      <c r="I382" s="13"/>
    </row>
    <row r="383" spans="2:9" ht="18.75" hidden="1" customHeight="1" x14ac:dyDescent="0.25">
      <c r="B383" s="7">
        <v>378</v>
      </c>
      <c r="C383" s="16"/>
      <c r="D383" s="12"/>
      <c r="E383" s="7"/>
      <c r="F383" s="7"/>
      <c r="G383" s="12"/>
      <c r="H383" s="12"/>
      <c r="I383" s="13"/>
    </row>
    <row r="384" spans="2:9" ht="18.75" hidden="1" customHeight="1" x14ac:dyDescent="0.25">
      <c r="B384" s="7">
        <v>379</v>
      </c>
      <c r="C384" s="16"/>
      <c r="D384" s="12"/>
      <c r="E384" s="7"/>
      <c r="F384" s="7"/>
      <c r="G384" s="12"/>
      <c r="H384" s="12"/>
      <c r="I384" s="13"/>
    </row>
    <row r="385" spans="2:9" ht="18.75" hidden="1" customHeight="1" x14ac:dyDescent="0.25">
      <c r="B385" s="7">
        <v>380</v>
      </c>
      <c r="C385" s="16"/>
      <c r="D385" s="12"/>
      <c r="E385" s="7"/>
      <c r="F385" s="7"/>
      <c r="G385" s="12"/>
      <c r="H385" s="12"/>
      <c r="I385" s="13"/>
    </row>
    <row r="386" spans="2:9" ht="18.75" hidden="1" customHeight="1" x14ac:dyDescent="0.25">
      <c r="B386" s="7">
        <v>381</v>
      </c>
      <c r="C386" s="16"/>
      <c r="D386" s="12"/>
      <c r="E386" s="7"/>
      <c r="F386" s="7"/>
      <c r="G386" s="12"/>
      <c r="H386" s="12"/>
      <c r="I386" s="13"/>
    </row>
    <row r="387" spans="2:9" ht="18.75" hidden="1" customHeight="1" x14ac:dyDescent="0.25">
      <c r="B387" s="7">
        <v>382</v>
      </c>
      <c r="C387" s="16"/>
      <c r="D387" s="12"/>
      <c r="E387" s="7"/>
      <c r="F387" s="7"/>
      <c r="G387" s="12"/>
      <c r="H387" s="12"/>
      <c r="I387" s="13"/>
    </row>
    <row r="388" spans="2:9" ht="18.75" hidden="1" customHeight="1" x14ac:dyDescent="0.25">
      <c r="B388" s="7">
        <v>383</v>
      </c>
      <c r="C388" s="16"/>
      <c r="D388" s="12"/>
      <c r="E388" s="7"/>
      <c r="F388" s="7"/>
      <c r="G388" s="12"/>
      <c r="H388" s="12"/>
      <c r="I388" s="13"/>
    </row>
    <row r="389" spans="2:9" ht="18.75" hidden="1" customHeight="1" x14ac:dyDescent="0.25">
      <c r="B389" s="7">
        <v>384</v>
      </c>
      <c r="C389" s="16"/>
      <c r="D389" s="12"/>
      <c r="E389" s="7"/>
      <c r="F389" s="7"/>
      <c r="G389" s="12"/>
      <c r="H389" s="12"/>
      <c r="I389" s="13"/>
    </row>
    <row r="390" spans="2:9" ht="18.75" hidden="1" customHeight="1" x14ac:dyDescent="0.25">
      <c r="B390" s="7">
        <v>385</v>
      </c>
      <c r="C390" s="16"/>
      <c r="D390" s="12"/>
      <c r="E390" s="7"/>
      <c r="F390" s="7"/>
      <c r="G390" s="12"/>
      <c r="H390" s="12"/>
      <c r="I390" s="13"/>
    </row>
    <row r="391" spans="2:9" ht="18.75" hidden="1" customHeight="1" x14ac:dyDescent="0.25">
      <c r="B391" s="7">
        <v>386</v>
      </c>
      <c r="C391" s="16"/>
      <c r="D391" s="12"/>
      <c r="E391" s="7"/>
      <c r="F391" s="7"/>
      <c r="G391" s="12"/>
      <c r="H391" s="12"/>
      <c r="I391" s="13"/>
    </row>
    <row r="392" spans="2:9" ht="18.75" hidden="1" customHeight="1" x14ac:dyDescent="0.25">
      <c r="B392" s="7">
        <v>387</v>
      </c>
      <c r="C392" s="16"/>
      <c r="D392" s="12"/>
      <c r="E392" s="7"/>
      <c r="F392" s="7"/>
      <c r="G392" s="12"/>
      <c r="H392" s="12"/>
      <c r="I392" s="13"/>
    </row>
    <row r="393" spans="2:9" ht="18.75" hidden="1" customHeight="1" x14ac:dyDescent="0.25">
      <c r="B393" s="7">
        <v>388</v>
      </c>
      <c r="C393" s="16"/>
      <c r="D393" s="12"/>
      <c r="E393" s="7"/>
      <c r="F393" s="7"/>
      <c r="G393" s="12"/>
      <c r="H393" s="12"/>
      <c r="I393" s="13"/>
    </row>
    <row r="394" spans="2:9" ht="18.75" hidden="1" customHeight="1" x14ac:dyDescent="0.25">
      <c r="B394" s="7">
        <v>389</v>
      </c>
      <c r="C394" s="16"/>
      <c r="D394" s="12"/>
      <c r="E394" s="7"/>
      <c r="F394" s="7"/>
      <c r="G394" s="12"/>
      <c r="H394" s="12"/>
      <c r="I394" s="13"/>
    </row>
    <row r="395" spans="2:9" ht="18.75" hidden="1" customHeight="1" x14ac:dyDescent="0.25">
      <c r="B395" s="7">
        <v>390</v>
      </c>
      <c r="C395" s="16"/>
      <c r="D395" s="12"/>
      <c r="E395" s="7"/>
      <c r="F395" s="7"/>
      <c r="G395" s="12"/>
      <c r="H395" s="12"/>
      <c r="I395" s="13"/>
    </row>
    <row r="396" spans="2:9" ht="18.75" hidden="1" customHeight="1" x14ac:dyDescent="0.25">
      <c r="B396" s="7">
        <v>391</v>
      </c>
      <c r="C396" s="16"/>
      <c r="D396" s="12"/>
      <c r="E396" s="7"/>
      <c r="F396" s="7"/>
      <c r="G396" s="12"/>
      <c r="H396" s="12"/>
      <c r="I396" s="13"/>
    </row>
    <row r="397" spans="2:9" ht="18.75" hidden="1" customHeight="1" x14ac:dyDescent="0.25">
      <c r="B397" s="7">
        <v>392</v>
      </c>
      <c r="C397" s="16"/>
      <c r="D397" s="12"/>
      <c r="E397" s="7"/>
      <c r="F397" s="7"/>
      <c r="G397" s="12"/>
      <c r="H397" s="12"/>
      <c r="I397" s="13"/>
    </row>
    <row r="398" spans="2:9" ht="18.75" hidden="1" customHeight="1" x14ac:dyDescent="0.25">
      <c r="B398" s="7">
        <v>393</v>
      </c>
      <c r="C398" s="16"/>
      <c r="D398" s="12"/>
      <c r="E398" s="7"/>
      <c r="F398" s="7"/>
      <c r="G398" s="12"/>
      <c r="H398" s="12"/>
      <c r="I398" s="13"/>
    </row>
    <row r="399" spans="2:9" ht="18.75" hidden="1" customHeight="1" x14ac:dyDescent="0.25">
      <c r="B399" s="7">
        <v>394</v>
      </c>
      <c r="C399" s="16"/>
      <c r="D399" s="12"/>
      <c r="E399" s="7"/>
      <c r="F399" s="7"/>
      <c r="G399" s="12"/>
      <c r="H399" s="12"/>
      <c r="I399" s="13"/>
    </row>
    <row r="400" spans="2:9" ht="18.75" hidden="1" customHeight="1" x14ac:dyDescent="0.25">
      <c r="B400" s="7">
        <v>395</v>
      </c>
      <c r="C400" s="16"/>
      <c r="D400" s="12"/>
      <c r="E400" s="7"/>
      <c r="F400" s="7"/>
      <c r="G400" s="12"/>
      <c r="H400" s="12"/>
      <c r="I400" s="13"/>
    </row>
    <row r="401" spans="2:9" ht="18.75" hidden="1" customHeight="1" x14ac:dyDescent="0.25">
      <c r="B401" s="7">
        <v>396</v>
      </c>
      <c r="C401" s="16"/>
      <c r="D401" s="12"/>
      <c r="E401" s="7"/>
      <c r="F401" s="7"/>
      <c r="G401" s="12"/>
      <c r="H401" s="12"/>
      <c r="I401" s="13"/>
    </row>
    <row r="402" spans="2:9" ht="18.75" hidden="1" customHeight="1" x14ac:dyDescent="0.25">
      <c r="B402" s="7">
        <v>397</v>
      </c>
      <c r="C402" s="16"/>
      <c r="D402" s="12"/>
      <c r="E402" s="7"/>
      <c r="F402" s="7"/>
      <c r="G402" s="12"/>
      <c r="H402" s="12"/>
      <c r="I402" s="13"/>
    </row>
    <row r="403" spans="2:9" ht="18.75" hidden="1" customHeight="1" x14ac:dyDescent="0.25">
      <c r="B403" s="7">
        <v>398</v>
      </c>
      <c r="C403" s="16"/>
      <c r="D403" s="12"/>
      <c r="E403" s="7"/>
      <c r="F403" s="7"/>
      <c r="G403" s="12"/>
      <c r="H403" s="12"/>
      <c r="I403" s="13"/>
    </row>
    <row r="404" spans="2:9" ht="18.75" hidden="1" customHeight="1" x14ac:dyDescent="0.25">
      <c r="B404" s="7">
        <v>399</v>
      </c>
      <c r="C404" s="23"/>
      <c r="D404" s="24"/>
      <c r="E404" s="25"/>
      <c r="F404" s="26"/>
      <c r="G404" s="24"/>
      <c r="H404" s="27"/>
      <c r="I404" s="28"/>
    </row>
    <row r="405" spans="2:9" ht="18.75" hidden="1" customHeight="1" x14ac:dyDescent="0.25">
      <c r="B405" s="7">
        <v>400</v>
      </c>
      <c r="C405" s="23"/>
      <c r="D405" s="24"/>
      <c r="E405" s="26"/>
      <c r="F405" s="25"/>
      <c r="G405" s="24"/>
      <c r="H405" s="29"/>
      <c r="I405" s="28"/>
    </row>
    <row r="406" spans="2:9" ht="18.75" hidden="1" customHeight="1" x14ac:dyDescent="0.25">
      <c r="B406" s="7">
        <v>401</v>
      </c>
      <c r="C406" s="23"/>
      <c r="D406" s="24"/>
      <c r="E406" s="26"/>
      <c r="F406" s="26"/>
      <c r="G406" s="24"/>
      <c r="H406" s="30"/>
      <c r="I406" s="28"/>
    </row>
    <row r="407" spans="2:9" ht="18.75" hidden="1" customHeight="1" x14ac:dyDescent="0.25">
      <c r="B407" s="7">
        <v>402</v>
      </c>
      <c r="C407" s="23"/>
      <c r="D407" s="24"/>
      <c r="E407" s="25"/>
      <c r="F407" s="25"/>
      <c r="G407" s="27"/>
      <c r="H407" s="27"/>
      <c r="I407" s="28"/>
    </row>
    <row r="408" spans="2:9" ht="18.75" hidden="1" customHeight="1" x14ac:dyDescent="0.25">
      <c r="B408" s="7">
        <v>403</v>
      </c>
      <c r="C408" s="23"/>
      <c r="D408" s="24"/>
      <c r="E408" s="26"/>
      <c r="F408" s="26"/>
      <c r="G408" s="24"/>
      <c r="H408" s="30"/>
      <c r="I408" s="28"/>
    </row>
    <row r="409" spans="2:9" ht="18.75" hidden="1" customHeight="1" x14ac:dyDescent="0.25">
      <c r="B409" s="7">
        <v>404</v>
      </c>
      <c r="C409" s="23"/>
      <c r="D409" s="24"/>
      <c r="E409" s="26"/>
      <c r="F409" s="26"/>
      <c r="G409" s="24"/>
      <c r="H409" s="30"/>
      <c r="I409" s="28"/>
    </row>
    <row r="410" spans="2:9" ht="18.75" hidden="1" customHeight="1" x14ac:dyDescent="0.25">
      <c r="B410" s="7">
        <v>405</v>
      </c>
      <c r="C410" s="23"/>
      <c r="D410" s="24"/>
      <c r="E410" s="26"/>
      <c r="F410" s="26"/>
      <c r="G410" s="24"/>
      <c r="H410" s="31"/>
      <c r="I410" s="28"/>
    </row>
    <row r="411" spans="2:9" ht="18.75" hidden="1" customHeight="1" x14ac:dyDescent="0.25">
      <c r="B411" s="7">
        <v>406</v>
      </c>
      <c r="C411" s="23"/>
      <c r="D411" s="24"/>
      <c r="E411" s="26"/>
      <c r="F411" s="26"/>
      <c r="G411" s="24"/>
      <c r="H411" s="30"/>
      <c r="I411" s="28"/>
    </row>
    <row r="412" spans="2:9" ht="18.75" hidden="1" customHeight="1" x14ac:dyDescent="0.25">
      <c r="B412" s="7">
        <v>407</v>
      </c>
      <c r="C412" s="23"/>
      <c r="D412" s="24"/>
      <c r="E412" s="26"/>
      <c r="F412" s="26"/>
      <c r="G412" s="24"/>
      <c r="H412" s="30"/>
      <c r="I412" s="28"/>
    </row>
    <row r="413" spans="2:9" ht="18.75" hidden="1" customHeight="1" x14ac:dyDescent="0.25">
      <c r="B413" s="7">
        <v>407</v>
      </c>
      <c r="C413" s="16"/>
      <c r="D413" s="12"/>
      <c r="E413" s="7"/>
      <c r="F413" s="7"/>
      <c r="G413" s="12"/>
      <c r="H413" s="12"/>
      <c r="I413" s="32"/>
    </row>
    <row r="414" spans="2:9" ht="18.75" hidden="1" customHeight="1" x14ac:dyDescent="0.25">
      <c r="B414" s="7">
        <v>408</v>
      </c>
      <c r="C414" s="16"/>
      <c r="D414" s="12"/>
      <c r="E414" s="7"/>
      <c r="F414" s="7"/>
      <c r="G414" s="12"/>
      <c r="H414" s="12"/>
      <c r="I414" s="32"/>
    </row>
    <row r="415" spans="2:9" ht="18.75" hidden="1" customHeight="1" x14ac:dyDescent="0.25">
      <c r="B415" s="7">
        <v>409</v>
      </c>
      <c r="C415" s="16"/>
      <c r="D415" s="12"/>
      <c r="E415" s="7"/>
      <c r="F415" s="7"/>
      <c r="G415" s="12"/>
      <c r="H415" s="12"/>
      <c r="I415" s="32"/>
    </row>
    <row r="416" spans="2:9" ht="18.75" hidden="1" customHeight="1" x14ac:dyDescent="0.25">
      <c r="B416" s="7">
        <v>410</v>
      </c>
      <c r="C416" s="16"/>
      <c r="D416" s="12"/>
      <c r="E416" s="7"/>
      <c r="F416" s="7"/>
      <c r="G416" s="12"/>
      <c r="H416" s="12"/>
      <c r="I416" s="32"/>
    </row>
    <row r="417" spans="2:9" ht="18.75" hidden="1" customHeight="1" x14ac:dyDescent="0.25">
      <c r="B417" s="7">
        <v>411</v>
      </c>
      <c r="C417" s="16"/>
      <c r="D417" s="12"/>
      <c r="E417" s="7"/>
      <c r="F417" s="7"/>
      <c r="G417" s="12"/>
      <c r="H417" s="12"/>
      <c r="I417" s="32"/>
    </row>
    <row r="418" spans="2:9" ht="18.75" hidden="1" customHeight="1" x14ac:dyDescent="0.25">
      <c r="B418" s="7">
        <v>412</v>
      </c>
      <c r="C418" s="16"/>
      <c r="D418" s="12"/>
      <c r="E418" s="7"/>
      <c r="F418" s="7"/>
      <c r="G418" s="12"/>
      <c r="H418" s="12"/>
      <c r="I418" s="32"/>
    </row>
    <row r="419" spans="2:9" ht="18.75" hidden="1" customHeight="1" x14ac:dyDescent="0.25">
      <c r="B419" s="7">
        <v>413</v>
      </c>
      <c r="C419" s="16"/>
      <c r="D419" s="12"/>
      <c r="E419" s="7"/>
      <c r="F419" s="7"/>
      <c r="G419" s="12"/>
      <c r="H419" s="12"/>
      <c r="I419" s="32"/>
    </row>
    <row r="420" spans="2:9" ht="18.75" hidden="1" customHeight="1" x14ac:dyDescent="0.25">
      <c r="B420" s="7">
        <v>414</v>
      </c>
      <c r="C420" s="16"/>
      <c r="D420" s="12"/>
      <c r="E420" s="7"/>
      <c r="F420" s="7"/>
      <c r="G420" s="12"/>
      <c r="H420" s="12"/>
      <c r="I420" s="32"/>
    </row>
    <row r="421" spans="2:9" ht="18.75" hidden="1" customHeight="1" x14ac:dyDescent="0.25">
      <c r="B421" s="7">
        <v>415</v>
      </c>
      <c r="C421" s="16"/>
      <c r="D421" s="12"/>
      <c r="E421" s="7"/>
      <c r="F421" s="7"/>
      <c r="G421" s="12"/>
      <c r="H421" s="12"/>
      <c r="I421" s="32"/>
    </row>
    <row r="422" spans="2:9" ht="18.75" hidden="1" customHeight="1" x14ac:dyDescent="0.25">
      <c r="B422" s="7">
        <v>416</v>
      </c>
      <c r="C422" s="16"/>
      <c r="D422" s="12"/>
      <c r="E422" s="7"/>
      <c r="F422" s="7"/>
      <c r="G422" s="12"/>
      <c r="H422" s="12"/>
      <c r="I422" s="32"/>
    </row>
    <row r="423" spans="2:9" ht="18.75" hidden="1" customHeight="1" x14ac:dyDescent="0.25">
      <c r="B423" s="7">
        <v>417</v>
      </c>
      <c r="C423" s="16"/>
      <c r="D423" s="12"/>
      <c r="E423" s="7"/>
      <c r="F423" s="7"/>
      <c r="G423" s="12"/>
      <c r="H423" s="12"/>
      <c r="I423" s="32"/>
    </row>
    <row r="424" spans="2:9" ht="18.75" hidden="1" customHeight="1" x14ac:dyDescent="0.25">
      <c r="B424" s="7">
        <v>418</v>
      </c>
      <c r="C424" s="16"/>
      <c r="D424" s="12"/>
      <c r="E424" s="7"/>
      <c r="F424" s="7"/>
      <c r="G424" s="12"/>
      <c r="H424" s="12"/>
      <c r="I424" s="32"/>
    </row>
    <row r="425" spans="2:9" ht="18.75" hidden="1" customHeight="1" x14ac:dyDescent="0.25">
      <c r="B425" s="7">
        <v>419</v>
      </c>
      <c r="C425" s="16"/>
      <c r="D425" s="12"/>
      <c r="E425" s="7"/>
      <c r="F425" s="7"/>
      <c r="G425" s="12"/>
      <c r="H425" s="12"/>
      <c r="I425" s="32"/>
    </row>
    <row r="426" spans="2:9" ht="18.75" hidden="1" customHeight="1" x14ac:dyDescent="0.25">
      <c r="B426" s="7">
        <v>420</v>
      </c>
      <c r="C426" s="16"/>
      <c r="D426" s="12"/>
      <c r="E426" s="7"/>
      <c r="F426" s="7"/>
      <c r="G426" s="12"/>
      <c r="H426" s="12"/>
      <c r="I426" s="32"/>
    </row>
    <row r="427" spans="2:9" ht="18.75" hidden="1" customHeight="1" x14ac:dyDescent="0.25">
      <c r="B427" s="7">
        <v>421</v>
      </c>
      <c r="C427" s="16"/>
      <c r="D427" s="12"/>
      <c r="E427" s="7"/>
      <c r="F427" s="7"/>
      <c r="G427" s="12"/>
      <c r="H427" s="12"/>
      <c r="I427" s="32"/>
    </row>
    <row r="428" spans="2:9" ht="18.75" hidden="1" customHeight="1" x14ac:dyDescent="0.25">
      <c r="B428" s="7">
        <v>422</v>
      </c>
      <c r="C428" s="16"/>
      <c r="D428" s="12"/>
      <c r="E428" s="7"/>
      <c r="F428" s="7"/>
      <c r="G428" s="12"/>
      <c r="H428" s="12"/>
      <c r="I428" s="32"/>
    </row>
    <row r="429" spans="2:9" ht="18.75" hidden="1" customHeight="1" x14ac:dyDescent="0.25">
      <c r="B429" s="7">
        <v>423</v>
      </c>
      <c r="C429" s="16"/>
      <c r="D429" s="12"/>
      <c r="E429" s="7"/>
      <c r="F429" s="7"/>
      <c r="G429" s="12"/>
      <c r="H429" s="12"/>
      <c r="I429" s="32"/>
    </row>
    <row r="430" spans="2:9" ht="18.75" hidden="1" customHeight="1" x14ac:dyDescent="0.25">
      <c r="B430" s="7">
        <v>424</v>
      </c>
      <c r="C430" s="16"/>
      <c r="D430" s="12"/>
      <c r="E430" s="7"/>
      <c r="F430" s="7"/>
      <c r="G430" s="12"/>
      <c r="H430" s="12"/>
      <c r="I430" s="32"/>
    </row>
    <row r="431" spans="2:9" ht="18.75" hidden="1" customHeight="1" x14ac:dyDescent="0.25">
      <c r="B431" s="7">
        <v>425</v>
      </c>
      <c r="C431" s="16"/>
      <c r="D431" s="12"/>
      <c r="E431" s="7"/>
      <c r="F431" s="7"/>
      <c r="G431" s="12"/>
      <c r="H431" s="12"/>
      <c r="I431" s="32"/>
    </row>
    <row r="432" spans="2:9" ht="18.75" hidden="1" customHeight="1" x14ac:dyDescent="0.25">
      <c r="B432" s="7">
        <v>426</v>
      </c>
      <c r="C432" s="16"/>
      <c r="D432" s="12"/>
      <c r="E432" s="7"/>
      <c r="F432" s="7"/>
      <c r="G432" s="12"/>
      <c r="H432" s="12"/>
      <c r="I432" s="32"/>
    </row>
    <row r="433" spans="2:10" ht="18.75" hidden="1" customHeight="1" x14ac:dyDescent="0.25">
      <c r="B433" s="7">
        <v>427</v>
      </c>
      <c r="C433" s="16"/>
      <c r="D433" s="12"/>
      <c r="E433" s="7"/>
      <c r="F433" s="7"/>
      <c r="G433" s="12"/>
      <c r="H433" s="12"/>
      <c r="I433" s="32"/>
    </row>
    <row r="434" spans="2:10" ht="18.75" hidden="1" customHeight="1" x14ac:dyDescent="0.25">
      <c r="B434" s="7">
        <v>428</v>
      </c>
      <c r="C434" s="16"/>
      <c r="D434" s="12"/>
      <c r="E434" s="7"/>
      <c r="F434" s="7"/>
      <c r="G434" s="12"/>
      <c r="H434" s="12"/>
      <c r="I434" s="32"/>
    </row>
    <row r="435" spans="2:10" ht="18.75" hidden="1" customHeight="1" x14ac:dyDescent="0.25">
      <c r="B435" s="7">
        <v>429</v>
      </c>
      <c r="C435" s="16"/>
      <c r="D435" s="12"/>
      <c r="E435" s="7"/>
      <c r="F435" s="7"/>
      <c r="G435" s="12"/>
      <c r="H435" s="12"/>
      <c r="I435" s="32"/>
    </row>
    <row r="436" spans="2:10" ht="18.75" hidden="1" customHeight="1" x14ac:dyDescent="0.25">
      <c r="B436" s="7">
        <v>430</v>
      </c>
      <c r="C436" s="16"/>
      <c r="D436" s="12"/>
      <c r="E436" s="7"/>
      <c r="F436" s="7"/>
      <c r="G436" s="12"/>
      <c r="H436" s="12"/>
      <c r="I436" s="32"/>
    </row>
    <row r="437" spans="2:10" ht="18.75" hidden="1" customHeight="1" x14ac:dyDescent="0.25">
      <c r="B437" s="7">
        <v>431</v>
      </c>
      <c r="C437" s="16"/>
      <c r="D437" s="12"/>
      <c r="E437" s="7"/>
      <c r="F437" s="7"/>
      <c r="G437" s="12"/>
      <c r="H437" s="12"/>
      <c r="I437" s="32"/>
    </row>
    <row r="438" spans="2:10" ht="18.75" hidden="1" customHeight="1" x14ac:dyDescent="0.25">
      <c r="B438" s="7">
        <v>432</v>
      </c>
      <c r="C438" s="16"/>
      <c r="D438" s="12"/>
      <c r="E438" s="7"/>
      <c r="F438" s="7"/>
      <c r="G438" s="12"/>
      <c r="H438" s="12"/>
      <c r="I438" s="32"/>
    </row>
    <row r="439" spans="2:10" ht="18.75" hidden="1" customHeight="1" x14ac:dyDescent="0.25">
      <c r="B439" s="7">
        <v>433</v>
      </c>
      <c r="C439" s="16"/>
      <c r="D439" s="12"/>
      <c r="E439" s="7"/>
      <c r="F439" s="7"/>
      <c r="G439" s="12"/>
      <c r="H439" s="12"/>
      <c r="I439" s="32"/>
    </row>
    <row r="440" spans="2:10" ht="18.75" hidden="1" customHeight="1" x14ac:dyDescent="0.25">
      <c r="B440" s="7">
        <v>434</v>
      </c>
      <c r="C440" s="16"/>
      <c r="D440" s="12"/>
      <c r="E440" s="7"/>
      <c r="F440" s="7"/>
      <c r="G440" s="12"/>
      <c r="H440" s="12"/>
      <c r="I440" s="32"/>
    </row>
    <row r="441" spans="2:10" ht="18.75" hidden="1" customHeight="1" x14ac:dyDescent="0.25">
      <c r="B441" s="7">
        <v>435</v>
      </c>
      <c r="C441" s="16"/>
      <c r="D441" s="12"/>
      <c r="E441" s="7"/>
      <c r="F441" s="7"/>
      <c r="G441" s="12"/>
      <c r="H441" s="12"/>
      <c r="I441" s="32"/>
    </row>
    <row r="442" spans="2:10" ht="18.75" hidden="1" customHeight="1" x14ac:dyDescent="0.25">
      <c r="B442" s="7">
        <v>436</v>
      </c>
      <c r="C442" s="16"/>
      <c r="D442" s="12"/>
      <c r="E442" s="7"/>
      <c r="F442" s="7"/>
      <c r="G442" s="12"/>
      <c r="H442" s="12"/>
      <c r="I442" s="32"/>
    </row>
    <row r="443" spans="2:10" ht="18.75" hidden="1" customHeight="1" x14ac:dyDescent="0.25">
      <c r="B443" s="7">
        <v>437</v>
      </c>
      <c r="C443" s="16"/>
      <c r="D443" s="12"/>
      <c r="E443" s="7"/>
      <c r="F443" s="7"/>
      <c r="G443" s="12"/>
      <c r="H443" s="12"/>
      <c r="I443" s="32"/>
    </row>
    <row r="444" spans="2:10" ht="18.75" hidden="1" customHeight="1" x14ac:dyDescent="0.25">
      <c r="B444" s="7">
        <v>438</v>
      </c>
      <c r="C444" s="16"/>
      <c r="D444" s="12"/>
      <c r="E444" s="7"/>
      <c r="F444" s="7"/>
      <c r="G444" s="12"/>
      <c r="H444" s="12"/>
      <c r="I444" s="32"/>
    </row>
    <row r="445" spans="2:10" ht="18.75" hidden="1" customHeight="1" x14ac:dyDescent="0.25">
      <c r="B445" s="7">
        <v>439</v>
      </c>
      <c r="C445" s="16"/>
      <c r="D445" s="12"/>
      <c r="E445" s="7"/>
      <c r="F445" s="7"/>
      <c r="G445" s="12"/>
      <c r="H445" s="12"/>
      <c r="I445" s="32"/>
    </row>
    <row r="446" spans="2:10" ht="18.75" hidden="1" customHeight="1" x14ac:dyDescent="0.25">
      <c r="B446" s="7">
        <v>440</v>
      </c>
      <c r="C446" s="16"/>
      <c r="D446" s="12"/>
      <c r="E446" s="7"/>
      <c r="F446" s="7"/>
      <c r="G446" s="12"/>
      <c r="H446" s="12"/>
      <c r="I446" s="32"/>
    </row>
    <row r="447" spans="2:10" s="6" customFormat="1" ht="18.75" customHeight="1" x14ac:dyDescent="0.25">
      <c r="B447" s="33" t="s">
        <v>13</v>
      </c>
      <c r="C447" s="34" t="str">
        <f>UPPER("Total Payment")</f>
        <v>TOTAL PAYMENT</v>
      </c>
      <c r="D447" s="35"/>
      <c r="E447" s="35"/>
      <c r="F447" s="35"/>
      <c r="G447" s="35"/>
      <c r="H447" s="35"/>
      <c r="I447" s="36">
        <f>SUM(I6:I412)</f>
        <v>301338763</v>
      </c>
      <c r="J447" s="4"/>
    </row>
    <row r="448" spans="2:10" s="6" customFormat="1" ht="18.75" customHeight="1" x14ac:dyDescent="0.25">
      <c r="B448" s="7">
        <v>1</v>
      </c>
      <c r="C448" s="7">
        <v>1278695371</v>
      </c>
      <c r="D448" s="12" t="str">
        <f>VLOOKUP(C448,[2]report!$A$2:$Q$496,3,FALSE)</f>
        <v>SARLINA M.KILYKILY</v>
      </c>
      <c r="E448" s="7">
        <f>VLOOKUP(C448,[2]report!$A$2:$Q$496,4,FALSE)</f>
        <v>73947604</v>
      </c>
      <c r="F448" s="7">
        <f>VLOOKUP(C448,[2]report!$A$2:$Q$496,5,FALSE)</f>
        <v>4120177374</v>
      </c>
      <c r="G448" s="12" t="str">
        <f>VLOOKUP(C448,[2]report!$A$2:$Q$496,8,FALSE)</f>
        <v>Kota Makassar - Kota Makassar</v>
      </c>
      <c r="H448" s="12" t="str">
        <f>VLOOKUP(C448,[2]report!$A$2:$Q$496,9,FALSE)</f>
        <v>21/08/2025 - 23/08/2025</v>
      </c>
      <c r="I448" s="13">
        <f>VLOOKUP(C448,[2]report!$A$2:$Q$496,17,FALSE)</f>
        <v>858500</v>
      </c>
      <c r="J448" s="4"/>
    </row>
    <row r="449" spans="2:10" s="6" customFormat="1" ht="18.75" customHeight="1" x14ac:dyDescent="0.25">
      <c r="B449" s="7">
        <v>2</v>
      </c>
      <c r="C449" s="7">
        <v>1278694261</v>
      </c>
      <c r="D449" s="12" t="str">
        <f>VLOOKUP(C449,[2]report!$A$2:$Q$496,3,FALSE)</f>
        <v>M. ISSAM CHALIBI</v>
      </c>
      <c r="E449" s="7">
        <f>VLOOKUP(C449,[2]report!$A$2:$Q$496,4,FALSE)</f>
        <v>91167604</v>
      </c>
      <c r="F449" s="7">
        <f>VLOOKUP(C449,[2]report!$A$2:$Q$496,5,FALSE)</f>
        <v>4120177346</v>
      </c>
      <c r="G449" s="12" t="str">
        <f>VLOOKUP(C449,[2]report!$A$2:$Q$496,8,FALSE)</f>
        <v>Kota Kendari - Kota Makassar</v>
      </c>
      <c r="H449" s="12" t="str">
        <f>VLOOKUP(C449,[2]report!$A$2:$Q$496,9,FALSE)</f>
        <v>21/08/2025 - 23/08/2025</v>
      </c>
      <c r="I449" s="13">
        <f>VLOOKUP(C449,[2]report!$A$2:$Q$496,17,FALSE)</f>
        <v>902800</v>
      </c>
      <c r="J449" s="4"/>
    </row>
    <row r="450" spans="2:10" s="6" customFormat="1" ht="18.75" customHeight="1" x14ac:dyDescent="0.25">
      <c r="B450" s="7">
        <v>3</v>
      </c>
      <c r="C450" s="7">
        <v>1277517205</v>
      </c>
      <c r="D450" s="12" t="str">
        <f>VLOOKUP(C450,[2]report!$A$2:$Q$496,3,FALSE)</f>
        <v xml:space="preserve">EDYANSYAH </v>
      </c>
      <c r="E450" s="7">
        <f>VLOOKUP(C450,[2]report!$A$2:$Q$496,4,FALSE)</f>
        <v>70957602</v>
      </c>
      <c r="F450" s="7">
        <f>VLOOKUP(C450,[2]report!$A$2:$Q$496,5,FALSE)</f>
        <v>4120177253</v>
      </c>
      <c r="G450" s="12" t="str">
        <f>VLOOKUP(C450,[2]report!$A$2:$Q$496,8,FALSE)</f>
        <v>Kota Makassar - Jakarta Pusat - Kota Bandung</v>
      </c>
      <c r="H450" s="12" t="str">
        <f>VLOOKUP(C450,[2]report!$A$2:$Q$496,9,FALSE)</f>
        <v>19/08/2025 - 22/08/2025</v>
      </c>
      <c r="I450" s="13">
        <v>873504</v>
      </c>
      <c r="J450" s="4"/>
    </row>
    <row r="451" spans="2:10" s="6" customFormat="1" ht="18.75" customHeight="1" x14ac:dyDescent="0.25">
      <c r="B451" s="7">
        <v>4</v>
      </c>
      <c r="C451" s="7">
        <v>1278411633</v>
      </c>
      <c r="D451" s="12" t="str">
        <f>VLOOKUP(C451,[2]report!$A$2:$Q$496,3,FALSE)</f>
        <v>AHMAD AMIRUL SYARIF</v>
      </c>
      <c r="E451" s="7">
        <f>VLOOKUP(C451,[2]report!$A$2:$Q$496,4,FALSE)</f>
        <v>87108002</v>
      </c>
      <c r="F451" s="7">
        <f>VLOOKUP(C451,[2]report!$A$2:$Q$496,5,FALSE)</f>
        <v>4120177320</v>
      </c>
      <c r="G451" s="12" t="str">
        <f>VLOOKUP(C451,[2]report!$A$2:$Q$496,8,FALSE)</f>
        <v>Kota Makassar - Kab. Kolaka Utara</v>
      </c>
      <c r="H451" s="12" t="str">
        <f>VLOOKUP(C451,[2]report!$A$2:$Q$496,9,FALSE)</f>
        <v>25/08/2025 - 28/08/2025</v>
      </c>
      <c r="I451" s="13">
        <f>VLOOKUP(C451,[2]report!$A$2:$Q$496,17,FALSE)</f>
        <v>1989000</v>
      </c>
      <c r="J451" s="4"/>
    </row>
    <row r="452" spans="2:10" s="6" customFormat="1" ht="18.75" customHeight="1" x14ac:dyDescent="0.25">
      <c r="B452" s="7">
        <v>5</v>
      </c>
      <c r="C452" s="7">
        <v>1280344826</v>
      </c>
      <c r="D452" s="12" t="str">
        <f>VLOOKUP(C452,[2]report!$A$2:$Q$496,3,FALSE)</f>
        <v>MUHAMMAD IQBAAL MS</v>
      </c>
      <c r="E452" s="7">
        <f>VLOOKUP(C452,[2]report!$A$2:$Q$496,4,FALSE)</f>
        <v>94177619</v>
      </c>
      <c r="F452" s="7">
        <f>VLOOKUP(C452,[2]report!$A$2:$Q$496,5,FALSE)</f>
        <v>4120177496</v>
      </c>
      <c r="G452" s="12" t="str">
        <f>VLOOKUP(C452,[2]report!$A$2:$Q$496,8,FALSE)</f>
        <v>Kota Baubau - Kota Yogyakarta</v>
      </c>
      <c r="H452" s="12" t="str">
        <f>VLOOKUP(C452,[2]report!$A$2:$Q$496,9,FALSE)</f>
        <v>01/09/2025 - 05/09/2025</v>
      </c>
      <c r="I452" s="13">
        <v>2639500</v>
      </c>
      <c r="J452" s="4"/>
    </row>
    <row r="453" spans="2:10" s="6" customFormat="1" ht="18.75" customHeight="1" x14ac:dyDescent="0.25">
      <c r="B453" s="7">
        <v>6</v>
      </c>
      <c r="C453" s="7">
        <v>1280379885</v>
      </c>
      <c r="D453" s="12" t="str">
        <f>VLOOKUP(C453,[2]report!$A$2:$Q$496,3,FALSE)</f>
        <v>ZAKI ASHARI</v>
      </c>
      <c r="E453" s="7">
        <f>VLOOKUP(C453,[2]report!$A$2:$Q$496,4,FALSE)</f>
        <v>90087607</v>
      </c>
      <c r="F453" s="7">
        <f>VLOOKUP(C453,[2]report!$A$2:$Q$496,5,FALSE)</f>
        <v>4120177448</v>
      </c>
      <c r="G453" s="12" t="str">
        <f>VLOOKUP(C453,[2]report!$A$2:$Q$496,8,FALSE)</f>
        <v>Kota Makassar - Kab. Bulukumba</v>
      </c>
      <c r="H453" s="12" t="str">
        <f>VLOOKUP(C453,[2]report!$A$2:$Q$496,9,FALSE)</f>
        <v>27/08/2025 - 29/08/2025</v>
      </c>
      <c r="I453" s="13">
        <f>VLOOKUP(C453,[2]report!$A$2:$Q$496,17,FALSE)</f>
        <v>405000</v>
      </c>
      <c r="J453" s="4"/>
    </row>
    <row r="454" spans="2:10" s="6" customFormat="1" ht="18.75" customHeight="1" x14ac:dyDescent="0.25">
      <c r="B454" s="7">
        <v>7</v>
      </c>
      <c r="C454" s="7">
        <v>1280637841</v>
      </c>
      <c r="D454" s="12" t="str">
        <f>VLOOKUP(C454,[2]report!$A$2:$Q$496,3,FALSE)</f>
        <v>MUH. RIYAN MIFTA</v>
      </c>
      <c r="E454" s="7">
        <f>VLOOKUP(C454,[2]report!$A$2:$Q$496,4,FALSE)</f>
        <v>96187604</v>
      </c>
      <c r="F454" s="7">
        <f>VLOOKUP(C454,[2]report!$A$2:$Q$496,5,FALSE)</f>
        <v>4120177502</v>
      </c>
      <c r="G454" s="12" t="str">
        <f>VLOOKUP(C454,[2]report!$A$2:$Q$496,8,FALSE)</f>
        <v>Kab. Mamuju - Kota Cilegon</v>
      </c>
      <c r="H454" s="12" t="str">
        <f>VLOOKUP(C454,[2]report!$A$2:$Q$496,9,FALSE)</f>
        <v>31/08/2025 - 05/09/2025</v>
      </c>
      <c r="I454" s="13">
        <f>VLOOKUP(C454,[2]report!$A$2:$Q$496,17,FALSE)</f>
        <v>2643000</v>
      </c>
      <c r="J454" s="4"/>
    </row>
    <row r="455" spans="2:10" s="6" customFormat="1" ht="18.75" customHeight="1" x14ac:dyDescent="0.25">
      <c r="B455" s="7">
        <v>8</v>
      </c>
      <c r="C455" s="7">
        <v>1280548362</v>
      </c>
      <c r="D455" s="12" t="str">
        <f>VLOOKUP(C455,[2]report!$A$2:$Q$496,3,FALSE)</f>
        <v>SEKARWATI CIPTOROSO</v>
      </c>
      <c r="E455" s="7">
        <f>VLOOKUP(C455,[2]report!$A$2:$Q$496,4,FALSE)</f>
        <v>96197610</v>
      </c>
      <c r="F455" s="7">
        <f>VLOOKUP(C455,[2]report!$A$2:$Q$496,5,FALSE)</f>
        <v>4120177514</v>
      </c>
      <c r="G455" s="12" t="str">
        <f>VLOOKUP(C455,[2]report!$A$2:$Q$496,8,FALSE)</f>
        <v>Kota Baubau - Kota Makassar</v>
      </c>
      <c r="H455" s="12" t="str">
        <f>VLOOKUP(C455,[2]report!$A$2:$Q$496,9,FALSE)</f>
        <v>02/09/2025 - 05/09/2025</v>
      </c>
      <c r="I455" s="13">
        <v>397000</v>
      </c>
      <c r="J455" s="4"/>
    </row>
    <row r="456" spans="2:10" s="6" customFormat="1" ht="18.75" customHeight="1" x14ac:dyDescent="0.25">
      <c r="B456" s="7">
        <v>9</v>
      </c>
      <c r="C456" s="7">
        <v>1279746426</v>
      </c>
      <c r="D456" s="12" t="str">
        <f>VLOOKUP(C456,[2]report!$A$2:$Q$496,3,FALSE)</f>
        <v>AGUS SALIM</v>
      </c>
      <c r="E456" s="7">
        <f>VLOOKUP(C456,[2]report!$A$2:$Q$496,4,FALSE)</f>
        <v>75947601</v>
      </c>
      <c r="F456" s="7">
        <f>VLOOKUP(C456,[2]report!$A$2:$Q$496,5,FALSE)</f>
        <v>4120177367</v>
      </c>
      <c r="G456" s="12" t="str">
        <f>VLOOKUP(C456,[2]report!$A$2:$Q$496,8,FALSE)</f>
        <v>Kota Makassar - Jakarta Selatan</v>
      </c>
      <c r="H456" s="12" t="str">
        <f>VLOOKUP(C456,[2]report!$A$2:$Q$496,9,FALSE)</f>
        <v>01/09/2025 - 04/09/2025</v>
      </c>
      <c r="I456" s="13">
        <v>693900</v>
      </c>
      <c r="J456" s="4"/>
    </row>
    <row r="457" spans="2:10" s="6" customFormat="1" ht="18.75" customHeight="1" x14ac:dyDescent="0.25">
      <c r="B457" s="7">
        <v>10</v>
      </c>
      <c r="C457" s="7">
        <v>1280558996</v>
      </c>
      <c r="D457" s="12" t="str">
        <f>VLOOKUP(C457,[2]report!$A$2:$Q$496,3,FALSE)</f>
        <v>SEKARWATI CIPTOROSO</v>
      </c>
      <c r="E457" s="7">
        <f>VLOOKUP(C457,[2]report!$A$2:$Q$496,4,FALSE)</f>
        <v>96197610</v>
      </c>
      <c r="F457" s="7">
        <f>VLOOKUP(C457,[2]report!$A$2:$Q$496,5,FALSE)</f>
        <v>4120177514</v>
      </c>
      <c r="G457" s="12" t="str">
        <f>VLOOKUP(C457,[2]report!$A$2:$Q$496,8,FALSE)</f>
        <v>Kota Baubau - Kota Makassar</v>
      </c>
      <c r="H457" s="12" t="str">
        <f>VLOOKUP(C457,[2]report!$A$2:$Q$496,9,FALSE)</f>
        <v>02/09/2025 - 05/09/2025</v>
      </c>
      <c r="I457" s="13">
        <f>VLOOKUP(C457,[2]report!$A$2:$Q$496,17,FALSE)</f>
        <v>1738800</v>
      </c>
      <c r="J457" s="4"/>
    </row>
    <row r="458" spans="2:10" s="6" customFormat="1" ht="18.75" customHeight="1" x14ac:dyDescent="0.25">
      <c r="B458" s="7">
        <v>11</v>
      </c>
      <c r="C458" s="7">
        <v>1279698230</v>
      </c>
      <c r="D458" s="12" t="str">
        <f>VLOOKUP(C458,[2]report!$A$2:$Q$496,3,FALSE)</f>
        <v>DALMASIUS NUGROHO ADI PUTRANTO</v>
      </c>
      <c r="E458" s="7">
        <f>VLOOKUP(C458,[2]report!$A$2:$Q$496,4,FALSE)</f>
        <v>80077601</v>
      </c>
      <c r="F458" s="7">
        <f>VLOOKUP(C458,[2]report!$A$2:$Q$496,5,FALSE)</f>
        <v>4120177401</v>
      </c>
      <c r="G458" s="12" t="str">
        <f>VLOOKUP(C458,[2]report!$A$2:$Q$496,8,FALSE)</f>
        <v>Kota Makassar - Jakarta Selatan</v>
      </c>
      <c r="H458" s="12" t="str">
        <f>VLOOKUP(C458,[2]report!$A$2:$Q$496,9,FALSE)</f>
        <v>25/08/2025 - 27/08/2025</v>
      </c>
      <c r="I458" s="13">
        <f>VLOOKUP(C458,[2]report!$A$2:$Q$496,17,FALSE)</f>
        <v>1321800</v>
      </c>
      <c r="J458" s="4"/>
    </row>
    <row r="459" spans="2:10" s="6" customFormat="1" ht="18.75" customHeight="1" x14ac:dyDescent="0.25">
      <c r="B459" s="7">
        <v>12</v>
      </c>
      <c r="C459" s="7">
        <v>1280636942</v>
      </c>
      <c r="D459" s="12" t="str">
        <f>VLOOKUP(C459,[2]report!$A$2:$Q$496,3,FALSE)</f>
        <v>AGUS RIANTO WIBOWO</v>
      </c>
      <c r="E459" s="7">
        <f>VLOOKUP(C459,[2]report!$A$2:$Q$496,4,FALSE)</f>
        <v>96137735</v>
      </c>
      <c r="F459" s="7">
        <f>VLOOKUP(C459,[2]report!$A$2:$Q$496,5,FALSE)</f>
        <v>4120177497</v>
      </c>
      <c r="G459" s="12" t="str">
        <f>VLOOKUP(C459,[2]report!$A$2:$Q$496,8,FALSE)</f>
        <v>Kota Kendari - Kota Makassar</v>
      </c>
      <c r="H459" s="12" t="str">
        <f>VLOOKUP(C459,[2]report!$A$2:$Q$496,9,FALSE)</f>
        <v>02/09/2025 - 05/09/2025</v>
      </c>
      <c r="I459" s="13">
        <v>717204</v>
      </c>
      <c r="J459" s="4"/>
    </row>
    <row r="460" spans="2:10" s="6" customFormat="1" ht="18.75" customHeight="1" x14ac:dyDescent="0.25">
      <c r="B460" s="7">
        <v>13</v>
      </c>
      <c r="C460" s="11">
        <v>1279746426</v>
      </c>
      <c r="D460" s="12" t="str">
        <f>VLOOKUP(C460,[2]report!$A$2:$Q$496,3,FALSE)</f>
        <v>AGUS SALIM</v>
      </c>
      <c r="E460" s="7">
        <f>VLOOKUP(C460,[2]report!$A$2:$Q$496,4,FALSE)</f>
        <v>75947601</v>
      </c>
      <c r="F460" s="7">
        <f>VLOOKUP(C460,[2]report!$A$2:$Q$496,5,FALSE)</f>
        <v>4120177367</v>
      </c>
      <c r="G460" s="12" t="str">
        <f>VLOOKUP(C460,[2]report!$A$2:$Q$496,8,FALSE)</f>
        <v>Kota Makassar - Jakarta Selatan</v>
      </c>
      <c r="H460" s="12" t="str">
        <f>VLOOKUP(C460,[2]report!$A$2:$Q$496,9,FALSE)</f>
        <v>01/09/2025 - 04/09/2025</v>
      </c>
      <c r="I460" s="13">
        <v>1213189</v>
      </c>
      <c r="J460" s="4"/>
    </row>
    <row r="461" spans="2:10" ht="18.75" hidden="1" customHeight="1" x14ac:dyDescent="0.25">
      <c r="B461" s="7">
        <v>14</v>
      </c>
      <c r="C461" s="7"/>
      <c r="D461" s="12"/>
      <c r="E461" s="7"/>
      <c r="F461" s="7"/>
      <c r="G461" s="12"/>
      <c r="H461" s="12"/>
      <c r="I461" s="13"/>
    </row>
    <row r="462" spans="2:10" ht="18.75" hidden="1" customHeight="1" x14ac:dyDescent="0.25">
      <c r="B462" s="7">
        <v>15</v>
      </c>
      <c r="C462" s="7"/>
      <c r="D462" s="12"/>
      <c r="E462" s="7"/>
      <c r="F462" s="7"/>
      <c r="G462" s="12"/>
      <c r="H462" s="12"/>
      <c r="I462" s="13"/>
    </row>
    <row r="463" spans="2:10" ht="18.75" customHeight="1" x14ac:dyDescent="0.25">
      <c r="B463" s="39" t="s">
        <v>14</v>
      </c>
      <c r="C463" s="35" t="str">
        <f>UPPER("Nominal Refund")</f>
        <v>NOMINAL REFUND</v>
      </c>
      <c r="D463" s="35"/>
      <c r="E463" s="35"/>
      <c r="F463" s="35"/>
      <c r="G463" s="35"/>
      <c r="H463" s="35"/>
      <c r="I463" s="40">
        <f>SUM(I448:I462)</f>
        <v>16393197</v>
      </c>
    </row>
    <row r="464" spans="2:10" ht="18.75" customHeight="1" x14ac:dyDescent="0.25">
      <c r="B464" s="39" t="s">
        <v>15</v>
      </c>
      <c r="C464" s="35" t="s">
        <v>16</v>
      </c>
      <c r="D464" s="35"/>
      <c r="E464" s="35"/>
      <c r="F464" s="35"/>
      <c r="G464" s="35"/>
      <c r="H464" s="35"/>
      <c r="I464" s="36">
        <v>0</v>
      </c>
    </row>
    <row r="465" spans="2:10" ht="18.75" customHeight="1" x14ac:dyDescent="0.25">
      <c r="B465" s="39" t="s">
        <v>17</v>
      </c>
      <c r="C465" s="42" t="s">
        <v>18</v>
      </c>
      <c r="D465" s="43"/>
      <c r="E465" s="43"/>
      <c r="F465" s="43"/>
      <c r="G465" s="43"/>
      <c r="H465" s="44"/>
      <c r="I465" s="36">
        <v>0</v>
      </c>
    </row>
    <row r="466" spans="2:10" ht="18.75" customHeight="1" x14ac:dyDescent="0.25">
      <c r="B466" s="39" t="s">
        <v>19</v>
      </c>
      <c r="C466" s="42" t="s">
        <v>20</v>
      </c>
      <c r="D466" s="43"/>
      <c r="E466" s="43"/>
      <c r="F466" s="43"/>
      <c r="G466" s="43"/>
      <c r="H466" s="44"/>
      <c r="I466" s="36">
        <v>12243872</v>
      </c>
    </row>
    <row r="467" spans="2:10" s="46" customFormat="1" ht="18.75" customHeight="1" x14ac:dyDescent="0.25">
      <c r="B467" s="42" t="s">
        <v>29</v>
      </c>
      <c r="C467" s="43"/>
      <c r="D467" s="43"/>
      <c r="E467" s="43"/>
      <c r="F467" s="43"/>
      <c r="G467" s="43"/>
      <c r="H467" s="44"/>
      <c r="I467" s="45">
        <f>I447-I463+I464+I465+I466</f>
        <v>297189438</v>
      </c>
    </row>
    <row r="468" spans="2:10" x14ac:dyDescent="0.25">
      <c r="J468" s="41"/>
    </row>
  </sheetData>
  <autoFilter ref="B5:I468" xr:uid="{00000000-0009-0000-0000-000003000000}"/>
  <mergeCells count="8">
    <mergeCell ref="C466:H466"/>
    <mergeCell ref="B467:H467"/>
    <mergeCell ref="B2:I2"/>
    <mergeCell ref="B3:I3"/>
    <mergeCell ref="C447:H447"/>
    <mergeCell ref="C463:H463"/>
    <mergeCell ref="C464:H464"/>
    <mergeCell ref="C465:H465"/>
  </mergeCells>
  <pageMargins left="0.7" right="0.7" top="0.3" bottom="0.5" header="0.3" footer="0.3"/>
  <pageSetup paperSize="9" scale="72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3C7DB-5FA0-4E9A-8892-22D0764C0D32}">
  <sheetPr>
    <pageSetUpPr fitToPage="1"/>
  </sheetPr>
  <dimension ref="B2:K458"/>
  <sheetViews>
    <sheetView zoomScale="55" zoomScaleNormal="55" workbookViewId="0">
      <selection activeCell="Q29" sqref="Q29"/>
    </sheetView>
  </sheetViews>
  <sheetFormatPr defaultColWidth="9.140625" defaultRowHeight="15" x14ac:dyDescent="0.25"/>
  <cols>
    <col min="1" max="1" width="9.140625" style="4"/>
    <col min="2" max="2" width="7.7109375" style="47" customWidth="1"/>
    <col min="3" max="3" width="15" style="47" customWidth="1"/>
    <col min="4" max="4" width="45" style="48" bestFit="1" customWidth="1"/>
    <col min="5" max="5" width="16.28515625" style="47" customWidth="1"/>
    <col min="6" max="6" width="16.7109375" style="47" customWidth="1"/>
    <col min="7" max="7" width="41.7109375" style="49" bestFit="1" customWidth="1"/>
    <col min="8" max="8" width="25.85546875" style="47" customWidth="1"/>
    <col min="9" max="9" width="19.85546875" style="50" bestFit="1" customWidth="1"/>
    <col min="10" max="10" width="22.85546875" style="4" customWidth="1"/>
    <col min="11" max="11" width="13" style="4" customWidth="1"/>
    <col min="12" max="16384" width="9.140625" style="4"/>
  </cols>
  <sheetData>
    <row r="2" spans="2:10" ht="17.25" customHeight="1" x14ac:dyDescent="0.25">
      <c r="B2" s="1" t="s">
        <v>0</v>
      </c>
      <c r="C2" s="2"/>
      <c r="D2" s="1"/>
      <c r="E2" s="1"/>
      <c r="F2" s="1"/>
      <c r="G2" s="1"/>
      <c r="H2" s="1"/>
      <c r="I2" s="3"/>
    </row>
    <row r="3" spans="2:10" ht="17.25" customHeight="1" x14ac:dyDescent="0.25">
      <c r="B3" s="1" t="s">
        <v>1</v>
      </c>
      <c r="C3" s="2"/>
      <c r="D3" s="1"/>
      <c r="E3" s="1"/>
      <c r="F3" s="1"/>
      <c r="G3" s="1"/>
      <c r="H3" s="1"/>
      <c r="I3" s="3"/>
    </row>
    <row r="5" spans="2:10" s="5" customFormat="1" ht="30" x14ac:dyDescent="0.25">
      <c r="B5" s="7" t="s">
        <v>2</v>
      </c>
      <c r="C5" s="7" t="s">
        <v>3</v>
      </c>
      <c r="D5" s="7" t="s">
        <v>4</v>
      </c>
      <c r="E5" s="8" t="s">
        <v>5</v>
      </c>
      <c r="F5" s="8" t="s">
        <v>6</v>
      </c>
      <c r="G5" s="9" t="s">
        <v>7</v>
      </c>
      <c r="H5" s="7" t="s">
        <v>8</v>
      </c>
      <c r="I5" s="10" t="s">
        <v>9</v>
      </c>
    </row>
    <row r="6" spans="2:10" s="5" customFormat="1" x14ac:dyDescent="0.25">
      <c r="B6" s="7">
        <v>1</v>
      </c>
      <c r="C6" s="11">
        <v>1282156267</v>
      </c>
      <c r="D6" s="12" t="str">
        <f>VLOOKUP(C6,[1]report!$A$2:$Q$496,3,FALSE)</f>
        <v xml:space="preserve">ARJINOFALTIN </v>
      </c>
      <c r="E6" s="12">
        <f>VLOOKUP(C6,[1]report!$A$2:$Q$496,4,FALSE)</f>
        <v>89087605</v>
      </c>
      <c r="F6" s="12">
        <f>VLOOKUP(C6,[1]report!$A$2:$Q$496,5,FALSE)</f>
        <v>4120177578</v>
      </c>
      <c r="G6" s="12" t="str">
        <f>VLOOKUP(C6,[1]report!$A$2:$Q$496,8,FALSE)</f>
        <v>Kota Makassar - Kab. Bombana</v>
      </c>
      <c r="H6" s="12" t="str">
        <f>VLOOKUP(C6,[1]report!$A$2:$Q$496,9,FALSE)</f>
        <v>08/09/2025 - 10/09/2025</v>
      </c>
      <c r="I6" s="13">
        <f>VLOOKUP(C6,[1]report!$A$2:$Q$496,17,FALSE)</f>
        <v>939600</v>
      </c>
      <c r="J6" s="14"/>
    </row>
    <row r="7" spans="2:10" s="5" customFormat="1" x14ac:dyDescent="0.25">
      <c r="B7" s="7">
        <v>2</v>
      </c>
      <c r="C7" s="11">
        <v>1282169844</v>
      </c>
      <c r="D7" s="12" t="str">
        <f>VLOOKUP(C7,[1]report!$A$2:$Q$496,3,FALSE)</f>
        <v>AGUS HARI WIBOWO</v>
      </c>
      <c r="E7" s="12">
        <f>VLOOKUP(C7,[1]report!$A$2:$Q$496,4,FALSE)</f>
        <v>85097602</v>
      </c>
      <c r="F7" s="12">
        <f>VLOOKUP(C7,[1]report!$A$2:$Q$496,5,FALSE)</f>
        <v>4120177603</v>
      </c>
      <c r="G7" s="12" t="str">
        <f>VLOOKUP(C7,[1]report!$A$2:$Q$496,8,FALSE)</f>
        <v>Kota Makassar - Kota Bogor</v>
      </c>
      <c r="H7" s="12" t="str">
        <f>VLOOKUP(C7,[1]report!$A$2:$Q$496,9,FALSE)</f>
        <v>05/09/2025 - 08/09/2025</v>
      </c>
      <c r="I7" s="13">
        <f>VLOOKUP(C7,[1]report!$A$2:$Q$496,17,FALSE)</f>
        <v>1140600</v>
      </c>
      <c r="J7" s="14"/>
    </row>
    <row r="8" spans="2:10" s="5" customFormat="1" x14ac:dyDescent="0.25">
      <c r="B8" s="7">
        <v>3</v>
      </c>
      <c r="C8" s="11">
        <v>1282156176</v>
      </c>
      <c r="D8" s="12" t="str">
        <f>VLOOKUP(C8,[1]report!$A$2:$Q$496,3,FALSE)</f>
        <v>SATRIA PRASAMYA</v>
      </c>
      <c r="E8" s="12">
        <f>VLOOKUP(C8,[1]report!$A$2:$Q$496,4,FALSE)</f>
        <v>88127601</v>
      </c>
      <c r="F8" s="12">
        <f>VLOOKUP(C8,[1]report!$A$2:$Q$496,5,FALSE)</f>
        <v>4120177604</v>
      </c>
      <c r="G8" s="12" t="str">
        <f>VLOOKUP(C8,[1]report!$A$2:$Q$496,8,FALSE)</f>
        <v>Kota Makassar - Kota Bogor</v>
      </c>
      <c r="H8" s="12" t="str">
        <f>VLOOKUP(C8,[1]report!$A$2:$Q$496,9,FALSE)</f>
        <v>05/09/2025 - 08/09/2025</v>
      </c>
      <c r="I8" s="13">
        <f>VLOOKUP(C8,[1]report!$A$2:$Q$496,17,FALSE)</f>
        <v>2335900</v>
      </c>
      <c r="J8" s="14"/>
    </row>
    <row r="9" spans="2:10" s="5" customFormat="1" x14ac:dyDescent="0.25">
      <c r="B9" s="7">
        <v>4</v>
      </c>
      <c r="C9" s="11">
        <v>1282172316</v>
      </c>
      <c r="D9" s="12" t="str">
        <f>VLOOKUP(C9,[1]report!$A$2:$Q$496,3,FALSE)</f>
        <v>SATRIA PRASAMYA</v>
      </c>
      <c r="E9" s="12">
        <f>VLOOKUP(C9,[1]report!$A$2:$Q$496,4,FALSE)</f>
        <v>88127601</v>
      </c>
      <c r="F9" s="12">
        <f>VLOOKUP(C9,[1]report!$A$2:$Q$496,5,FALSE)</f>
        <v>4120177604</v>
      </c>
      <c r="G9" s="12" t="str">
        <f>VLOOKUP(C9,[1]report!$A$2:$Q$496,8,FALSE)</f>
        <v>Kota Makassar - Kota Bogor</v>
      </c>
      <c r="H9" s="12" t="str">
        <f>VLOOKUP(C9,[1]report!$A$2:$Q$496,9,FALSE)</f>
        <v>05/09/2025 - 08/09/2025</v>
      </c>
      <c r="I9" s="13">
        <f>VLOOKUP(C9,[1]report!$A$2:$Q$496,17,FALSE)</f>
        <v>4380000</v>
      </c>
      <c r="J9" s="14"/>
    </row>
    <row r="10" spans="2:10" s="5" customFormat="1" x14ac:dyDescent="0.25">
      <c r="B10" s="7">
        <v>5</v>
      </c>
      <c r="C10" s="11">
        <v>1282237861</v>
      </c>
      <c r="D10" s="12" t="str">
        <f>VLOOKUP(C10,[1]report!$A$2:$Q$496,3,FALSE)</f>
        <v>YOGA YUNIAR B M</v>
      </c>
      <c r="E10" s="12">
        <f>VLOOKUP(C10,[1]report!$A$2:$Q$496,4,FALSE)</f>
        <v>96196205</v>
      </c>
      <c r="F10" s="12">
        <f>VLOOKUP(C10,[1]report!$A$2:$Q$496,5,FALSE)</f>
        <v>4120177517</v>
      </c>
      <c r="G10" s="12" t="str">
        <f>VLOOKUP(C10,[1]report!$A$2:$Q$496,8,FALSE)</f>
        <v>Kab. Pinrang - Jakarta Barat</v>
      </c>
      <c r="H10" s="12" t="str">
        <f>VLOOKUP(C10,[1]report!$A$2:$Q$496,9,FALSE)</f>
        <v>30/08/2025 - 06/09/2025</v>
      </c>
      <c r="I10" s="13">
        <f>VLOOKUP(C10,[1]report!$A$2:$Q$496,17,FALSE)</f>
        <v>641250</v>
      </c>
      <c r="J10" s="14"/>
    </row>
    <row r="11" spans="2:10" s="5" customFormat="1" x14ac:dyDescent="0.25">
      <c r="B11" s="7">
        <v>6</v>
      </c>
      <c r="C11" s="11">
        <v>1282422174</v>
      </c>
      <c r="D11" s="12" t="str">
        <f>VLOOKUP(C11,[1]report!$A$2:$Q$496,3,FALSE)</f>
        <v>BAGUS ALBARANU YULIATMOKO</v>
      </c>
      <c r="E11" s="12">
        <f>VLOOKUP(C11,[1]report!$A$2:$Q$496,4,FALSE)</f>
        <v>96207604</v>
      </c>
      <c r="F11" s="12">
        <f>VLOOKUP(C11,[1]report!$A$2:$Q$496,5,FALSE)</f>
        <v>4120177607</v>
      </c>
      <c r="G11" s="12" t="str">
        <f>VLOOKUP(C11,[1]report!$A$2:$Q$496,8,FALSE)</f>
        <v>Kota Makassar - Kab. Bogor</v>
      </c>
      <c r="H11" s="12" t="str">
        <f>VLOOKUP(C11,[1]report!$A$2:$Q$496,9,FALSE)</f>
        <v>08/09/2025 - 10/09/2025</v>
      </c>
      <c r="I11" s="13">
        <f>VLOOKUP(C11,[1]report!$A$2:$Q$496,17,FALSE)</f>
        <v>705000</v>
      </c>
      <c r="J11" s="14"/>
    </row>
    <row r="12" spans="2:10" s="5" customFormat="1" x14ac:dyDescent="0.25">
      <c r="B12" s="7">
        <v>7</v>
      </c>
      <c r="C12" s="11">
        <v>1282328697</v>
      </c>
      <c r="D12" s="12" t="str">
        <f>VLOOKUP(C12,[1]report!$A$2:$Q$496,3,FALSE)</f>
        <v>ABDURACHMAN ALHOFIKI</v>
      </c>
      <c r="E12" s="12">
        <f>VLOOKUP(C12,[1]report!$A$2:$Q$496,4,FALSE)</f>
        <v>94197605</v>
      </c>
      <c r="F12" s="12">
        <f>VLOOKUP(C12,[1]report!$A$2:$Q$496,5,FALSE)</f>
        <v>4120177602</v>
      </c>
      <c r="G12" s="12" t="str">
        <f>VLOOKUP(C12,[1]report!$A$2:$Q$496,8,FALSE)</f>
        <v>Kota Makassar - Kota Bogor</v>
      </c>
      <c r="H12" s="12" t="str">
        <f>VLOOKUP(C12,[1]report!$A$2:$Q$496,9,FALSE)</f>
        <v>08/09/2025 - 10/09/2025</v>
      </c>
      <c r="I12" s="13">
        <f>VLOOKUP(C12,[1]report!$A$2:$Q$496,17,FALSE)</f>
        <v>705000</v>
      </c>
      <c r="J12" s="14"/>
    </row>
    <row r="13" spans="2:10" s="5" customFormat="1" x14ac:dyDescent="0.25">
      <c r="B13" s="7">
        <v>8</v>
      </c>
      <c r="C13" s="11">
        <v>1282311288</v>
      </c>
      <c r="D13" s="12" t="str">
        <f>VLOOKUP(C13,[1]report!$A$2:$Q$496,3,FALSE)</f>
        <v>NUR LAYLA SARI HS</v>
      </c>
      <c r="E13" s="12">
        <f>VLOOKUP(C13,[1]report!$A$2:$Q$496,4,FALSE)</f>
        <v>93177609</v>
      </c>
      <c r="F13" s="12">
        <f>VLOOKUP(C13,[1]report!$A$2:$Q$496,5,FALSE)</f>
        <v>4120177518</v>
      </c>
      <c r="G13" s="12" t="str">
        <f>VLOOKUP(C13,[1]report!$A$2:$Q$496,8,FALSE)</f>
        <v>Kota Makassar - Jakarta Barat</v>
      </c>
      <c r="H13" s="12" t="str">
        <f>VLOOKUP(C13,[1]report!$A$2:$Q$496,9,FALSE)</f>
        <v>30/08/2025 - 06/09/2025</v>
      </c>
      <c r="I13" s="13">
        <f>VLOOKUP(C13,[1]report!$A$2:$Q$496,17,FALSE)</f>
        <v>841192</v>
      </c>
      <c r="J13" s="14"/>
    </row>
    <row r="14" spans="2:10" s="5" customFormat="1" x14ac:dyDescent="0.25">
      <c r="B14" s="7">
        <v>9</v>
      </c>
      <c r="C14" s="11">
        <v>1282410613</v>
      </c>
      <c r="D14" s="12" t="str">
        <f>VLOOKUP(C14,[1]report!$A$2:$Q$496,3,FALSE)</f>
        <v>I WAYAN EDY PURNAMA ARSA</v>
      </c>
      <c r="E14" s="12">
        <f>VLOOKUP(C14,[1]report!$A$2:$Q$496,4,FALSE)</f>
        <v>91147609</v>
      </c>
      <c r="F14" s="12">
        <f>VLOOKUP(C14,[1]report!$A$2:$Q$496,5,FALSE)</f>
        <v>4120177586</v>
      </c>
      <c r="G14" s="12" t="str">
        <f>VLOOKUP(C14,[1]report!$A$2:$Q$496,8,FALSE)</f>
        <v>Kota Makassar - Kab. Konawe Utara</v>
      </c>
      <c r="H14" s="12" t="str">
        <f>VLOOKUP(C14,[1]report!$A$2:$Q$496,9,FALSE)</f>
        <v>08/09/2025 - 10/09/2025</v>
      </c>
      <c r="I14" s="13">
        <f>VLOOKUP(C14,[1]report!$A$2:$Q$496,17,FALSE)</f>
        <v>864200</v>
      </c>
      <c r="J14" s="15"/>
    </row>
    <row r="15" spans="2:10" s="5" customFormat="1" x14ac:dyDescent="0.25">
      <c r="B15" s="7">
        <v>10</v>
      </c>
      <c r="C15" s="11">
        <v>1282462092</v>
      </c>
      <c r="D15" s="12" t="str">
        <f>VLOOKUP(C15,[1]report!$A$2:$Q$496,3,FALSE)</f>
        <v>LELY SRIHANDAYANI</v>
      </c>
      <c r="E15" s="12">
        <f>VLOOKUP(C15,[1]report!$A$2:$Q$496,4,FALSE)</f>
        <v>85097604</v>
      </c>
      <c r="F15" s="12">
        <f>VLOOKUP(C15,[1]report!$A$2:$Q$496,5,FALSE)</f>
        <v>4120177608</v>
      </c>
      <c r="G15" s="12" t="str">
        <f>VLOOKUP(C15,[1]report!$A$2:$Q$496,8,FALSE)</f>
        <v>Kota Makassar - Kota Bogor</v>
      </c>
      <c r="H15" s="12" t="str">
        <f>VLOOKUP(C15,[1]report!$A$2:$Q$496,9,FALSE)</f>
        <v>08/09/2025 - 10/09/2025</v>
      </c>
      <c r="I15" s="13">
        <f>VLOOKUP(C15,[1]report!$A$2:$Q$496,17,FALSE)</f>
        <v>926640</v>
      </c>
      <c r="J15" s="15"/>
    </row>
    <row r="16" spans="2:10" s="5" customFormat="1" x14ac:dyDescent="0.25">
      <c r="B16" s="7">
        <v>11</v>
      </c>
      <c r="C16" s="11">
        <v>1282363266</v>
      </c>
      <c r="D16" s="12" t="str">
        <f>VLOOKUP(C16,[1]report!$A$2:$Q$496,3,FALSE)</f>
        <v>ISKANDAR AZHAR</v>
      </c>
      <c r="E16" s="12">
        <f>VLOOKUP(C16,[1]report!$A$2:$Q$496,4,FALSE)</f>
        <v>88097609</v>
      </c>
      <c r="F16" s="12">
        <f>VLOOKUP(C16,[1]report!$A$2:$Q$496,5,FALSE)</f>
        <v>4120177611</v>
      </c>
      <c r="G16" s="12" t="str">
        <f>VLOOKUP(C16,[1]report!$A$2:$Q$496,8,FALSE)</f>
        <v>KotaMakassar-KotaBogor</v>
      </c>
      <c r="H16" s="12" t="str">
        <f>VLOOKUP(C16,[1]report!$A$2:$Q$496,9,FALSE)</f>
        <v>07/09/2025 - 10/09/2025</v>
      </c>
      <c r="I16" s="13">
        <f>VLOOKUP(C16,[1]report!$A$2:$Q$496,17,FALSE)</f>
        <v>935000</v>
      </c>
      <c r="J16" s="15"/>
    </row>
    <row r="17" spans="2:10" s="5" customFormat="1" x14ac:dyDescent="0.25">
      <c r="B17" s="7">
        <v>12</v>
      </c>
      <c r="C17" s="11">
        <v>1282333652</v>
      </c>
      <c r="D17" s="12" t="str">
        <f>VLOOKUP(C17,[1]report!$A$2:$Q$496,3,FALSE)</f>
        <v>ABDURACHMAN ALHOFIKI</v>
      </c>
      <c r="E17" s="12">
        <f>VLOOKUP(C17,[1]report!$A$2:$Q$496,4,FALSE)</f>
        <v>94197605</v>
      </c>
      <c r="F17" s="12">
        <f>VLOOKUP(C17,[1]report!$A$2:$Q$496,5,FALSE)</f>
        <v>4120177602</v>
      </c>
      <c r="G17" s="12" t="str">
        <f>VLOOKUP(C17,[1]report!$A$2:$Q$496,8,FALSE)</f>
        <v>Kota Makassar - Kota Bogor</v>
      </c>
      <c r="H17" s="12" t="str">
        <f>VLOOKUP(C17,[1]report!$A$2:$Q$496,9,FALSE)</f>
        <v>08/09/2025 - 10/09/2025</v>
      </c>
      <c r="I17" s="13">
        <f>VLOOKUP(C17,[1]report!$A$2:$Q$496,17,FALSE)</f>
        <v>1750000</v>
      </c>
      <c r="J17" s="15"/>
    </row>
    <row r="18" spans="2:10" s="5" customFormat="1" x14ac:dyDescent="0.25">
      <c r="B18" s="7">
        <v>13</v>
      </c>
      <c r="C18" s="11">
        <v>1282362057</v>
      </c>
      <c r="D18" s="12" t="str">
        <f>VLOOKUP(C18,[1]report!$A$2:$Q$496,3,FALSE)</f>
        <v>ISKANDAR AZHAR</v>
      </c>
      <c r="E18" s="12">
        <f>VLOOKUP(C18,[1]report!$A$2:$Q$496,4,FALSE)</f>
        <v>88097609</v>
      </c>
      <c r="F18" s="12">
        <f>VLOOKUP(C18,[1]report!$A$2:$Q$496,5,FALSE)</f>
        <v>4120177611</v>
      </c>
      <c r="G18" s="12" t="str">
        <f>VLOOKUP(C18,[1]report!$A$2:$Q$496,8,FALSE)</f>
        <v>KotaMakassar-KotaBogor</v>
      </c>
      <c r="H18" s="12" t="str">
        <f>VLOOKUP(C18,[1]report!$A$2:$Q$496,9,FALSE)</f>
        <v>07/09/2025 - 10/09/2025</v>
      </c>
      <c r="I18" s="13">
        <f>VLOOKUP(C18,[1]report!$A$2:$Q$496,17,FALSE)</f>
        <v>1804000</v>
      </c>
      <c r="J18" s="15"/>
    </row>
    <row r="19" spans="2:10" s="5" customFormat="1" x14ac:dyDescent="0.25">
      <c r="B19" s="7">
        <v>14</v>
      </c>
      <c r="C19" s="11">
        <v>1282367476</v>
      </c>
      <c r="D19" s="12" t="str">
        <f>VLOOKUP(C19,[1]report!$A$2:$Q$496,3,FALSE)</f>
        <v>HUSEN SOBRI</v>
      </c>
      <c r="E19" s="12">
        <f>VLOOKUP(C19,[1]report!$A$2:$Q$496,4,FALSE)</f>
        <v>76957800</v>
      </c>
      <c r="F19" s="12">
        <f>VLOOKUP(C19,[1]report!$A$2:$Q$496,5,FALSE)</f>
        <v>4120177612</v>
      </c>
      <c r="G19" s="12" t="str">
        <f>VLOOKUP(C19,[1]report!$A$2:$Q$496,8,FALSE)</f>
        <v>Kota Makassar - Kab. Bogor</v>
      </c>
      <c r="H19" s="12" t="str">
        <f>VLOOKUP(C19,[1]report!$A$2:$Q$496,9,FALSE)</f>
        <v>07/09/2025 - 10/09/2025</v>
      </c>
      <c r="I19" s="13">
        <f>VLOOKUP(C19,[1]report!$A$2:$Q$496,17,FALSE)</f>
        <v>1804000</v>
      </c>
      <c r="J19" s="15"/>
    </row>
    <row r="20" spans="2:10" s="5" customFormat="1" x14ac:dyDescent="0.25">
      <c r="B20" s="7">
        <v>15</v>
      </c>
      <c r="C20" s="11">
        <v>1282448709</v>
      </c>
      <c r="D20" s="12" t="str">
        <f>VLOOKUP(C20,[1]report!$A$2:$Q$496,3,FALSE)</f>
        <v>BAGUS ALBARANU YULIATMOKO</v>
      </c>
      <c r="E20" s="12">
        <f>VLOOKUP(C20,[1]report!$A$2:$Q$496,4,FALSE)</f>
        <v>96207604</v>
      </c>
      <c r="F20" s="12">
        <f>VLOOKUP(C20,[1]report!$A$2:$Q$496,5,FALSE)</f>
        <v>4120177607</v>
      </c>
      <c r="G20" s="12" t="str">
        <f>VLOOKUP(C20,[1]report!$A$2:$Q$496,8,FALSE)</f>
        <v>Kota Makassar - Kab. Bogor</v>
      </c>
      <c r="H20" s="12" t="str">
        <f>VLOOKUP(C20,[1]report!$A$2:$Q$496,9,FALSE)</f>
        <v>08/09/2025 - 10/09/2025</v>
      </c>
      <c r="I20" s="13">
        <f>VLOOKUP(C20,[1]report!$A$2:$Q$496,17,FALSE)</f>
        <v>2294000</v>
      </c>
      <c r="J20" s="15"/>
    </row>
    <row r="21" spans="2:10" s="5" customFormat="1" x14ac:dyDescent="0.25">
      <c r="B21" s="7">
        <v>16</v>
      </c>
      <c r="C21" s="11">
        <v>1282375469</v>
      </c>
      <c r="D21" s="12" t="str">
        <f>VLOOKUP(C21,[1]report!$A$2:$Q$496,3,FALSE)</f>
        <v>LELY SRIHANDAYANI</v>
      </c>
      <c r="E21" s="12">
        <f>VLOOKUP(C21,[1]report!$A$2:$Q$496,4,FALSE)</f>
        <v>85097604</v>
      </c>
      <c r="F21" s="12">
        <f>VLOOKUP(C21,[1]report!$A$2:$Q$496,5,FALSE)</f>
        <v>4120177608</v>
      </c>
      <c r="G21" s="12" t="str">
        <f>VLOOKUP(C21,[1]report!$A$2:$Q$496,8,FALSE)</f>
        <v>Kota Makassar - Kota Bogor</v>
      </c>
      <c r="H21" s="12" t="str">
        <f>VLOOKUP(C21,[1]report!$A$2:$Q$496,9,FALSE)</f>
        <v>08/09/2025 - 10/09/2025</v>
      </c>
      <c r="I21" s="13">
        <f>VLOOKUP(C21,[1]report!$A$2:$Q$496,17,FALSE)</f>
        <v>2341600</v>
      </c>
      <c r="J21" s="15"/>
    </row>
    <row r="22" spans="2:10" s="5" customFormat="1" x14ac:dyDescent="0.25">
      <c r="B22" s="7">
        <v>17</v>
      </c>
      <c r="C22" s="11">
        <v>1282219412</v>
      </c>
      <c r="D22" s="12" t="str">
        <f>VLOOKUP(C22,[1]report!$A$2:$Q$496,3,FALSE)</f>
        <v>RULI RIZALUDDIN</v>
      </c>
      <c r="E22" s="12">
        <f>VLOOKUP(C22,[1]report!$A$2:$Q$496,4,FALSE)</f>
        <v>79055400</v>
      </c>
      <c r="F22" s="12">
        <f>VLOOKUP(C22,[1]report!$A$2:$Q$496,5,FALSE)</f>
        <v>4120177600</v>
      </c>
      <c r="G22" s="12" t="str">
        <f>VLOOKUP(C22,[1]report!$A$2:$Q$496,8,FALSE)</f>
        <v>Kota Makassar - Kota Bogor</v>
      </c>
      <c r="H22" s="12" t="str">
        <f>VLOOKUP(C22,[1]report!$A$2:$Q$496,9,FALSE)</f>
        <v>05/09/2025 - 08/09/2025</v>
      </c>
      <c r="I22" s="13">
        <f>VLOOKUP(C22,[1]report!$A$2:$Q$496,17,FALSE)</f>
        <v>2347100</v>
      </c>
      <c r="J22" s="15"/>
    </row>
    <row r="23" spans="2:10" s="5" customFormat="1" x14ac:dyDescent="0.25">
      <c r="B23" s="7">
        <v>18</v>
      </c>
      <c r="C23" s="11">
        <v>1282316897</v>
      </c>
      <c r="D23" s="12" t="str">
        <f>VLOOKUP(C23,[1]report!$A$2:$Q$496,3,FALSE)</f>
        <v>ABDURACHMAN ALHOFIKI</v>
      </c>
      <c r="E23" s="12">
        <f>VLOOKUP(C23,[1]report!$A$2:$Q$496,4,FALSE)</f>
        <v>94197605</v>
      </c>
      <c r="F23" s="12">
        <f>VLOOKUP(C23,[1]report!$A$2:$Q$496,5,FALSE)</f>
        <v>4120177602</v>
      </c>
      <c r="G23" s="12" t="str">
        <f>VLOOKUP(C23,[1]report!$A$2:$Q$496,8,FALSE)</f>
        <v>Kota Makassar - Kota Bogor</v>
      </c>
      <c r="H23" s="12" t="str">
        <f>VLOOKUP(C23,[1]report!$A$2:$Q$496,9,FALSE)</f>
        <v>08/09/2025 - 10/09/2025</v>
      </c>
      <c r="I23" s="13">
        <f>VLOOKUP(C23,[1]report!$A$2:$Q$496,17,FALSE)</f>
        <v>2347100</v>
      </c>
      <c r="J23" s="15"/>
    </row>
    <row r="24" spans="2:10" s="5" customFormat="1" x14ac:dyDescent="0.25">
      <c r="B24" s="7">
        <v>19</v>
      </c>
      <c r="C24" s="11">
        <v>1282465156</v>
      </c>
      <c r="D24" s="12" t="str">
        <f>VLOOKUP(C24,[1]report!$A$2:$Q$496,3,FALSE)</f>
        <v>RULI RIZALUDDIN</v>
      </c>
      <c r="E24" s="12">
        <f>VLOOKUP(C24,[1]report!$A$2:$Q$496,4,FALSE)</f>
        <v>79055400</v>
      </c>
      <c r="F24" s="12">
        <f>VLOOKUP(C24,[1]report!$A$2:$Q$496,5,FALSE)</f>
        <v>4120177600</v>
      </c>
      <c r="G24" s="12" t="str">
        <f>VLOOKUP(C24,[1]report!$A$2:$Q$496,8,FALSE)</f>
        <v>Kota Makassar - Kota Bogor</v>
      </c>
      <c r="H24" s="12" t="str">
        <f>VLOOKUP(C24,[1]report!$A$2:$Q$496,9,FALSE)</f>
        <v>05/09/2025 - 08/09/2025</v>
      </c>
      <c r="I24" s="13">
        <f>VLOOKUP(C24,[1]report!$A$2:$Q$496,17,FALSE)</f>
        <v>2820000</v>
      </c>
      <c r="J24" s="15"/>
    </row>
    <row r="25" spans="2:10" s="5" customFormat="1" x14ac:dyDescent="0.25">
      <c r="B25" s="7">
        <v>20</v>
      </c>
      <c r="C25" s="11">
        <v>1282579388</v>
      </c>
      <c r="D25" s="12" t="str">
        <f>VLOOKUP(C25,[1]report!$A$2:$Q$496,3,FALSE)</f>
        <v>ISKANDAR AZHAR</v>
      </c>
      <c r="E25" s="12">
        <f>VLOOKUP(C25,[1]report!$A$2:$Q$496,4,FALSE)</f>
        <v>88097609</v>
      </c>
      <c r="F25" s="12">
        <f>VLOOKUP(C25,[1]report!$A$2:$Q$496,5,FALSE)</f>
        <v>4120177611</v>
      </c>
      <c r="G25" s="12" t="str">
        <f>VLOOKUP(C25,[1]report!$A$2:$Q$496,8,FALSE)</f>
        <v>KotaMakassar-KotaBogor</v>
      </c>
      <c r="H25" s="12" t="str">
        <f>VLOOKUP(C25,[1]report!$A$2:$Q$496,9,FALSE)</f>
        <v>07/09/2025 - 10/09/2025</v>
      </c>
      <c r="I25" s="13">
        <f>VLOOKUP(C25,[1]report!$A$2:$Q$496,17,FALSE)</f>
        <v>2335900</v>
      </c>
      <c r="J25" s="15"/>
    </row>
    <row r="26" spans="2:10" s="5" customFormat="1" x14ac:dyDescent="0.25">
      <c r="B26" s="7">
        <v>21</v>
      </c>
      <c r="C26" s="11">
        <v>1282579712</v>
      </c>
      <c r="D26" s="12" t="str">
        <f>VLOOKUP(C26,[1]report!$A$2:$Q$496,3,FALSE)</f>
        <v>SITTI FAUZIAH AHMAD</v>
      </c>
      <c r="E26" s="12">
        <f>VLOOKUP(C26,[1]report!$A$2:$Q$496,4,FALSE)</f>
        <v>93157614</v>
      </c>
      <c r="F26" s="12">
        <f>VLOOKUP(C26,[1]report!$A$2:$Q$496,5,FALSE)</f>
        <v>4120177606</v>
      </c>
      <c r="G26" s="12" t="str">
        <f>VLOOKUP(C26,[1]report!$A$2:$Q$496,8,FALSE)</f>
        <v>Kota Makassar - Kab. Bogor</v>
      </c>
      <c r="H26" s="12" t="str">
        <f>VLOOKUP(C26,[1]report!$A$2:$Q$496,9,FALSE)</f>
        <v>07/09/2025 - 10/09/2025</v>
      </c>
      <c r="I26" s="13">
        <f>VLOOKUP(C26,[1]report!$A$2:$Q$496,17,FALSE)</f>
        <v>2335900</v>
      </c>
      <c r="J26" s="15"/>
    </row>
    <row r="27" spans="2:10" s="5" customFormat="1" x14ac:dyDescent="0.25">
      <c r="B27" s="7">
        <v>22</v>
      </c>
      <c r="C27" s="11">
        <v>1282576311</v>
      </c>
      <c r="D27" s="12" t="str">
        <f>VLOOKUP(C27,[1]report!$A$2:$Q$496,3,FALSE)</f>
        <v>HUSEN SOBRI</v>
      </c>
      <c r="E27" s="12">
        <f>VLOOKUP(C27,[1]report!$A$2:$Q$496,4,FALSE)</f>
        <v>76957800</v>
      </c>
      <c r="F27" s="12">
        <f>VLOOKUP(C27,[1]report!$A$2:$Q$496,5,FALSE)</f>
        <v>4120177612</v>
      </c>
      <c r="G27" s="12" t="str">
        <f>VLOOKUP(C27,[1]report!$A$2:$Q$496,8,FALSE)</f>
        <v>Kota Makassar - Kab. Bogor</v>
      </c>
      <c r="H27" s="12" t="str">
        <f>VLOOKUP(C27,[1]report!$A$2:$Q$496,9,FALSE)</f>
        <v>07/09/2025 - 10/09/2025</v>
      </c>
      <c r="I27" s="13">
        <f>VLOOKUP(C27,[1]report!$A$2:$Q$496,17,FALSE)</f>
        <v>2347100</v>
      </c>
      <c r="J27" s="15"/>
    </row>
    <row r="28" spans="2:10" s="5" customFormat="1" x14ac:dyDescent="0.25">
      <c r="B28" s="7">
        <v>23</v>
      </c>
      <c r="C28" s="11">
        <v>1282578012</v>
      </c>
      <c r="D28" s="12" t="str">
        <f>VLOOKUP(C28,[1]report!$A$2:$Q$496,3,FALSE)</f>
        <v>MUH. HUSHARDI HUSAIN</v>
      </c>
      <c r="E28" s="12">
        <f>VLOOKUP(C28,[1]report!$A$2:$Q$496,4,FALSE)</f>
        <v>95197608</v>
      </c>
      <c r="F28" s="12">
        <f>VLOOKUP(C28,[1]report!$A$2:$Q$496,5,FALSE)</f>
        <v>4120177613</v>
      </c>
      <c r="G28" s="12" t="str">
        <f>VLOOKUP(C28,[1]report!$A$2:$Q$496,8,FALSE)</f>
        <v>Kab. Mamuju - Kota Cilegon</v>
      </c>
      <c r="H28" s="12" t="str">
        <f>VLOOKUP(C28,[1]report!$A$2:$Q$496,9,FALSE)</f>
        <v>07/09/2025 - 12/09/2025</v>
      </c>
      <c r="I28" s="13">
        <f>VLOOKUP(C28,[1]report!$A$2:$Q$496,17,FALSE)</f>
        <v>2510100</v>
      </c>
      <c r="J28" s="15"/>
    </row>
    <row r="29" spans="2:10" s="5" customFormat="1" x14ac:dyDescent="0.25">
      <c r="B29" s="7">
        <v>24</v>
      </c>
      <c r="C29" s="11">
        <v>1282850479</v>
      </c>
      <c r="D29" s="12" t="str">
        <f>VLOOKUP(C29,[1]report!$A$2:$Q$496,3,FALSE)</f>
        <v>RIVAD YUNUS</v>
      </c>
      <c r="E29" s="12">
        <f>VLOOKUP(C29,[1]report!$A$2:$Q$496,4,FALSE)</f>
        <v>97177623</v>
      </c>
      <c r="F29" s="12">
        <f>VLOOKUP(C29,[1]report!$A$2:$Q$496,5,FALSE)</f>
        <v>4120177593</v>
      </c>
      <c r="G29" s="12" t="str">
        <f>VLOOKUP(C29,[1]report!$A$2:$Q$496,8,FALSE)</f>
        <v>Kab. Bulukumba - Kab. Bone</v>
      </c>
      <c r="H29" s="12" t="str">
        <f>VLOOKUP(C29,[1]report!$A$2:$Q$496,9,FALSE)</f>
        <v>08/09/2025 - 12/09/2025</v>
      </c>
      <c r="I29" s="13">
        <f>VLOOKUP(C29,[1]report!$A$2:$Q$496,17,FALSE)</f>
        <v>900000</v>
      </c>
      <c r="J29" s="15"/>
    </row>
    <row r="30" spans="2:10" s="5" customFormat="1" x14ac:dyDescent="0.25">
      <c r="B30" s="7">
        <v>25</v>
      </c>
      <c r="C30" s="11">
        <v>1282848469</v>
      </c>
      <c r="D30" s="12" t="str">
        <f>VLOOKUP(C30,[1]report!$A$2:$Q$496,3,FALSE)</f>
        <v xml:space="preserve">RUDIANSA </v>
      </c>
      <c r="E30" s="12">
        <f>VLOOKUP(C30,[1]report!$A$2:$Q$496,4,FALSE)</f>
        <v>91127625</v>
      </c>
      <c r="F30" s="12">
        <f>VLOOKUP(C30,[1]report!$A$2:$Q$496,5,FALSE)</f>
        <v>4120177598</v>
      </c>
      <c r="G30" s="12" t="str">
        <f>VLOOKUP(C30,[1]report!$A$2:$Q$496,8,FALSE)</f>
        <v>Kab. Bulukumba - Kab. Bone</v>
      </c>
      <c r="H30" s="12" t="str">
        <f>VLOOKUP(C30,[1]report!$A$2:$Q$496,9,FALSE)</f>
        <v>08/09/2025 - 12/09/2025</v>
      </c>
      <c r="I30" s="13">
        <f>VLOOKUP(C30,[1]report!$A$2:$Q$496,17,FALSE)</f>
        <v>900000</v>
      </c>
      <c r="J30" s="15"/>
    </row>
    <row r="31" spans="2:10" s="5" customFormat="1" x14ac:dyDescent="0.25">
      <c r="B31" s="7">
        <v>26</v>
      </c>
      <c r="C31" s="11">
        <v>1282745592</v>
      </c>
      <c r="D31" s="12" t="str">
        <f>VLOOKUP(C31,[1]report!$A$2:$Q$496,3,FALSE)</f>
        <v>EKO WAHYU PRASONGKO</v>
      </c>
      <c r="E31" s="12">
        <f>VLOOKUP(C31,[1]report!$A$2:$Q$496,4,FALSE)</f>
        <v>72937606</v>
      </c>
      <c r="F31" s="12">
        <f>VLOOKUP(C31,[1]report!$A$2:$Q$496,5,FALSE)</f>
        <v>4120177577</v>
      </c>
      <c r="G31" s="12" t="str">
        <f>VLOOKUP(C31,[1]report!$A$2:$Q$496,8,FALSE)</f>
        <v>Kota Makassar - Kab. Bombana</v>
      </c>
      <c r="H31" s="12" t="str">
        <f>VLOOKUP(C31,[1]report!$A$2:$Q$496,9,FALSE)</f>
        <v>08/09/2025 - 10/09/2025</v>
      </c>
      <c r="I31" s="13">
        <f>VLOOKUP(C31,[1]report!$A$2:$Q$496,17,FALSE)</f>
        <v>939600</v>
      </c>
      <c r="J31" s="15"/>
    </row>
    <row r="32" spans="2:10" s="5" customFormat="1" x14ac:dyDescent="0.25">
      <c r="B32" s="7">
        <v>27</v>
      </c>
      <c r="C32" s="11">
        <v>1282844804</v>
      </c>
      <c r="D32" s="12" t="str">
        <f>VLOOKUP(C32,[1]report!$A$2:$Q$496,3,FALSE)</f>
        <v>FERI ARDIANSYAH</v>
      </c>
      <c r="E32" s="12">
        <f>VLOOKUP(C32,[1]report!$A$2:$Q$496,4,FALSE)</f>
        <v>96167826</v>
      </c>
      <c r="F32" s="12">
        <f>VLOOKUP(C32,[1]report!$A$2:$Q$496,5,FALSE)</f>
        <v>4120177590</v>
      </c>
      <c r="G32" s="12" t="str">
        <f>VLOOKUP(C32,[1]report!$A$2:$Q$496,8,FALSE)</f>
        <v>Kab. Bulukumba - Kab. Bone</v>
      </c>
      <c r="H32" s="12" t="str">
        <f>VLOOKUP(C32,[1]report!$A$2:$Q$496,9,FALSE)</f>
        <v>08/09/2025 - 12/09/2025</v>
      </c>
      <c r="I32" s="13">
        <f>VLOOKUP(C32,[1]report!$A$2:$Q$496,17,FALSE)</f>
        <v>1260000</v>
      </c>
      <c r="J32" s="15"/>
    </row>
    <row r="33" spans="2:10" s="5" customFormat="1" x14ac:dyDescent="0.25">
      <c r="B33" s="7">
        <v>28</v>
      </c>
      <c r="C33" s="11">
        <v>1282845029</v>
      </c>
      <c r="D33" s="12" t="str">
        <f>VLOOKUP(C33,[1]report!$A$2:$Q$496,3,FALSE)</f>
        <v>ANDI DEDE HAFIZULLAH</v>
      </c>
      <c r="E33" s="12">
        <f>VLOOKUP(C33,[1]report!$A$2:$Q$496,4,FALSE)</f>
        <v>98177609</v>
      </c>
      <c r="F33" s="12">
        <f>VLOOKUP(C33,[1]report!$A$2:$Q$496,5,FALSE)</f>
        <v>4120177596</v>
      </c>
      <c r="G33" s="12" t="str">
        <f>VLOOKUP(C33,[1]report!$A$2:$Q$496,8,FALSE)</f>
        <v>Kab. Bulukumba - Kab. Bone</v>
      </c>
      <c r="H33" s="12" t="str">
        <f>VLOOKUP(C33,[1]report!$A$2:$Q$496,9,FALSE)</f>
        <v>08/09/2025 - 12/09/2025</v>
      </c>
      <c r="I33" s="13">
        <f>VLOOKUP(C33,[1]report!$A$2:$Q$496,17,FALSE)</f>
        <v>1260000</v>
      </c>
      <c r="J33" s="15"/>
    </row>
    <row r="34" spans="2:10" s="5" customFormat="1" x14ac:dyDescent="0.25">
      <c r="B34" s="7">
        <v>29</v>
      </c>
      <c r="C34" s="16">
        <v>1282843869</v>
      </c>
      <c r="D34" s="12" t="str">
        <f>VLOOKUP(C34,[1]report!$A$2:$Q$496,3,FALSE)</f>
        <v>MUHAMMAD FATHUR RAYYAN</v>
      </c>
      <c r="E34" s="12">
        <f>VLOOKUP(C34,[1]report!$A$2:$Q$496,4,FALSE)</f>
        <v>96177621</v>
      </c>
      <c r="F34" s="12">
        <f>VLOOKUP(C34,[1]report!$A$2:$Q$496,5,FALSE)</f>
        <v>4120177592</v>
      </c>
      <c r="G34" s="12" t="str">
        <f>VLOOKUP(C34,[1]report!$A$2:$Q$496,8,FALSE)</f>
        <v>Kab. Bulukumba - Kab. Bone</v>
      </c>
      <c r="H34" s="12" t="str">
        <f>VLOOKUP(C34,[1]report!$A$2:$Q$496,9,FALSE)</f>
        <v>08/09/2025 - 12/09/2025</v>
      </c>
      <c r="I34" s="13">
        <f>VLOOKUP(C34,[1]report!$A$2:$Q$496,17,FALSE)</f>
        <v>1260000</v>
      </c>
      <c r="J34" s="17"/>
    </row>
    <row r="35" spans="2:10" s="5" customFormat="1" x14ac:dyDescent="0.25">
      <c r="B35" s="7">
        <v>30</v>
      </c>
      <c r="C35" s="18">
        <v>1282745804</v>
      </c>
      <c r="D35" s="12" t="str">
        <f>VLOOKUP(C35,[1]report!$A$2:$Q$496,3,FALSE)</f>
        <v xml:space="preserve">EDYANSYAH </v>
      </c>
      <c r="E35" s="12">
        <f>VLOOKUP(C35,[1]report!$A$2:$Q$496,4,FALSE)</f>
        <v>70957602</v>
      </c>
      <c r="F35" s="12">
        <f>VLOOKUP(C35,[1]report!$A$2:$Q$496,5,FALSE)</f>
        <v>4120177579</v>
      </c>
      <c r="G35" s="12" t="str">
        <f>VLOOKUP(C35,[1]report!$A$2:$Q$496,8,FALSE)</f>
        <v>Kota Makassar - Kab. Bombana - Jakarta Pusat</v>
      </c>
      <c r="H35" s="12" t="str">
        <f>VLOOKUP(C35,[1]report!$A$2:$Q$496,9,FALSE)</f>
        <v>08/09/2025 - 12/09/2025</v>
      </c>
      <c r="I35" s="13">
        <f>VLOOKUP(C35,[1]report!$A$2:$Q$496,17,FALSE)</f>
        <v>1618300</v>
      </c>
      <c r="J35" s="17"/>
    </row>
    <row r="36" spans="2:10" s="5" customFormat="1" x14ac:dyDescent="0.25">
      <c r="B36" s="7">
        <v>31</v>
      </c>
      <c r="C36" s="11">
        <v>1282745845</v>
      </c>
      <c r="D36" s="12" t="str">
        <f>VLOOKUP(C36,[1]report!$A$2:$Q$496,3,FALSE)</f>
        <v xml:space="preserve">ARJINOFALTIN </v>
      </c>
      <c r="E36" s="12">
        <f>VLOOKUP(C36,[1]report!$A$2:$Q$496,4,FALSE)</f>
        <v>89087605</v>
      </c>
      <c r="F36" s="12">
        <f>VLOOKUP(C36,[1]report!$A$2:$Q$496,5,FALSE)</f>
        <v>4120177578</v>
      </c>
      <c r="G36" s="12" t="str">
        <f>VLOOKUP(C36,[1]report!$A$2:$Q$496,8,FALSE)</f>
        <v>Kota Makassar - Kab. Bombana</v>
      </c>
      <c r="H36" s="12" t="str">
        <f>VLOOKUP(C36,[1]report!$A$2:$Q$496,9,FALSE)</f>
        <v>08/09/2025 - 10/09/2025</v>
      </c>
      <c r="I36" s="13">
        <f>VLOOKUP(C36,[1]report!$A$2:$Q$496,17,FALSE)</f>
        <v>1750000</v>
      </c>
      <c r="J36" s="15"/>
    </row>
    <row r="37" spans="2:10" s="5" customFormat="1" x14ac:dyDescent="0.25">
      <c r="B37" s="7">
        <v>32</v>
      </c>
      <c r="C37" s="11">
        <v>1282758201</v>
      </c>
      <c r="D37" s="12" t="str">
        <f>VLOOKUP(C37,[1]report!$A$2:$Q$496,3,FALSE)</f>
        <v>AGUS HARI WIBOWO</v>
      </c>
      <c r="E37" s="12">
        <f>VLOOKUP(C37,[1]report!$A$2:$Q$496,4,FALSE)</f>
        <v>85097602</v>
      </c>
      <c r="F37" s="12">
        <f>VLOOKUP(C37,[1]report!$A$2:$Q$496,5,FALSE)</f>
        <v>4120177603</v>
      </c>
      <c r="G37" s="12" t="str">
        <f>VLOOKUP(C37,[1]report!$A$2:$Q$496,8,FALSE)</f>
        <v>Kota Makassar - Kota Bogor</v>
      </c>
      <c r="H37" s="12" t="str">
        <f>VLOOKUP(C37,[1]report!$A$2:$Q$496,9,FALSE)</f>
        <v>05/09/2025 - 08/09/2025</v>
      </c>
      <c r="I37" s="13">
        <f>VLOOKUP(C37,[1]report!$A$2:$Q$496,17,FALSE)</f>
        <v>1752500</v>
      </c>
      <c r="J37" s="14"/>
    </row>
    <row r="38" spans="2:10" s="5" customFormat="1" x14ac:dyDescent="0.25">
      <c r="B38" s="7">
        <v>33</v>
      </c>
      <c r="C38" s="11">
        <v>1282769219</v>
      </c>
      <c r="D38" s="12" t="str">
        <f>VLOOKUP(C38,[1]report!$A$2:$Q$496,3,FALSE)</f>
        <v>BAHAGIA KASPAR MONGAN</v>
      </c>
      <c r="E38" s="12">
        <f>VLOOKUP(C38,[1]report!$A$2:$Q$496,4,FALSE)</f>
        <v>90148000</v>
      </c>
      <c r="F38" s="12">
        <f>VLOOKUP(C38,[1]report!$A$2:$Q$496,5,FALSE)</f>
        <v>4120177605</v>
      </c>
      <c r="G38" s="12" t="str">
        <f>VLOOKUP(C38,[1]report!$A$2:$Q$496,8,FALSE)</f>
        <v>Kota Makassar - Kota Bogor</v>
      </c>
      <c r="H38" s="12" t="str">
        <f>VLOOKUP(C38,[1]report!$A$2:$Q$496,9,FALSE)</f>
        <v>05/09/2025 - 08/09/2025</v>
      </c>
      <c r="I38" s="13">
        <f>VLOOKUP(C38,[1]report!$A$2:$Q$496,17,FALSE)</f>
        <v>2395700</v>
      </c>
      <c r="J38" s="15"/>
    </row>
    <row r="39" spans="2:10" s="5" customFormat="1" x14ac:dyDescent="0.25">
      <c r="B39" s="7">
        <v>34</v>
      </c>
      <c r="C39" s="11">
        <v>1282776518</v>
      </c>
      <c r="D39" s="12" t="str">
        <f>VLOOKUP(C39,[1]report!$A$2:$Q$496,3,FALSE)</f>
        <v>SATRIA PRASAMYA</v>
      </c>
      <c r="E39" s="12">
        <f>VLOOKUP(C39,[1]report!$A$2:$Q$496,4,FALSE)</f>
        <v>88127601</v>
      </c>
      <c r="F39" s="12">
        <f>VLOOKUP(C39,[1]report!$A$2:$Q$496,5,FALSE)</f>
        <v>4120177604</v>
      </c>
      <c r="G39" s="12" t="str">
        <f>VLOOKUP(C39,[1]report!$A$2:$Q$496,8,FALSE)</f>
        <v>Kota Makassar - Kota Bogor</v>
      </c>
      <c r="H39" s="12" t="str">
        <f>VLOOKUP(C39,[1]report!$A$2:$Q$496,9,FALSE)</f>
        <v>05/09/2025 - 08/09/2025</v>
      </c>
      <c r="I39" s="13">
        <f>VLOOKUP(C39,[1]report!$A$2:$Q$496,17,FALSE)</f>
        <v>2395700</v>
      </c>
      <c r="J39" s="14"/>
    </row>
    <row r="40" spans="2:10" s="5" customFormat="1" x14ac:dyDescent="0.25">
      <c r="B40" s="7">
        <v>35</v>
      </c>
      <c r="C40" s="11">
        <v>1282894851</v>
      </c>
      <c r="D40" s="12" t="str">
        <f>VLOOKUP(C40,[1]report!$A$2:$Q$496,3,FALSE)</f>
        <v>ABDURACHMAN ALHOFIKI</v>
      </c>
      <c r="E40" s="12">
        <f>VLOOKUP(C40,[1]report!$A$2:$Q$496,4,FALSE)</f>
        <v>94197605</v>
      </c>
      <c r="F40" s="12">
        <f>VLOOKUP(C40,[1]report!$A$2:$Q$496,5,FALSE)</f>
        <v>4120177602</v>
      </c>
      <c r="G40" s="12" t="str">
        <f>VLOOKUP(C40,[1]report!$A$2:$Q$496,8,FALSE)</f>
        <v>Kota Makassar - Kota Bogor</v>
      </c>
      <c r="H40" s="12" t="str">
        <f>VLOOKUP(C40,[1]report!$A$2:$Q$496,9,FALSE)</f>
        <v>08/09/2025 - 10/09/2025</v>
      </c>
      <c r="I40" s="13">
        <f>VLOOKUP(C40,[1]report!$A$2:$Q$496,17,FALSE)</f>
        <v>840000</v>
      </c>
      <c r="J40" s="14"/>
    </row>
    <row r="41" spans="2:10" s="5" customFormat="1" x14ac:dyDescent="0.25">
      <c r="B41" s="7">
        <v>36</v>
      </c>
      <c r="C41" s="11">
        <v>1282919258</v>
      </c>
      <c r="D41" s="12" t="str">
        <f>VLOOKUP(C41,[1]report!$A$2:$Q$496,3,FALSE)</f>
        <v>FAUZAN HODEIBI HADDAD</v>
      </c>
      <c r="E41" s="12">
        <f>VLOOKUP(C41,[1]report!$A$2:$Q$496,4,FALSE)</f>
        <v>87087601</v>
      </c>
      <c r="F41" s="12">
        <f>VLOOKUP(C41,[1]report!$A$2:$Q$496,5,FALSE)</f>
        <v>4120177621</v>
      </c>
      <c r="G41" s="12" t="str">
        <f>VLOOKUP(C41,[1]report!$A$2:$Q$496,8,FALSE)</f>
        <v>Kota Makassar - Kota Makassar</v>
      </c>
      <c r="H41" s="12" t="str">
        <f>VLOOKUP(C41,[1]report!$A$2:$Q$496,9,FALSE)</f>
        <v>08/09/2025 - 11/09/2025</v>
      </c>
      <c r="I41" s="13">
        <f>VLOOKUP(C41,[1]report!$A$2:$Q$496,17,FALSE)</f>
        <v>844100</v>
      </c>
      <c r="J41" s="14"/>
    </row>
    <row r="42" spans="2:10" s="5" customFormat="1" x14ac:dyDescent="0.25">
      <c r="B42" s="7">
        <v>37</v>
      </c>
      <c r="C42" s="11">
        <v>1282904319</v>
      </c>
      <c r="D42" s="12" t="str">
        <f>VLOOKUP(C42,[1]report!$A$2:$Q$496,3,FALSE)</f>
        <v>AGUS HARI WIBOWO</v>
      </c>
      <c r="E42" s="12">
        <f>VLOOKUP(C42,[1]report!$A$2:$Q$496,4,FALSE)</f>
        <v>85097602</v>
      </c>
      <c r="F42" s="12">
        <f>VLOOKUP(C42,[1]report!$A$2:$Q$496,5,FALSE)</f>
        <v>4120177603</v>
      </c>
      <c r="G42" s="12" t="str">
        <f>VLOOKUP(C42,[1]report!$A$2:$Q$496,8,FALSE)</f>
        <v>Kota Makassar - Kota Bogor</v>
      </c>
      <c r="H42" s="12" t="str">
        <f>VLOOKUP(C42,[1]report!$A$2:$Q$496,9,FALSE)</f>
        <v>05/09/2025 - 08/09/2025</v>
      </c>
      <c r="I42" s="13">
        <f>VLOOKUP(C42,[1]report!$A$2:$Q$496,17,FALSE)</f>
        <v>965925</v>
      </c>
      <c r="J42" s="14"/>
    </row>
    <row r="43" spans="2:10" s="5" customFormat="1" x14ac:dyDescent="0.25">
      <c r="B43" s="7">
        <v>38</v>
      </c>
      <c r="C43" s="11">
        <v>1282904682</v>
      </c>
      <c r="D43" s="12" t="str">
        <f>VLOOKUP(C43,[1]report!$A$2:$Q$496,3,FALSE)</f>
        <v>RULI RIZALUDDIN</v>
      </c>
      <c r="E43" s="12">
        <f>VLOOKUP(C43,[1]report!$A$2:$Q$496,4,FALSE)</f>
        <v>79055400</v>
      </c>
      <c r="F43" s="12">
        <f>VLOOKUP(C43,[1]report!$A$2:$Q$496,5,FALSE)</f>
        <v>4120177600</v>
      </c>
      <c r="G43" s="12" t="str">
        <f>VLOOKUP(C43,[1]report!$A$2:$Q$496,8,FALSE)</f>
        <v>Kota Makassar - Kota Bogor</v>
      </c>
      <c r="H43" s="12" t="str">
        <f>VLOOKUP(C43,[1]report!$A$2:$Q$496,9,FALSE)</f>
        <v>05/09/2025 - 08/09/2025</v>
      </c>
      <c r="I43" s="13">
        <f>VLOOKUP(C43,[1]report!$A$2:$Q$496,17,FALSE)</f>
        <v>1073250</v>
      </c>
      <c r="J43" s="15"/>
    </row>
    <row r="44" spans="2:10" s="5" customFormat="1" x14ac:dyDescent="0.25">
      <c r="B44" s="7">
        <v>39</v>
      </c>
      <c r="C44" s="11">
        <v>1282878877</v>
      </c>
      <c r="D44" s="12" t="str">
        <f>VLOOKUP(C44,[1]report!$A$2:$Q$496,3,FALSE)</f>
        <v>FAUZAN HODEIBI HADDAD</v>
      </c>
      <c r="E44" s="12">
        <f>VLOOKUP(C44,[1]report!$A$2:$Q$496,4,FALSE)</f>
        <v>87087601</v>
      </c>
      <c r="F44" s="12">
        <f>VLOOKUP(C44,[1]report!$A$2:$Q$496,5,FALSE)</f>
        <v>4120177621</v>
      </c>
      <c r="G44" s="12" t="str">
        <f>VLOOKUP(C44,[1]report!$A$2:$Q$496,8,FALSE)</f>
        <v>Kota Makassar - Kota Makassar</v>
      </c>
      <c r="H44" s="12" t="str">
        <f>VLOOKUP(C44,[1]report!$A$2:$Q$496,9,FALSE)</f>
        <v>08/09/2025 - 11/09/2025</v>
      </c>
      <c r="I44" s="13">
        <f>VLOOKUP(C44,[1]report!$A$2:$Q$496,17,FALSE)</f>
        <v>1139700</v>
      </c>
      <c r="J44" s="14"/>
    </row>
    <row r="45" spans="2:10" s="5" customFormat="1" x14ac:dyDescent="0.25">
      <c r="B45" s="7">
        <v>40</v>
      </c>
      <c r="C45" s="11">
        <v>1282925488</v>
      </c>
      <c r="D45" s="12" t="str">
        <f>VLOOKUP(C45,[1]report!$A$2:$Q$496,3,FALSE)</f>
        <v>SHALAHUDDIN ALAYUBI SITANGGANG</v>
      </c>
      <c r="E45" s="12">
        <f>VLOOKUP(C45,[1]report!$A$2:$Q$496,4,FALSE)</f>
        <v>95237601</v>
      </c>
      <c r="F45" s="12">
        <f>VLOOKUP(C45,[1]report!$A$2:$Q$496,5,FALSE)</f>
        <v>4120177622</v>
      </c>
      <c r="G45" s="12" t="str">
        <f>VLOOKUP(C45,[1]report!$A$2:$Q$496,8,FALSE)</f>
        <v>Kota Baubau - Kab. Muna</v>
      </c>
      <c r="H45" s="12" t="str">
        <f>VLOOKUP(C45,[1]report!$A$2:$Q$496,9,FALSE)</f>
        <v>08/09/2025 - 11/09/2025</v>
      </c>
      <c r="I45" s="13">
        <f>VLOOKUP(C45,[1]report!$A$2:$Q$496,17,FALSE)</f>
        <v>1153800</v>
      </c>
      <c r="J45" s="14"/>
    </row>
    <row r="46" spans="2:10" s="5" customFormat="1" x14ac:dyDescent="0.25">
      <c r="B46" s="7">
        <v>41</v>
      </c>
      <c r="C46" s="11">
        <v>1282917847</v>
      </c>
      <c r="D46" s="12" t="str">
        <f>VLOOKUP(C46,[1]report!$A$2:$Q$496,3,FALSE)</f>
        <v>FAUZAN HODEIBI HADDAD</v>
      </c>
      <c r="E46" s="12">
        <f>VLOOKUP(C46,[1]report!$A$2:$Q$496,4,FALSE)</f>
        <v>87087601</v>
      </c>
      <c r="F46" s="12">
        <f>VLOOKUP(C46,[1]report!$A$2:$Q$496,5,FALSE)</f>
        <v>4120177621</v>
      </c>
      <c r="G46" s="12" t="str">
        <f>VLOOKUP(C46,[1]report!$A$2:$Q$496,8,FALSE)</f>
        <v>Kota Makassar - Kota Makassar</v>
      </c>
      <c r="H46" s="12" t="str">
        <f>VLOOKUP(C46,[1]report!$A$2:$Q$496,9,FALSE)</f>
        <v>08/09/2025 - 11/09/2025</v>
      </c>
      <c r="I46" s="13">
        <f>VLOOKUP(C46,[1]report!$A$2:$Q$496,17,FALSE)</f>
        <v>2040000</v>
      </c>
      <c r="J46" s="14"/>
    </row>
    <row r="47" spans="2:10" s="5" customFormat="1" x14ac:dyDescent="0.25">
      <c r="B47" s="7">
        <v>42</v>
      </c>
      <c r="C47" s="11">
        <v>1282905315</v>
      </c>
      <c r="D47" s="12" t="str">
        <f>VLOOKUP(C47,[1]report!$A$2:$Q$496,3,FALSE)</f>
        <v>ADHITYA IBNU ABDILLAH</v>
      </c>
      <c r="E47" s="12">
        <f>VLOOKUP(C47,[1]report!$A$2:$Q$496,4,FALSE)</f>
        <v>91147605</v>
      </c>
      <c r="F47" s="12">
        <f>VLOOKUP(C47,[1]report!$A$2:$Q$496,5,FALSE)</f>
        <v>4120177615</v>
      </c>
      <c r="G47" s="12" t="str">
        <f>VLOOKUP(C47,[1]report!$A$2:$Q$496,8,FALSE)</f>
        <v>Kota Palopo - Kota Makassar</v>
      </c>
      <c r="H47" s="12" t="str">
        <f>VLOOKUP(C47,[1]report!$A$2:$Q$496,9,FALSE)</f>
        <v>08/09/2025 - 11/09/2025</v>
      </c>
      <c r="I47" s="13">
        <f>VLOOKUP(C47,[1]report!$A$2:$Q$496,17,FALSE)</f>
        <v>2275875</v>
      </c>
      <c r="J47" s="14"/>
    </row>
    <row r="48" spans="2:10" s="5" customFormat="1" x14ac:dyDescent="0.25">
      <c r="B48" s="7">
        <v>43</v>
      </c>
      <c r="C48" s="11">
        <v>1282901239</v>
      </c>
      <c r="D48" s="12" t="str">
        <f>VLOOKUP(C48,[1]report!$A$2:$Q$496,3,FALSE)</f>
        <v>A. DZAKKY SHUFI</v>
      </c>
      <c r="E48" s="12">
        <f>VLOOKUP(C48,[1]report!$A$2:$Q$496,4,FALSE)</f>
        <v>87107613</v>
      </c>
      <c r="F48" s="12">
        <f>VLOOKUP(C48,[1]report!$A$2:$Q$496,5,FALSE)</f>
        <v>4120177631</v>
      </c>
      <c r="G48" s="12" t="str">
        <f>VLOOKUP(C48,[1]report!$A$2:$Q$496,8,FALSE)</f>
        <v>Kota Makassar - Jakarta Selatan</v>
      </c>
      <c r="H48" s="12" t="str">
        <f>VLOOKUP(C48,[1]report!$A$2:$Q$496,9,FALSE)</f>
        <v>08/09/2025 - 12/09/2025</v>
      </c>
      <c r="I48" s="13">
        <f>VLOOKUP(C48,[1]report!$A$2:$Q$496,17,FALSE)</f>
        <v>2309900</v>
      </c>
      <c r="J48" s="14"/>
    </row>
    <row r="49" spans="2:10" s="5" customFormat="1" x14ac:dyDescent="0.25">
      <c r="B49" s="7">
        <v>44</v>
      </c>
      <c r="C49" s="11">
        <v>1282895293</v>
      </c>
      <c r="D49" s="12" t="str">
        <f>VLOOKUP(C49,[1]report!$A$2:$Q$496,3,FALSE)</f>
        <v>MANSYUR FAHMI</v>
      </c>
      <c r="E49" s="12">
        <f>VLOOKUP(C49,[1]report!$A$2:$Q$496,4,FALSE)</f>
        <v>96197639</v>
      </c>
      <c r="F49" s="12">
        <f>VLOOKUP(C49,[1]report!$A$2:$Q$496,5,FALSE)</f>
        <v>4120177627</v>
      </c>
      <c r="G49" s="12" t="str">
        <f>VLOOKUP(C49,[1]report!$A$2:$Q$496,8,FALSE)</f>
        <v>Kab. Mamuju - Jakarta Selatan</v>
      </c>
      <c r="H49" s="12" t="str">
        <f>VLOOKUP(C49,[1]report!$A$2:$Q$496,9,FALSE)</f>
        <v>08/09/2025 - 13/09/2025</v>
      </c>
      <c r="I49" s="13">
        <f>VLOOKUP(C49,[1]report!$A$2:$Q$496,17,FALSE)</f>
        <v>2341600</v>
      </c>
      <c r="J49" s="14"/>
    </row>
    <row r="50" spans="2:10" s="5" customFormat="1" x14ac:dyDescent="0.25">
      <c r="B50" s="7">
        <v>45</v>
      </c>
      <c r="C50" s="11">
        <v>1282974400</v>
      </c>
      <c r="D50" s="12" t="str">
        <f>VLOOKUP(C50,[1]report!$A$2:$Q$496,3,FALSE)</f>
        <v>ANDI DEDE HAFIZULLAH</v>
      </c>
      <c r="E50" s="12">
        <f>VLOOKUP(C50,[1]report!$A$2:$Q$496,4,FALSE)</f>
        <v>98177609</v>
      </c>
      <c r="F50" s="12">
        <f>VLOOKUP(C50,[1]report!$A$2:$Q$496,5,FALSE)</f>
        <v>4120177596</v>
      </c>
      <c r="G50" s="12" t="str">
        <f>VLOOKUP(C50,[1]report!$A$2:$Q$496,8,FALSE)</f>
        <v>Kab. Bulukumba - Kab. Bone</v>
      </c>
      <c r="H50" s="12" t="str">
        <f>VLOOKUP(C50,[1]report!$A$2:$Q$496,9,FALSE)</f>
        <v>08/09/2025 - 12/09/2025</v>
      </c>
      <c r="I50" s="13">
        <f>VLOOKUP(C50,[1]report!$A$2:$Q$496,17,FALSE)</f>
        <v>250000</v>
      </c>
      <c r="J50" s="14"/>
    </row>
    <row r="51" spans="2:10" s="5" customFormat="1" x14ac:dyDescent="0.25">
      <c r="B51" s="7">
        <v>46</v>
      </c>
      <c r="C51" s="11">
        <v>1282984643</v>
      </c>
      <c r="D51" s="12" t="str">
        <f>VLOOKUP(C51,[1]report!$A$2:$Q$496,3,FALSE)</f>
        <v xml:space="preserve">RUDIANSA </v>
      </c>
      <c r="E51" s="12">
        <f>VLOOKUP(C51,[1]report!$A$2:$Q$496,4,FALSE)</f>
        <v>91127625</v>
      </c>
      <c r="F51" s="12">
        <f>VLOOKUP(C51,[1]report!$A$2:$Q$496,5,FALSE)</f>
        <v>4120177598</v>
      </c>
      <c r="G51" s="12" t="str">
        <f>VLOOKUP(C51,[1]report!$A$2:$Q$496,8,FALSE)</f>
        <v>Kab. Bulukumba - Kab. Bone</v>
      </c>
      <c r="H51" s="12" t="str">
        <f>VLOOKUP(C51,[1]report!$A$2:$Q$496,9,FALSE)</f>
        <v>08/09/2025 - 12/09/2025</v>
      </c>
      <c r="I51" s="13">
        <f>VLOOKUP(C51,[1]report!$A$2:$Q$496,17,FALSE)</f>
        <v>250000</v>
      </c>
      <c r="J51" s="15"/>
    </row>
    <row r="52" spans="2:10" s="5" customFormat="1" x14ac:dyDescent="0.25">
      <c r="B52" s="7">
        <v>47</v>
      </c>
      <c r="C52" s="11">
        <v>1282986077</v>
      </c>
      <c r="D52" s="12" t="str">
        <f>VLOOKUP(C52,[1]report!$A$2:$Q$496,3,FALSE)</f>
        <v>RIVAD YUNUS</v>
      </c>
      <c r="E52" s="12">
        <f>VLOOKUP(C52,[1]report!$A$2:$Q$496,4,FALSE)</f>
        <v>97177623</v>
      </c>
      <c r="F52" s="12">
        <f>VLOOKUP(C52,[1]report!$A$2:$Q$496,5,FALSE)</f>
        <v>4120177593</v>
      </c>
      <c r="G52" s="12" t="str">
        <f>VLOOKUP(C52,[1]report!$A$2:$Q$496,8,FALSE)</f>
        <v>Kab. Bulukumba - Kab. Bone</v>
      </c>
      <c r="H52" s="12" t="str">
        <f>VLOOKUP(C52,[1]report!$A$2:$Q$496,9,FALSE)</f>
        <v>08/09/2025 - 12/09/2025</v>
      </c>
      <c r="I52" s="13">
        <f>VLOOKUP(C52,[1]report!$A$2:$Q$496,17,FALSE)</f>
        <v>250000</v>
      </c>
      <c r="J52" s="15"/>
    </row>
    <row r="53" spans="2:10" s="5" customFormat="1" x14ac:dyDescent="0.25">
      <c r="B53" s="7">
        <v>48</v>
      </c>
      <c r="C53" s="11">
        <v>1282960886</v>
      </c>
      <c r="D53" s="12" t="str">
        <f>VLOOKUP(C53,[1]report!$A$2:$Q$496,3,FALSE)</f>
        <v>MUHAMMAD FATHUR RAYYAN</v>
      </c>
      <c r="E53" s="12">
        <f>VLOOKUP(C53,[1]report!$A$2:$Q$496,4,FALSE)</f>
        <v>96177621</v>
      </c>
      <c r="F53" s="12">
        <f>VLOOKUP(C53,[1]report!$A$2:$Q$496,5,FALSE)</f>
        <v>4120177592</v>
      </c>
      <c r="G53" s="12" t="str">
        <f>VLOOKUP(C53,[1]report!$A$2:$Q$496,8,FALSE)</f>
        <v>Kab. Bulukumba - Kab. Bone</v>
      </c>
      <c r="H53" s="12" t="str">
        <f>VLOOKUP(C53,[1]report!$A$2:$Q$496,9,FALSE)</f>
        <v>08/09/2025 - 12/09/2025</v>
      </c>
      <c r="I53" s="13">
        <f>VLOOKUP(C53,[1]report!$A$2:$Q$496,17,FALSE)</f>
        <v>250000</v>
      </c>
      <c r="J53" s="14"/>
    </row>
    <row r="54" spans="2:10" s="5" customFormat="1" x14ac:dyDescent="0.25">
      <c r="B54" s="7">
        <v>49</v>
      </c>
      <c r="C54" s="11">
        <v>1282961062</v>
      </c>
      <c r="D54" s="12" t="str">
        <f>VLOOKUP(C54,[1]report!$A$2:$Q$496,3,FALSE)</f>
        <v>FERI ARDIANSYAH</v>
      </c>
      <c r="E54" s="12">
        <f>VLOOKUP(C54,[1]report!$A$2:$Q$496,4,FALSE)</f>
        <v>96167826</v>
      </c>
      <c r="F54" s="12">
        <f>VLOOKUP(C54,[1]report!$A$2:$Q$496,5,FALSE)</f>
        <v>4120177590</v>
      </c>
      <c r="G54" s="12" t="str">
        <f>VLOOKUP(C54,[1]report!$A$2:$Q$496,8,FALSE)</f>
        <v>Kab. Bulukumba - Kab. Bone</v>
      </c>
      <c r="H54" s="12" t="str">
        <f>VLOOKUP(C54,[1]report!$A$2:$Q$496,9,FALSE)</f>
        <v>08/09/2025 - 12/09/2025</v>
      </c>
      <c r="I54" s="13">
        <f>VLOOKUP(C54,[1]report!$A$2:$Q$496,17,FALSE)</f>
        <v>250000</v>
      </c>
      <c r="J54" s="14"/>
    </row>
    <row r="55" spans="2:10" s="5" customFormat="1" x14ac:dyDescent="0.25">
      <c r="B55" s="7">
        <v>50</v>
      </c>
      <c r="C55" s="11">
        <v>1283093776</v>
      </c>
      <c r="D55" s="12" t="str">
        <f>VLOOKUP(C55,[1]report!$A$2:$Q$496,3,FALSE)</f>
        <v>DIAN ADHIRAMA ACHDAR</v>
      </c>
      <c r="E55" s="12">
        <f>VLOOKUP(C55,[1]report!$A$2:$Q$496,4,FALSE)</f>
        <v>81067606</v>
      </c>
      <c r="F55" s="12">
        <f>VLOOKUP(C55,[1]report!$A$2:$Q$496,5,FALSE)</f>
        <v>4120177635</v>
      </c>
      <c r="G55" s="12" t="str">
        <f>VLOOKUP(C55,[1]report!$A$2:$Q$496,8,FALSE)</f>
        <v>Kota Makassar - Kab. Polewali Mandar</v>
      </c>
      <c r="H55" s="12" t="str">
        <f>VLOOKUP(C55,[1]report!$A$2:$Q$496,9,FALSE)</f>
        <v>08/09/2025 - 12/09/2025</v>
      </c>
      <c r="I55" s="13">
        <f>VLOOKUP(C55,[1]report!$A$2:$Q$496,17,FALSE)</f>
        <v>291200</v>
      </c>
      <c r="J55" s="14"/>
    </row>
    <row r="56" spans="2:10" s="5" customFormat="1" x14ac:dyDescent="0.25">
      <c r="B56" s="7">
        <v>51</v>
      </c>
      <c r="C56" s="11">
        <v>1283048463</v>
      </c>
      <c r="D56" s="12" t="str">
        <f>VLOOKUP(C56,[1]report!$A$2:$Q$496,3,FALSE)</f>
        <v>A. DZAKKY SHUFI</v>
      </c>
      <c r="E56" s="12">
        <f>VLOOKUP(C56,[1]report!$A$2:$Q$496,4,FALSE)</f>
        <v>87107613</v>
      </c>
      <c r="F56" s="12">
        <f>VLOOKUP(C56,[1]report!$A$2:$Q$496,5,FALSE)</f>
        <v>4120177631</v>
      </c>
      <c r="G56" s="12" t="str">
        <f>VLOOKUP(C56,[1]report!$A$2:$Q$496,8,FALSE)</f>
        <v>Kota Makassar - Jakarta Selatan</v>
      </c>
      <c r="H56" s="12" t="str">
        <f>VLOOKUP(C56,[1]report!$A$2:$Q$496,9,FALSE)</f>
        <v>08/09/2025 - 12/09/2025</v>
      </c>
      <c r="I56" s="13">
        <f>VLOOKUP(C56,[1]report!$A$2:$Q$496,17,FALSE)</f>
        <v>914297</v>
      </c>
      <c r="J56" s="14"/>
    </row>
    <row r="57" spans="2:10" s="5" customFormat="1" x14ac:dyDescent="0.25">
      <c r="B57" s="7">
        <v>52</v>
      </c>
      <c r="C57" s="11">
        <v>1282996239</v>
      </c>
      <c r="D57" s="12" t="str">
        <f>VLOOKUP(C57,[1]report!$A$2:$Q$496,3,FALSE)</f>
        <v>DALMASIUS NUGROHO ADI PUTRANTO</v>
      </c>
      <c r="E57" s="12">
        <f>VLOOKUP(C57,[1]report!$A$2:$Q$496,4,FALSE)</f>
        <v>80077601</v>
      </c>
      <c r="F57" s="12">
        <f>VLOOKUP(C57,[1]report!$A$2:$Q$496,5,FALSE)</f>
        <v>4120177637</v>
      </c>
      <c r="G57" s="12" t="str">
        <f>VLOOKUP(C57,[1]report!$A$2:$Q$496,8,FALSE)</f>
        <v>Kota Makassar - Kota Surabaya</v>
      </c>
      <c r="H57" s="12" t="str">
        <f>VLOOKUP(C57,[1]report!$A$2:$Q$496,9,FALSE)</f>
        <v>08/09/2025 - 13/09/2025</v>
      </c>
      <c r="I57" s="13">
        <f>VLOOKUP(C57,[1]report!$A$2:$Q$496,17,FALSE)</f>
        <v>939700</v>
      </c>
      <c r="J57" s="15"/>
    </row>
    <row r="58" spans="2:10" s="5" customFormat="1" x14ac:dyDescent="0.25">
      <c r="B58" s="7">
        <v>53</v>
      </c>
      <c r="C58" s="11">
        <v>1282961406</v>
      </c>
      <c r="D58" s="12" t="str">
        <f>VLOOKUP(C58,[1]report!$A$2:$Q$496,3,FALSE)</f>
        <v>JULYANZAH PERDANA PUTRA</v>
      </c>
      <c r="E58" s="12">
        <f>VLOOKUP(C58,[1]report!$A$2:$Q$496,4,FALSE)</f>
        <v>88128002</v>
      </c>
      <c r="F58" s="12">
        <f>VLOOKUP(C58,[1]report!$A$2:$Q$496,5,FALSE)</f>
        <v>4120177614</v>
      </c>
      <c r="G58" s="12" t="str">
        <f>VLOOKUP(C58,[1]report!$A$2:$Q$496,8,FALSE)</f>
        <v>Kota Makassar - Kota Surabaya</v>
      </c>
      <c r="H58" s="12" t="str">
        <f>VLOOKUP(C58,[1]report!$A$2:$Q$496,9,FALSE)</f>
        <v>08/09/2025 - 13/09/2025</v>
      </c>
      <c r="I58" s="13">
        <f>VLOOKUP(C58,[1]report!$A$2:$Q$496,17,FALSE)</f>
        <v>1065100</v>
      </c>
      <c r="J58" s="14"/>
    </row>
    <row r="59" spans="2:10" s="5" customFormat="1" x14ac:dyDescent="0.25">
      <c r="B59" s="7">
        <v>54</v>
      </c>
      <c r="C59" s="11">
        <v>1283101560</v>
      </c>
      <c r="D59" s="12" t="str">
        <f>VLOOKUP(C59,[1]report!$A$2:$Q$496,3,FALSE)</f>
        <v>SHALAHUDDIN ALAYUBI SITANGGANG</v>
      </c>
      <c r="E59" s="12">
        <f>VLOOKUP(C59,[1]report!$A$2:$Q$496,4,FALSE)</f>
        <v>95237601</v>
      </c>
      <c r="F59" s="12">
        <f>VLOOKUP(C59,[1]report!$A$2:$Q$496,5,FALSE)</f>
        <v>4120177624</v>
      </c>
      <c r="G59" s="12" t="str">
        <f>VLOOKUP(C59,[1]report!$A$2:$Q$496,8,FALSE)</f>
        <v>Kota Baubau - Kota Banjarbaru</v>
      </c>
      <c r="H59" s="12" t="str">
        <f>VLOOKUP(C59,[1]report!$A$2:$Q$496,9,FALSE)</f>
        <v>14/09/2025 - 18/09/2025</v>
      </c>
      <c r="I59" s="13">
        <f>VLOOKUP(C59,[1]report!$A$2:$Q$496,17,FALSE)</f>
        <v>1245200</v>
      </c>
      <c r="J59" s="14"/>
    </row>
    <row r="60" spans="2:10" s="5" customFormat="1" x14ac:dyDescent="0.25">
      <c r="B60" s="7">
        <v>55</v>
      </c>
      <c r="C60" s="11">
        <v>1283006483</v>
      </c>
      <c r="D60" s="12" t="str">
        <f>VLOOKUP(C60,[1]report!$A$2:$Q$496,3,FALSE)</f>
        <v>SYAIFUL ISLAM</v>
      </c>
      <c r="E60" s="12">
        <f>VLOOKUP(C60,[1]report!$A$2:$Q$496,4,FALSE)</f>
        <v>94187617</v>
      </c>
      <c r="F60" s="12">
        <f>VLOOKUP(C60,[1]report!$A$2:$Q$496,5,FALSE)</f>
        <v>4120177623</v>
      </c>
      <c r="G60" s="12" t="str">
        <f>VLOOKUP(C60,[1]report!$A$2:$Q$496,8,FALSE)</f>
        <v>Kab. Bone - Kota Makassar</v>
      </c>
      <c r="H60" s="12" t="str">
        <f>VLOOKUP(C60,[1]report!$A$2:$Q$496,9,FALSE)</f>
        <v>08/09/2025 - 10/09/2025</v>
      </c>
      <c r="I60" s="13">
        <f>VLOOKUP(C60,[1]report!$A$2:$Q$496,17,FALSE)</f>
        <v>1270358</v>
      </c>
      <c r="J60" s="14"/>
    </row>
    <row r="61" spans="2:10" s="5" customFormat="1" x14ac:dyDescent="0.25">
      <c r="B61" s="7">
        <v>56</v>
      </c>
      <c r="C61" s="11">
        <v>1283013428</v>
      </c>
      <c r="D61" s="12" t="str">
        <f>VLOOKUP(C61,[1]report!$A$2:$Q$496,3,FALSE)</f>
        <v>DALMASIUS NUGROHO ADI PUTRANTO</v>
      </c>
      <c r="E61" s="12">
        <f>VLOOKUP(C61,[1]report!$A$2:$Q$496,4,FALSE)</f>
        <v>80077601</v>
      </c>
      <c r="F61" s="12">
        <f>VLOOKUP(C61,[1]report!$A$2:$Q$496,5,FALSE)</f>
        <v>4120177637</v>
      </c>
      <c r="G61" s="12" t="str">
        <f>VLOOKUP(C61,[1]report!$A$2:$Q$496,8,FALSE)</f>
        <v>Kota Makassar - Kota Surabaya</v>
      </c>
      <c r="H61" s="12" t="str">
        <f>VLOOKUP(C61,[1]report!$A$2:$Q$496,9,FALSE)</f>
        <v>08/09/2025 - 13/09/2025</v>
      </c>
      <c r="I61" s="13">
        <f>VLOOKUP(C61,[1]report!$A$2:$Q$496,17,FALSE)</f>
        <v>1333800</v>
      </c>
      <c r="J61" s="14"/>
    </row>
    <row r="62" spans="2:10" s="5" customFormat="1" x14ac:dyDescent="0.25">
      <c r="B62" s="7">
        <v>57</v>
      </c>
      <c r="C62" s="16">
        <v>1283034628</v>
      </c>
      <c r="D62" s="12" t="str">
        <f>VLOOKUP(C62,[1]report!$A$2:$Q$496,3,FALSE)</f>
        <v>JULYANZAH PERDANA PUTRA</v>
      </c>
      <c r="E62" s="12">
        <f>VLOOKUP(C62,[1]report!$A$2:$Q$496,4,FALSE)</f>
        <v>88128002</v>
      </c>
      <c r="F62" s="12">
        <f>VLOOKUP(C62,[1]report!$A$2:$Q$496,5,FALSE)</f>
        <v>4120177614</v>
      </c>
      <c r="G62" s="12" t="str">
        <f>VLOOKUP(C62,[1]report!$A$2:$Q$496,8,FALSE)</f>
        <v>Kota Makassar - Kota Surabaya</v>
      </c>
      <c r="H62" s="12" t="str">
        <f>VLOOKUP(C62,[1]report!$A$2:$Q$496,9,FALSE)</f>
        <v>08/09/2025 - 13/09/2025</v>
      </c>
      <c r="I62" s="13">
        <f>VLOOKUP(C62,[1]report!$A$2:$Q$496,17,FALSE)</f>
        <v>1587600</v>
      </c>
      <c r="J62" s="17"/>
    </row>
    <row r="63" spans="2:10" s="5" customFormat="1" x14ac:dyDescent="0.25">
      <c r="B63" s="7">
        <v>58</v>
      </c>
      <c r="C63" s="11">
        <v>1282997884</v>
      </c>
      <c r="D63" s="12" t="str">
        <f>VLOOKUP(C63,[1]report!$A$2:$Q$496,3,FALSE)</f>
        <v>LELY SRIHANDAYANI</v>
      </c>
      <c r="E63" s="12">
        <f>VLOOKUP(C63,[1]report!$A$2:$Q$496,4,FALSE)</f>
        <v>85097604</v>
      </c>
      <c r="F63" s="12">
        <f>VLOOKUP(C63,[1]report!$A$2:$Q$496,5,FALSE)</f>
        <v>4120177608</v>
      </c>
      <c r="G63" s="12" t="str">
        <f>VLOOKUP(C63,[1]report!$A$2:$Q$496,8,FALSE)</f>
        <v>Kota Makassar - Kota Bogor</v>
      </c>
      <c r="H63" s="12" t="str">
        <f>VLOOKUP(C63,[1]report!$A$2:$Q$496,9,FALSE)</f>
        <v>08/09/2025 - 10/09/2025</v>
      </c>
      <c r="I63" s="13">
        <f>VLOOKUP(C63,[1]report!$A$2:$Q$496,17,FALSE)</f>
        <v>2370400</v>
      </c>
      <c r="J63" s="15"/>
    </row>
    <row r="64" spans="2:10" s="5" customFormat="1" x14ac:dyDescent="0.25">
      <c r="B64" s="7">
        <v>59</v>
      </c>
      <c r="C64" s="11">
        <v>1283075231</v>
      </c>
      <c r="D64" s="12" t="str">
        <f>VLOOKUP(C64,[1]report!$A$2:$Q$496,3,FALSE)</f>
        <v>TASH'QIA VENINTIA</v>
      </c>
      <c r="E64" s="12">
        <f>VLOOKUP(C64,[1]report!$A$2:$Q$496,4,FALSE)</f>
        <v>96197618</v>
      </c>
      <c r="F64" s="12">
        <f>VLOOKUP(C64,[1]report!$A$2:$Q$496,5,FALSE)</f>
        <v>4120177601</v>
      </c>
      <c r="G64" s="12" t="str">
        <f>VLOOKUP(C64,[1]report!$A$2:$Q$496,8,FALSE)</f>
        <v>Kota Kendari - Kota Makassar</v>
      </c>
      <c r="H64" s="12" t="str">
        <f>VLOOKUP(C64,[1]report!$A$2:$Q$496,9,FALSE)</f>
        <v>08/09/2025 - 11/09/2025</v>
      </c>
      <c r="I64" s="13">
        <f>VLOOKUP(C64,[1]report!$A$2:$Q$496,17,FALSE)</f>
        <v>2553000</v>
      </c>
      <c r="J64" s="15"/>
    </row>
    <row r="65" spans="2:10" s="5" customFormat="1" x14ac:dyDescent="0.25">
      <c r="B65" s="7">
        <v>60</v>
      </c>
      <c r="C65" s="11">
        <v>1283081925</v>
      </c>
      <c r="D65" s="12" t="str">
        <f>VLOOKUP(C65,[1]report!$A$2:$Q$496,3,FALSE)</f>
        <v>SEPTYANTO NUGROHO</v>
      </c>
      <c r="E65" s="12">
        <f>VLOOKUP(C65,[1]report!$A$2:$Q$496,4,FALSE)</f>
        <v>95197610</v>
      </c>
      <c r="F65" s="12">
        <f>VLOOKUP(C65,[1]report!$A$2:$Q$496,5,FALSE)</f>
        <v>4120177643</v>
      </c>
      <c r="G65" s="12" t="str">
        <f>VLOOKUP(C65,[1]report!$A$2:$Q$496,8,FALSE)</f>
        <v>Kota Makassar - Kota Surabaya</v>
      </c>
      <c r="H65" s="12" t="str">
        <f>VLOOKUP(C65,[1]report!$A$2:$Q$496,9,FALSE)</f>
        <v>09/09/2025 - 13/09/2025</v>
      </c>
      <c r="I65" s="13">
        <f>VLOOKUP(C65,[1]report!$A$2:$Q$496,17,FALSE)</f>
        <v>2680000</v>
      </c>
      <c r="J65" s="15"/>
    </row>
    <row r="66" spans="2:10" s="5" customFormat="1" x14ac:dyDescent="0.25">
      <c r="B66" s="7">
        <v>61</v>
      </c>
      <c r="C66" s="11">
        <v>1282988798</v>
      </c>
      <c r="D66" s="12" t="str">
        <f>VLOOKUP(C66,[1]report!$A$2:$Q$496,3,FALSE)</f>
        <v>MANSYUR FAHMI</v>
      </c>
      <c r="E66" s="12">
        <f>VLOOKUP(C66,[1]report!$A$2:$Q$496,4,FALSE)</f>
        <v>96197639</v>
      </c>
      <c r="F66" s="12">
        <f>VLOOKUP(C66,[1]report!$A$2:$Q$496,5,FALSE)</f>
        <v>4120177627</v>
      </c>
      <c r="G66" s="12" t="str">
        <f>VLOOKUP(C66,[1]report!$A$2:$Q$496,8,FALSE)</f>
        <v>Kab. Mamuju - Jakarta Selatan</v>
      </c>
      <c r="H66" s="12" t="str">
        <f>VLOOKUP(C66,[1]report!$A$2:$Q$496,9,FALSE)</f>
        <v>08/09/2025 - 13/09/2025</v>
      </c>
      <c r="I66" s="13">
        <f>VLOOKUP(C66,[1]report!$A$2:$Q$496,17,FALSE)</f>
        <v>3236185</v>
      </c>
      <c r="J66" s="15"/>
    </row>
    <row r="67" spans="2:10" s="5" customFormat="1" x14ac:dyDescent="0.25">
      <c r="B67" s="7">
        <v>62</v>
      </c>
      <c r="C67" s="11">
        <v>1283131857</v>
      </c>
      <c r="D67" s="12" t="str">
        <f>VLOOKUP(C67,[1]report!$A$2:$Q$496,3,FALSE)</f>
        <v>KRESKY YULIANTO</v>
      </c>
      <c r="E67" s="12">
        <f>VLOOKUP(C67,[1]report!$A$2:$Q$496,4,FALSE)</f>
        <v>96137676</v>
      </c>
      <c r="F67" s="12">
        <f>VLOOKUP(C67,[1]report!$A$2:$Q$496,5,FALSE)</f>
        <v>4120177641</v>
      </c>
      <c r="G67" s="12" t="str">
        <f>VLOOKUP(C67,[1]report!$A$2:$Q$496,8,FALSE)</f>
        <v>Kota Makassar - Kab. Luwu Timur</v>
      </c>
      <c r="H67" s="12" t="str">
        <f>VLOOKUP(C67,[1]report!$A$2:$Q$496,9,FALSE)</f>
        <v>08/09/2025 - 13/09/2025</v>
      </c>
      <c r="I67" s="13">
        <f>VLOOKUP(C67,[1]report!$A$2:$Q$496,17,FALSE)</f>
        <v>525000</v>
      </c>
      <c r="J67" s="15"/>
    </row>
    <row r="68" spans="2:10" s="5" customFormat="1" x14ac:dyDescent="0.25">
      <c r="B68" s="7">
        <v>63</v>
      </c>
      <c r="C68" s="11">
        <v>1283112870</v>
      </c>
      <c r="D68" s="12" t="str">
        <f>VLOOKUP(C68,[1]report!$A$2:$Q$496,3,FALSE)</f>
        <v>SEPTYANTO NUGROHO</v>
      </c>
      <c r="E68" s="12">
        <f>VLOOKUP(C68,[1]report!$A$2:$Q$496,4,FALSE)</f>
        <v>95197610</v>
      </c>
      <c r="F68" s="12">
        <f>VLOOKUP(C68,[1]report!$A$2:$Q$496,5,FALSE)</f>
        <v>4120177643</v>
      </c>
      <c r="G68" s="12" t="str">
        <f>VLOOKUP(C68,[1]report!$A$2:$Q$496,8,FALSE)</f>
        <v>Kota Makassar - Kota Surabaya</v>
      </c>
      <c r="H68" s="12" t="str">
        <f>VLOOKUP(C68,[1]report!$A$2:$Q$496,9,FALSE)</f>
        <v>09/09/2025 - 13/09/2025</v>
      </c>
      <c r="I68" s="13">
        <f>VLOOKUP(C68,[1]report!$A$2:$Q$496,17,FALSE)</f>
        <v>876400</v>
      </c>
      <c r="J68" s="15"/>
    </row>
    <row r="69" spans="2:10" s="5" customFormat="1" x14ac:dyDescent="0.25">
      <c r="B69" s="7">
        <v>64</v>
      </c>
      <c r="C69" s="11">
        <v>1283140044</v>
      </c>
      <c r="D69" s="12" t="str">
        <f>VLOOKUP(C69,[1]report!$A$2:$Q$496,3,FALSE)</f>
        <v>JULIO ISNANJAR ARDHIYANTO</v>
      </c>
      <c r="E69" s="12">
        <f>VLOOKUP(C69,[1]report!$A$2:$Q$496,4,FALSE)</f>
        <v>87117612</v>
      </c>
      <c r="F69" s="12">
        <f>VLOOKUP(C69,[1]report!$A$2:$Q$496,5,FALSE)</f>
        <v>4120177633</v>
      </c>
      <c r="G69" s="12" t="str">
        <f>VLOOKUP(C69,[1]report!$A$2:$Q$496,8,FALSE)</f>
        <v>Kab. Bulukumba - Kota Makassar</v>
      </c>
      <c r="H69" s="12" t="str">
        <f>VLOOKUP(C69,[1]report!$A$2:$Q$496,9,FALSE)</f>
        <v>09/09/2025 - 11/09/2025</v>
      </c>
      <c r="I69" s="13">
        <f>VLOOKUP(C69,[1]report!$A$2:$Q$496,17,FALSE)</f>
        <v>1362953</v>
      </c>
      <c r="J69" s="15"/>
    </row>
    <row r="70" spans="2:10" s="5" customFormat="1" x14ac:dyDescent="0.25">
      <c r="B70" s="7">
        <v>65</v>
      </c>
      <c r="C70" s="11">
        <v>1283102400</v>
      </c>
      <c r="D70" s="12" t="str">
        <f>VLOOKUP(C70,[1]report!$A$2:$Q$496,3,FALSE)</f>
        <v>SHALAHUDDIN ALAYUBI SITANGGANG</v>
      </c>
      <c r="E70" s="12">
        <f>VLOOKUP(C70,[1]report!$A$2:$Q$496,4,FALSE)</f>
        <v>95237601</v>
      </c>
      <c r="F70" s="12">
        <f>VLOOKUP(C70,[1]report!$A$2:$Q$496,5,FALSE)</f>
        <v>4120177624</v>
      </c>
      <c r="G70" s="12" t="str">
        <f>VLOOKUP(C70,[1]report!$A$2:$Q$496,8,FALSE)</f>
        <v>Kota Baubau - Kota Banjarbaru</v>
      </c>
      <c r="H70" s="12" t="str">
        <f>VLOOKUP(C70,[1]report!$A$2:$Q$496,9,FALSE)</f>
        <v>14/09/2025 - 18/09/2025</v>
      </c>
      <c r="I70" s="13">
        <f>VLOOKUP(C70,[1]report!$A$2:$Q$496,17,FALSE)</f>
        <v>2168800</v>
      </c>
      <c r="J70" s="15"/>
    </row>
    <row r="71" spans="2:10" s="5" customFormat="1" x14ac:dyDescent="0.25">
      <c r="B71" s="7">
        <v>66</v>
      </c>
      <c r="C71" s="11">
        <v>1283315757</v>
      </c>
      <c r="D71" s="12" t="str">
        <f>VLOOKUP(C71,[1]report!$A$2:$Q$496,3,FALSE)</f>
        <v>DIAN ADHIRAMA ACHDAR</v>
      </c>
      <c r="E71" s="12">
        <f>VLOOKUP(C71,[1]report!$A$2:$Q$496,4,FALSE)</f>
        <v>81067606</v>
      </c>
      <c r="F71" s="12">
        <f>VLOOKUP(C71,[1]report!$A$2:$Q$496,5,FALSE)</f>
        <v>4120177635</v>
      </c>
      <c r="G71" s="12" t="str">
        <f>VLOOKUP(C71,[1]report!$A$2:$Q$496,8,FALSE)</f>
        <v>Kota Makassar - Kab. Polewali Mandar</v>
      </c>
      <c r="H71" s="12" t="str">
        <f>VLOOKUP(C71,[1]report!$A$2:$Q$496,9,FALSE)</f>
        <v>08/09/2025 - 12/09/2025</v>
      </c>
      <c r="I71" s="13">
        <f>VLOOKUP(C71,[1]report!$A$2:$Q$496,17,FALSE)</f>
        <v>270400</v>
      </c>
      <c r="J71" s="15"/>
    </row>
    <row r="72" spans="2:10" s="5" customFormat="1" x14ac:dyDescent="0.25">
      <c r="B72" s="7">
        <v>67</v>
      </c>
      <c r="C72" s="11">
        <v>1283329176</v>
      </c>
      <c r="D72" s="12" t="str">
        <f>VLOOKUP(C72,[1]report!$A$2:$Q$496,3,FALSE)</f>
        <v>KRESKY YULIANTO</v>
      </c>
      <c r="E72" s="12">
        <f>VLOOKUP(C72,[1]report!$A$2:$Q$496,4,FALSE)</f>
        <v>96137676</v>
      </c>
      <c r="F72" s="12">
        <f>VLOOKUP(C72,[1]report!$A$2:$Q$496,5,FALSE)</f>
        <v>4120177641</v>
      </c>
      <c r="G72" s="12" t="str">
        <f>VLOOKUP(C72,[1]report!$A$2:$Q$496,8,FALSE)</f>
        <v>Kota Makassar - Kab. Luwu Timur</v>
      </c>
      <c r="H72" s="12" t="str">
        <f>VLOOKUP(C72,[1]report!$A$2:$Q$496,9,FALSE)</f>
        <v>08/09/2025 - 13/09/2025</v>
      </c>
      <c r="I72" s="13">
        <f>VLOOKUP(C72,[1]report!$A$2:$Q$496,17,FALSE)</f>
        <v>572850</v>
      </c>
      <c r="J72" s="15"/>
    </row>
    <row r="73" spans="2:10" s="5" customFormat="1" x14ac:dyDescent="0.25">
      <c r="B73" s="7">
        <v>68</v>
      </c>
      <c r="C73" s="11">
        <v>1283348481</v>
      </c>
      <c r="D73" s="12" t="str">
        <f>VLOOKUP(C73,[1]report!$A$2:$Q$496,3,FALSE)</f>
        <v>I WAYAN EDY PURNAMA ARSA</v>
      </c>
      <c r="E73" s="12">
        <f>VLOOKUP(C73,[1]report!$A$2:$Q$496,4,FALSE)</f>
        <v>91147609</v>
      </c>
      <c r="F73" s="12">
        <f>VLOOKUP(C73,[1]report!$A$2:$Q$496,5,FALSE)</f>
        <v>4120177586</v>
      </c>
      <c r="G73" s="12" t="str">
        <f>VLOOKUP(C73,[1]report!$A$2:$Q$496,8,FALSE)</f>
        <v>Kota Makassar - Kab. Konawe Utara</v>
      </c>
      <c r="H73" s="12" t="str">
        <f>VLOOKUP(C73,[1]report!$A$2:$Q$496,9,FALSE)</f>
        <v>08/09/2025 - 10/09/2025</v>
      </c>
      <c r="I73" s="13">
        <f>VLOOKUP(C73,[1]report!$A$2:$Q$496,17,FALSE)</f>
        <v>641026</v>
      </c>
      <c r="J73" s="15"/>
    </row>
    <row r="74" spans="2:10" s="5" customFormat="1" x14ac:dyDescent="0.25">
      <c r="B74" s="7">
        <v>69</v>
      </c>
      <c r="C74" s="11">
        <v>1283360383</v>
      </c>
      <c r="D74" s="12" t="str">
        <f>VLOOKUP(C74,[1]report!$A$2:$Q$496,3,FALSE)</f>
        <v>SEKARWATI CIPTOROSO</v>
      </c>
      <c r="E74" s="12">
        <f>VLOOKUP(C74,[1]report!$A$2:$Q$496,4,FALSE)</f>
        <v>96197610</v>
      </c>
      <c r="F74" s="12">
        <f>VLOOKUP(C74,[1]report!$A$2:$Q$496,5,FALSE)</f>
        <v>4120177659</v>
      </c>
      <c r="G74" s="12" t="str">
        <f>VLOOKUP(C74,[1]report!$A$2:$Q$496,8,FALSE)</f>
        <v>Kota Baubau - Kota Makassar</v>
      </c>
      <c r="H74" s="12" t="str">
        <f>VLOOKUP(C74,[1]report!$A$2:$Q$496,9,FALSE)</f>
        <v>10/09/2025 - 13/09/2025</v>
      </c>
      <c r="I74" s="13">
        <f>VLOOKUP(C74,[1]report!$A$2:$Q$496,17,FALSE)</f>
        <v>744200</v>
      </c>
      <c r="J74" s="15"/>
    </row>
    <row r="75" spans="2:10" s="5" customFormat="1" x14ac:dyDescent="0.25">
      <c r="B75" s="7">
        <v>70</v>
      </c>
      <c r="C75" s="11">
        <v>1283208967</v>
      </c>
      <c r="D75" s="12" t="str">
        <f>VLOOKUP(C75,[1]report!$A$2:$Q$496,3,FALSE)</f>
        <v>ANDI MU'AYYAD MAPPAKAYA</v>
      </c>
      <c r="E75" s="12">
        <f>VLOOKUP(C75,[1]report!$A$2:$Q$496,4,FALSE)</f>
        <v>96137658</v>
      </c>
      <c r="F75" s="12">
        <f>VLOOKUP(C75,[1]report!$A$2:$Q$496,5,FALSE)</f>
        <v>4120177630</v>
      </c>
      <c r="G75" s="12" t="str">
        <f>VLOOKUP(C75,[1]report!$A$2:$Q$496,8,FALSE)</f>
        <v>Kab. Bulukumba - Kab. Bone</v>
      </c>
      <c r="H75" s="12" t="str">
        <f>VLOOKUP(C75,[1]report!$A$2:$Q$496,9,FALSE)</f>
        <v>08/09/2025 - 12/09/2025</v>
      </c>
      <c r="I75" s="13">
        <f>VLOOKUP(C75,[1]report!$A$2:$Q$496,17,FALSE)</f>
        <v>810000</v>
      </c>
      <c r="J75" s="15"/>
    </row>
    <row r="76" spans="2:10" s="5" customFormat="1" x14ac:dyDescent="0.25">
      <c r="B76" s="7">
        <v>71</v>
      </c>
      <c r="C76" s="11">
        <v>1283290367</v>
      </c>
      <c r="D76" s="12" t="str">
        <f>VLOOKUP(C76,[1]report!$A$2:$Q$496,3,FALSE)</f>
        <v>BAGUS ALBARANU YULIATMOKO</v>
      </c>
      <c r="E76" s="12">
        <f>VLOOKUP(C76,[1]report!$A$2:$Q$496,4,FALSE)</f>
        <v>96207604</v>
      </c>
      <c r="F76" s="12">
        <f>VLOOKUP(C76,[1]report!$A$2:$Q$496,5,FALSE)</f>
        <v>4120177607</v>
      </c>
      <c r="G76" s="12" t="str">
        <f>VLOOKUP(C76,[1]report!$A$2:$Q$496,8,FALSE)</f>
        <v>Kota Makassar - Kab. Bogor</v>
      </c>
      <c r="H76" s="12" t="str">
        <f>VLOOKUP(C76,[1]report!$A$2:$Q$496,9,FALSE)</f>
        <v>08/09/2025 - 10/09/2025</v>
      </c>
      <c r="I76" s="13">
        <f>VLOOKUP(C76,[1]report!$A$2:$Q$496,17,FALSE)</f>
        <v>840000</v>
      </c>
      <c r="J76" s="15"/>
    </row>
    <row r="77" spans="2:10" s="5" customFormat="1" x14ac:dyDescent="0.25">
      <c r="B77" s="7">
        <v>72</v>
      </c>
      <c r="C77" s="11">
        <v>1283349572</v>
      </c>
      <c r="D77" s="12" t="str">
        <f>VLOOKUP(C77,[1]report!$A$2:$Q$496,3,FALSE)</f>
        <v>I WAYAN EDY PURNAMA ARSA</v>
      </c>
      <c r="E77" s="12">
        <f>VLOOKUP(C77,[1]report!$A$2:$Q$496,4,FALSE)</f>
        <v>91147609</v>
      </c>
      <c r="F77" s="12">
        <f>VLOOKUP(C77,[1]report!$A$2:$Q$496,5,FALSE)</f>
        <v>4120177586</v>
      </c>
      <c r="G77" s="12" t="str">
        <f>VLOOKUP(C77,[1]report!$A$2:$Q$496,8,FALSE)</f>
        <v>Kota Makassar - Kab. Konawe Utara</v>
      </c>
      <c r="H77" s="12" t="str">
        <f>VLOOKUP(C77,[1]report!$A$2:$Q$496,9,FALSE)</f>
        <v>08/09/2025 - 10/09/2025</v>
      </c>
      <c r="I77" s="13">
        <f>VLOOKUP(C77,[1]report!$A$2:$Q$496,17,FALSE)</f>
        <v>857400</v>
      </c>
      <c r="J77" s="15"/>
    </row>
    <row r="78" spans="2:10" s="5" customFormat="1" x14ac:dyDescent="0.25">
      <c r="B78" s="7">
        <v>73</v>
      </c>
      <c r="C78" s="11">
        <v>1283218255</v>
      </c>
      <c r="D78" s="12" t="str">
        <f>VLOOKUP(C78,[1]report!$A$2:$Q$496,3,FALSE)</f>
        <v>AGUS RIANTO WIBOWO</v>
      </c>
      <c r="E78" s="12">
        <f>VLOOKUP(C78,[1]report!$A$2:$Q$496,4,FALSE)</f>
        <v>96137735</v>
      </c>
      <c r="F78" s="12">
        <f>VLOOKUP(C78,[1]report!$A$2:$Q$496,5,FALSE)</f>
        <v>4120177647</v>
      </c>
      <c r="G78" s="12" t="str">
        <f>VLOOKUP(C78,[1]report!$A$2:$Q$496,8,FALSE)</f>
        <v>Kota Kendari - Kota Makassar</v>
      </c>
      <c r="H78" s="12" t="str">
        <f>VLOOKUP(C78,[1]report!$A$2:$Q$496,9,FALSE)</f>
        <v>10/09/2025 - 13/09/2025</v>
      </c>
      <c r="I78" s="13">
        <f>VLOOKUP(C78,[1]report!$A$2:$Q$496,17,FALSE)</f>
        <v>861400</v>
      </c>
      <c r="J78" s="15"/>
    </row>
    <row r="79" spans="2:10" s="5" customFormat="1" x14ac:dyDescent="0.25">
      <c r="B79" s="7">
        <v>74</v>
      </c>
      <c r="C79" s="11">
        <v>1283212092</v>
      </c>
      <c r="D79" s="12" t="str">
        <f>VLOOKUP(C79,[1]report!$A$2:$Q$496,3,FALSE)</f>
        <v>AGUS SALIM</v>
      </c>
      <c r="E79" s="12">
        <f>VLOOKUP(C79,[1]report!$A$2:$Q$496,4,FALSE)</f>
        <v>75947601</v>
      </c>
      <c r="F79" s="12">
        <f>VLOOKUP(C79,[1]report!$A$2:$Q$496,5,FALSE)</f>
        <v>4120177585</v>
      </c>
      <c r="G79" s="12" t="str">
        <f>VLOOKUP(C79,[1]report!$A$2:$Q$496,8,FALSE)</f>
        <v>Kota Makassar - Kota Kendari</v>
      </c>
      <c r="H79" s="12" t="str">
        <f>VLOOKUP(C79,[1]report!$A$2:$Q$496,9,FALSE)</f>
        <v>08/09/2025 - 10/09/2025</v>
      </c>
      <c r="I79" s="13">
        <f>VLOOKUP(C79,[1]report!$A$2:$Q$496,17,FALSE)</f>
        <v>861400</v>
      </c>
      <c r="J79" s="15"/>
    </row>
    <row r="80" spans="2:10" s="5" customFormat="1" x14ac:dyDescent="0.25">
      <c r="B80" s="7">
        <v>75</v>
      </c>
      <c r="C80" s="11">
        <v>1283278295</v>
      </c>
      <c r="D80" s="12" t="str">
        <f>VLOOKUP(C80,[1]report!$A$2:$Q$496,3,FALSE)</f>
        <v>LELY SRIHANDAYANI</v>
      </c>
      <c r="E80" s="12">
        <f>VLOOKUP(C80,[1]report!$A$2:$Q$496,4,FALSE)</f>
        <v>85097604</v>
      </c>
      <c r="F80" s="12">
        <f>VLOOKUP(C80,[1]report!$A$2:$Q$496,5,FALSE)</f>
        <v>4120177608</v>
      </c>
      <c r="G80" s="12" t="str">
        <f>VLOOKUP(C80,[1]report!$A$2:$Q$496,8,FALSE)</f>
        <v>Kota Makassar - Kota Bogor</v>
      </c>
      <c r="H80" s="12" t="str">
        <f>VLOOKUP(C80,[1]report!$A$2:$Q$496,9,FALSE)</f>
        <v>08/09/2025 - 10/09/2025</v>
      </c>
      <c r="I80" s="13">
        <f>VLOOKUP(C80,[1]report!$A$2:$Q$496,17,FALSE)</f>
        <v>990000</v>
      </c>
      <c r="J80" s="15"/>
    </row>
    <row r="81" spans="2:10" s="5" customFormat="1" x14ac:dyDescent="0.25">
      <c r="B81" s="7">
        <v>76</v>
      </c>
      <c r="C81" s="11">
        <v>1283265535</v>
      </c>
      <c r="D81" s="12" t="str">
        <f>VLOOKUP(C81,[1]report!$A$2:$Q$496,3,FALSE)</f>
        <v>KHAYRUNNISA B. MUHAMMADIA</v>
      </c>
      <c r="E81" s="12">
        <f>VLOOKUP(C81,[1]report!$A$2:$Q$496,4,FALSE)</f>
        <v>93167626</v>
      </c>
      <c r="F81" s="12">
        <f>VLOOKUP(C81,[1]report!$A$2:$Q$496,5,FALSE)</f>
        <v>4120177642</v>
      </c>
      <c r="G81" s="12" t="str">
        <f>VLOOKUP(C81,[1]report!$A$2:$Q$496,8,FALSE)</f>
        <v>Kota Makassar - Kota Depok</v>
      </c>
      <c r="H81" s="12" t="str">
        <f>VLOOKUP(C81,[1]report!$A$2:$Q$496,9,FALSE)</f>
        <v>11/09/2025 - 13/09/2025</v>
      </c>
      <c r="I81" s="13">
        <f>VLOOKUP(C81,[1]report!$A$2:$Q$496,17,FALSE)</f>
        <v>1242700</v>
      </c>
      <c r="J81" s="15"/>
    </row>
    <row r="82" spans="2:10" s="5" customFormat="1" x14ac:dyDescent="0.25">
      <c r="B82" s="7">
        <v>77</v>
      </c>
      <c r="C82" s="11">
        <v>1283362602</v>
      </c>
      <c r="D82" s="12" t="str">
        <f>VLOOKUP(C82,[1]report!$A$2:$Q$496,3,FALSE)</f>
        <v>SEKARWATI CIPTOROSO</v>
      </c>
      <c r="E82" s="12">
        <f>VLOOKUP(C82,[1]report!$A$2:$Q$496,4,FALSE)</f>
        <v>96197610</v>
      </c>
      <c r="F82" s="12">
        <f>VLOOKUP(C82,[1]report!$A$2:$Q$496,5,FALSE)</f>
        <v>4120177659</v>
      </c>
      <c r="G82" s="12" t="str">
        <f>VLOOKUP(C82,[1]report!$A$2:$Q$496,8,FALSE)</f>
        <v>Kota Baubau - Kota Makassar</v>
      </c>
      <c r="H82" s="12" t="str">
        <f>VLOOKUP(C82,[1]report!$A$2:$Q$496,9,FALSE)</f>
        <v>10/09/2025 - 13/09/2025</v>
      </c>
      <c r="I82" s="13">
        <f>VLOOKUP(C82,[1]report!$A$2:$Q$496,17,FALSE)</f>
        <v>1787100</v>
      </c>
      <c r="J82" s="15"/>
    </row>
    <row r="83" spans="2:10" s="5" customFormat="1" x14ac:dyDescent="0.25">
      <c r="B83" s="7">
        <v>78</v>
      </c>
      <c r="C83" s="11">
        <v>1283272908</v>
      </c>
      <c r="D83" s="12" t="str">
        <f>VLOOKUP(C83,[1]report!$A$2:$Q$496,3,FALSE)</f>
        <v>HUSEN SOBRI</v>
      </c>
      <c r="E83" s="12">
        <f>VLOOKUP(C83,[1]report!$A$2:$Q$496,4,FALSE)</f>
        <v>76957800</v>
      </c>
      <c r="F83" s="12">
        <f>VLOOKUP(C83,[1]report!$A$2:$Q$496,5,FALSE)</f>
        <v>4120177612</v>
      </c>
      <c r="G83" s="12" t="str">
        <f>VLOOKUP(C83,[1]report!$A$2:$Q$496,8,FALSE)</f>
        <v>Kota Makassar - Kab. Bogor</v>
      </c>
      <c r="H83" s="12" t="str">
        <f>VLOOKUP(C83,[1]report!$A$2:$Q$496,9,FALSE)</f>
        <v>07/09/2025 - 10/09/2025</v>
      </c>
      <c r="I83" s="13">
        <f>VLOOKUP(C83,[1]report!$A$2:$Q$496,17,FALSE)</f>
        <v>1874200</v>
      </c>
      <c r="J83" s="15"/>
    </row>
    <row r="84" spans="2:10" s="5" customFormat="1" x14ac:dyDescent="0.25">
      <c r="B84" s="7">
        <v>79</v>
      </c>
      <c r="C84" s="11">
        <v>1283327139</v>
      </c>
      <c r="D84" s="12" t="str">
        <f>VLOOKUP(C84,[1]report!$A$2:$Q$496,3,FALSE)</f>
        <v>YULI ASHANIAIS RAMADANI</v>
      </c>
      <c r="E84" s="12">
        <f>VLOOKUP(C84,[1]report!$A$2:$Q$496,4,FALSE)</f>
        <v>79047601</v>
      </c>
      <c r="F84" s="12">
        <f>VLOOKUP(C84,[1]report!$A$2:$Q$496,5,FALSE)</f>
        <v>4120177649</v>
      </c>
      <c r="G84" s="12" t="str">
        <f>VLOOKUP(C84,[1]report!$A$2:$Q$496,8,FALSE)</f>
        <v>Kota Makassar - Jakarta Selatan</v>
      </c>
      <c r="H84" s="12" t="str">
        <f>VLOOKUP(C84,[1]report!$A$2:$Q$496,9,FALSE)</f>
        <v>10/09/2025 - 11/09/2025</v>
      </c>
      <c r="I84" s="13">
        <f>VLOOKUP(C84,[1]report!$A$2:$Q$496,17,FALSE)</f>
        <v>2183400</v>
      </c>
      <c r="J84" s="15"/>
    </row>
    <row r="85" spans="2:10" s="5" customFormat="1" x14ac:dyDescent="0.25">
      <c r="B85" s="7">
        <v>80</v>
      </c>
      <c r="C85" s="11">
        <v>1283327187</v>
      </c>
      <c r="D85" s="12" t="str">
        <f>VLOOKUP(C85,[1]report!$A$2:$Q$496,3,FALSE)</f>
        <v xml:space="preserve">MIRSAN </v>
      </c>
      <c r="E85" s="12">
        <f>VLOOKUP(C85,[1]report!$A$2:$Q$496,4,FALSE)</f>
        <v>84087802</v>
      </c>
      <c r="F85" s="12">
        <f>VLOOKUP(C85,[1]report!$A$2:$Q$496,5,FALSE)</f>
        <v>4120177648</v>
      </c>
      <c r="G85" s="12" t="str">
        <f>VLOOKUP(C85,[1]report!$A$2:$Q$496,8,FALSE)</f>
        <v>Kota Makassar - Jakarta Selatan</v>
      </c>
      <c r="H85" s="12" t="str">
        <f>VLOOKUP(C85,[1]report!$A$2:$Q$496,9,FALSE)</f>
        <v>10/09/2025 - 11/09/2025</v>
      </c>
      <c r="I85" s="13">
        <f>VLOOKUP(C85,[1]report!$A$2:$Q$496,17,FALSE)</f>
        <v>2183400</v>
      </c>
      <c r="J85" s="15"/>
    </row>
    <row r="86" spans="2:10" s="5" customFormat="1" x14ac:dyDescent="0.25">
      <c r="B86" s="7">
        <v>81</v>
      </c>
      <c r="C86" s="11">
        <v>1283267596</v>
      </c>
      <c r="D86" s="12" t="str">
        <f>VLOOKUP(C86,[1]report!$A$2:$Q$496,3,FALSE)</f>
        <v>BAGUS ALBARANU YULIATMOKO</v>
      </c>
      <c r="E86" s="12">
        <f>VLOOKUP(C86,[1]report!$A$2:$Q$496,4,FALSE)</f>
        <v>96207604</v>
      </c>
      <c r="F86" s="12">
        <f>VLOOKUP(C86,[1]report!$A$2:$Q$496,5,FALSE)</f>
        <v>4120177607</v>
      </c>
      <c r="G86" s="12" t="str">
        <f>VLOOKUP(C86,[1]report!$A$2:$Q$496,8,FALSE)</f>
        <v>Kota Makassar - Kab. Bogor</v>
      </c>
      <c r="H86" s="12" t="str">
        <f>VLOOKUP(C86,[1]report!$A$2:$Q$496,9,FALSE)</f>
        <v>08/09/2025 - 10/09/2025</v>
      </c>
      <c r="I86" s="13">
        <f>VLOOKUP(C86,[1]report!$A$2:$Q$496,17,FALSE)</f>
        <v>2232900</v>
      </c>
      <c r="J86" s="15"/>
    </row>
    <row r="87" spans="2:10" s="5" customFormat="1" x14ac:dyDescent="0.25">
      <c r="B87" s="7">
        <v>82</v>
      </c>
      <c r="C87" s="11">
        <v>1283269952</v>
      </c>
      <c r="D87" s="12" t="str">
        <f>VLOOKUP(C87,[1]report!$A$2:$Q$496,3,FALSE)</f>
        <v>ISKANDAR AZHAR</v>
      </c>
      <c r="E87" s="12">
        <f>VLOOKUP(C87,[1]report!$A$2:$Q$496,4,FALSE)</f>
        <v>88097609</v>
      </c>
      <c r="F87" s="12">
        <f>VLOOKUP(C87,[1]report!$A$2:$Q$496,5,FALSE)</f>
        <v>4120177611</v>
      </c>
      <c r="G87" s="12" t="str">
        <f>VLOOKUP(C87,[1]report!$A$2:$Q$496,8,FALSE)</f>
        <v>KotaMakassar-KotaBogor</v>
      </c>
      <c r="H87" s="12" t="str">
        <f>VLOOKUP(C87,[1]report!$A$2:$Q$496,9,FALSE)</f>
        <v>07/09/2025 - 10/09/2025</v>
      </c>
      <c r="I87" s="13">
        <f>VLOOKUP(C87,[1]report!$A$2:$Q$496,17,FALSE)</f>
        <v>2235500</v>
      </c>
      <c r="J87" s="15"/>
    </row>
    <row r="88" spans="2:10" s="5" customFormat="1" x14ac:dyDescent="0.25">
      <c r="B88" s="7">
        <v>83</v>
      </c>
      <c r="C88" s="11">
        <v>1283258169</v>
      </c>
      <c r="D88" s="12" t="str">
        <f>VLOOKUP(C88,[1]report!$A$2:$Q$496,3,FALSE)</f>
        <v>SITTI FAUZIAH AHMAD</v>
      </c>
      <c r="E88" s="12">
        <f>VLOOKUP(C88,[1]report!$A$2:$Q$496,4,FALSE)</f>
        <v>93157614</v>
      </c>
      <c r="F88" s="12">
        <f>VLOOKUP(C88,[1]report!$A$2:$Q$496,5,FALSE)</f>
        <v>4120177606</v>
      </c>
      <c r="G88" s="12" t="str">
        <f>VLOOKUP(C88,[1]report!$A$2:$Q$496,8,FALSE)</f>
        <v>Kota Makassar - Kab. Bogor</v>
      </c>
      <c r="H88" s="12" t="str">
        <f>VLOOKUP(C88,[1]report!$A$2:$Q$496,9,FALSE)</f>
        <v>07/09/2025 - 10/09/2025</v>
      </c>
      <c r="I88" s="13">
        <f>VLOOKUP(C88,[1]report!$A$2:$Q$496,17,FALSE)</f>
        <v>2235500</v>
      </c>
      <c r="J88" s="15"/>
    </row>
    <row r="89" spans="2:10" s="5" customFormat="1" x14ac:dyDescent="0.25">
      <c r="B89" s="7">
        <v>84</v>
      </c>
      <c r="C89" s="11">
        <v>1283366776</v>
      </c>
      <c r="D89" s="12" t="str">
        <f>VLOOKUP(C89,[1]report!$A$2:$Q$496,3,FALSE)</f>
        <v>A. DZAKKY SHUFI</v>
      </c>
      <c r="E89" s="12">
        <f>VLOOKUP(C89,[1]report!$A$2:$Q$496,4,FALSE)</f>
        <v>87107613</v>
      </c>
      <c r="F89" s="12">
        <f>VLOOKUP(C89,[1]report!$A$2:$Q$496,5,FALSE)</f>
        <v>4120177631</v>
      </c>
      <c r="G89" s="12" t="str">
        <f>VLOOKUP(C89,[1]report!$A$2:$Q$496,8,FALSE)</f>
        <v>Kota Makassar - Jakarta Selatan</v>
      </c>
      <c r="H89" s="12" t="str">
        <f>VLOOKUP(C89,[1]report!$A$2:$Q$496,9,FALSE)</f>
        <v>08/09/2025 - 12/09/2025</v>
      </c>
      <c r="I89" s="13">
        <f>VLOOKUP(C89,[1]report!$A$2:$Q$496,17,FALSE)</f>
        <v>899200</v>
      </c>
      <c r="J89" s="15"/>
    </row>
    <row r="90" spans="2:10" s="5" customFormat="1" x14ac:dyDescent="0.25">
      <c r="B90" s="7">
        <v>85</v>
      </c>
      <c r="C90" s="11">
        <v>1283374037</v>
      </c>
      <c r="D90" s="12" t="str">
        <f>VLOOKUP(C90,[1]report!$A$2:$Q$496,3,FALSE)</f>
        <v>RULI RIZALUDDIN</v>
      </c>
      <c r="E90" s="12">
        <f>VLOOKUP(C90,[1]report!$A$2:$Q$496,4,FALSE)</f>
        <v>79055400</v>
      </c>
      <c r="F90" s="12">
        <f>VLOOKUP(C90,[1]report!$A$2:$Q$496,5,FALSE)</f>
        <v>4120177600</v>
      </c>
      <c r="G90" s="12" t="str">
        <f>VLOOKUP(C90,[1]report!$A$2:$Q$496,8,FALSE)</f>
        <v>Kota Makassar - Kota Bogor</v>
      </c>
      <c r="H90" s="12" t="str">
        <f>VLOOKUP(C90,[1]report!$A$2:$Q$496,9,FALSE)</f>
        <v>05/09/2025 - 13/09/2025</v>
      </c>
      <c r="I90" s="13">
        <f>VLOOKUP(C90,[1]report!$A$2:$Q$496,17,FALSE)</f>
        <v>1237500</v>
      </c>
      <c r="J90" s="15"/>
    </row>
    <row r="91" spans="2:10" s="5" customFormat="1" x14ac:dyDescent="0.25">
      <c r="B91" s="7">
        <v>86</v>
      </c>
      <c r="C91" s="11">
        <v>1283372586</v>
      </c>
      <c r="D91" s="12" t="str">
        <f>VLOOKUP(C91,[1]report!$A$2:$Q$496,3,FALSE)</f>
        <v>RICKY TITIN TRIPUTRA</v>
      </c>
      <c r="E91" s="12">
        <f>VLOOKUP(C91,[1]report!$A$2:$Q$496,4,FALSE)</f>
        <v>91157612</v>
      </c>
      <c r="F91" s="12">
        <f>VLOOKUP(C91,[1]report!$A$2:$Q$496,5,FALSE)</f>
        <v>4120177666</v>
      </c>
      <c r="G91" s="12" t="str">
        <f>VLOOKUP(C91,[1]report!$A$2:$Q$496,8,FALSE)</f>
        <v>Kab. Wakatobi - Kota Baubau</v>
      </c>
      <c r="H91" s="12" t="str">
        <f>VLOOKUP(C91,[1]report!$A$2:$Q$496,9,FALSE)</f>
        <v>10/09/2025 - 12/09/2025</v>
      </c>
      <c r="I91" s="13">
        <f>VLOOKUP(C91,[1]report!$A$2:$Q$496,17,FALSE)</f>
        <v>1370400</v>
      </c>
      <c r="J91" s="15"/>
    </row>
    <row r="92" spans="2:10" s="5" customFormat="1" x14ac:dyDescent="0.25">
      <c r="B92" s="7">
        <v>87</v>
      </c>
      <c r="C92" s="16">
        <v>1283533109</v>
      </c>
      <c r="D92" s="12" t="str">
        <f>VLOOKUP(C92,[1]report!$A$2:$Q$496,3,FALSE)</f>
        <v>DIAN ADHIRAMA ACHDAR</v>
      </c>
      <c r="E92" s="12">
        <f>VLOOKUP(C92,[1]report!$A$2:$Q$496,4,FALSE)</f>
        <v>81067606</v>
      </c>
      <c r="F92" s="12">
        <f>VLOOKUP(C92,[1]report!$A$2:$Q$496,5,FALSE)</f>
        <v>4120177635</v>
      </c>
      <c r="G92" s="12" t="str">
        <f>VLOOKUP(C92,[1]report!$A$2:$Q$496,8,FALSE)</f>
        <v>Kota Makassar - Kab. Polewali Mandar</v>
      </c>
      <c r="H92" s="12" t="str">
        <f>VLOOKUP(C92,[1]report!$A$2:$Q$496,9,FALSE)</f>
        <v>08/09/2025 - 12/09/2025</v>
      </c>
      <c r="I92" s="13">
        <f>VLOOKUP(C92,[1]report!$A$2:$Q$496,17,FALSE)</f>
        <v>405599</v>
      </c>
      <c r="J92" s="17"/>
    </row>
    <row r="93" spans="2:10" s="5" customFormat="1" x14ac:dyDescent="0.25">
      <c r="B93" s="7">
        <v>88</v>
      </c>
      <c r="C93" s="11">
        <v>1283542546</v>
      </c>
      <c r="D93" s="12" t="str">
        <f>VLOOKUP(C93,[1]report!$A$2:$Q$496,3,FALSE)</f>
        <v xml:space="preserve">MIRSAN </v>
      </c>
      <c r="E93" s="12">
        <f>VLOOKUP(C93,[1]report!$A$2:$Q$496,4,FALSE)</f>
        <v>84087802</v>
      </c>
      <c r="F93" s="12">
        <f>VLOOKUP(C93,[1]report!$A$2:$Q$496,5,FALSE)</f>
        <v>4120177648</v>
      </c>
      <c r="G93" s="12" t="str">
        <f>VLOOKUP(C93,[1]report!$A$2:$Q$496,8,FALSE)</f>
        <v>Kota Makassar - Jakarta Selatan</v>
      </c>
      <c r="H93" s="12" t="str">
        <f>VLOOKUP(C93,[1]report!$A$2:$Q$496,9,FALSE)</f>
        <v>10/09/2025 - 11/09/2025</v>
      </c>
      <c r="I93" s="13">
        <f>VLOOKUP(C93,[1]report!$A$2:$Q$496,17,FALSE)</f>
        <v>1004300</v>
      </c>
      <c r="J93" s="15"/>
    </row>
    <row r="94" spans="2:10" s="5" customFormat="1" x14ac:dyDescent="0.25">
      <c r="B94" s="7">
        <v>89</v>
      </c>
      <c r="C94" s="11">
        <v>1283543658</v>
      </c>
      <c r="D94" s="12" t="str">
        <f>VLOOKUP(C94,[1]report!$A$2:$Q$496,3,FALSE)</f>
        <v>YULI ASHANIAIS RAMADANI</v>
      </c>
      <c r="E94" s="12">
        <f>VLOOKUP(C94,[1]report!$A$2:$Q$496,4,FALSE)</f>
        <v>79047601</v>
      </c>
      <c r="F94" s="12">
        <f>VLOOKUP(C94,[1]report!$A$2:$Q$496,5,FALSE)</f>
        <v>4120177649</v>
      </c>
      <c r="G94" s="12" t="str">
        <f>VLOOKUP(C94,[1]report!$A$2:$Q$496,8,FALSE)</f>
        <v>Kota Makassar - Jakarta Selatan</v>
      </c>
      <c r="H94" s="12" t="str">
        <f>VLOOKUP(C94,[1]report!$A$2:$Q$496,9,FALSE)</f>
        <v>10/09/2025 - 11/09/2025</v>
      </c>
      <c r="I94" s="13">
        <f>VLOOKUP(C94,[1]report!$A$2:$Q$496,17,FALSE)</f>
        <v>1226940</v>
      </c>
      <c r="J94" s="15"/>
    </row>
    <row r="95" spans="2:10" s="5" customFormat="1" x14ac:dyDescent="0.25">
      <c r="B95" s="7">
        <v>90</v>
      </c>
      <c r="C95" s="11">
        <v>1283475142</v>
      </c>
      <c r="D95" s="12" t="str">
        <f>VLOOKUP(C95,[1]report!$A$2:$Q$496,3,FALSE)</f>
        <v>RULI RIZALUDDIN</v>
      </c>
      <c r="E95" s="12">
        <f>VLOOKUP(C95,[1]report!$A$2:$Q$496,4,FALSE)</f>
        <v>79055400</v>
      </c>
      <c r="F95" s="12">
        <f>VLOOKUP(C95,[1]report!$A$2:$Q$496,5,FALSE)</f>
        <v>4120177600</v>
      </c>
      <c r="G95" s="12" t="str">
        <f>VLOOKUP(C95,[1]report!$A$2:$Q$496,8,FALSE)</f>
        <v>Kota Makassar - Kota Bogor</v>
      </c>
      <c r="H95" s="12" t="str">
        <f>VLOOKUP(C95,[1]report!$A$2:$Q$496,9,FALSE)</f>
        <v>05/09/2025 - 13/09/2025</v>
      </c>
      <c r="I95" s="13">
        <f>VLOOKUP(C95,[1]report!$A$2:$Q$496,17,FALSE)</f>
        <v>1237500</v>
      </c>
      <c r="J95" s="15"/>
    </row>
    <row r="96" spans="2:10" s="5" customFormat="1" x14ac:dyDescent="0.25">
      <c r="B96" s="7">
        <v>91</v>
      </c>
      <c r="C96" s="11">
        <v>1283459742</v>
      </c>
      <c r="D96" s="12" t="str">
        <f>VLOOKUP(C96,[1]report!$A$2:$Q$496,3,FALSE)</f>
        <v>DALMASIUS NUGROHO ADI PUTRANTO</v>
      </c>
      <c r="E96" s="12">
        <f>VLOOKUP(C96,[1]report!$A$2:$Q$496,4,FALSE)</f>
        <v>80077601</v>
      </c>
      <c r="F96" s="12">
        <f>VLOOKUP(C96,[1]report!$A$2:$Q$496,5,FALSE)</f>
        <v>4120177637</v>
      </c>
      <c r="G96" s="12" t="str">
        <f>VLOOKUP(C96,[1]report!$A$2:$Q$496,8,FALSE)</f>
        <v>Kota Makassar - Kota Surabaya</v>
      </c>
      <c r="H96" s="12" t="str">
        <f>VLOOKUP(C96,[1]report!$A$2:$Q$496,9,FALSE)</f>
        <v>08/09/2025 - 13/09/2025</v>
      </c>
      <c r="I96" s="13">
        <f>VLOOKUP(C96,[1]report!$A$2:$Q$496,17,FALSE)</f>
        <v>1320000</v>
      </c>
      <c r="J96" s="15"/>
    </row>
    <row r="97" spans="2:10" s="5" customFormat="1" x14ac:dyDescent="0.25">
      <c r="B97" s="7">
        <v>92</v>
      </c>
      <c r="C97" s="11">
        <v>1283583189</v>
      </c>
      <c r="D97" s="12" t="str">
        <f>VLOOKUP(C97,[1]report!$A$2:$Q$496,3,FALSE)</f>
        <v>AHMAD FATHAN MAARIF</v>
      </c>
      <c r="E97" s="12">
        <f>VLOOKUP(C97,[1]report!$A$2:$Q$496,4,FALSE)</f>
        <v>96197614</v>
      </c>
      <c r="F97" s="12">
        <f>VLOOKUP(C97,[1]report!$A$2:$Q$496,5,FALSE)</f>
        <v>4120177673</v>
      </c>
      <c r="G97" s="12" t="str">
        <f>VLOOKUP(C97,[1]report!$A$2:$Q$496,8,FALSE)</f>
        <v>Kota Kendari - Kota Makassar</v>
      </c>
      <c r="H97" s="12" t="str">
        <f>VLOOKUP(C97,[1]report!$A$2:$Q$496,9,FALSE)</f>
        <v>10/09/2025 - 12/09/2025</v>
      </c>
      <c r="I97" s="13">
        <f>VLOOKUP(C97,[1]report!$A$2:$Q$496,17,FALSE)</f>
        <v>1677089</v>
      </c>
      <c r="J97" s="15"/>
    </row>
    <row r="98" spans="2:10" s="5" customFormat="1" x14ac:dyDescent="0.25">
      <c r="B98" s="7">
        <v>93</v>
      </c>
      <c r="C98" s="11">
        <v>1283512959</v>
      </c>
      <c r="D98" s="12" t="str">
        <f>VLOOKUP(C98,[1]report!$A$2:$Q$496,3,FALSE)</f>
        <v>GABRIELLE ALLENA</v>
      </c>
      <c r="E98" s="12">
        <f>VLOOKUP(C98,[1]report!$A$2:$Q$496,4,FALSE)</f>
        <v>98241171</v>
      </c>
      <c r="F98" s="12">
        <f>VLOOKUP(C98,[1]report!$A$2:$Q$496,5,FALSE)</f>
        <v>4120177656</v>
      </c>
      <c r="G98" s="12" t="str">
        <f>VLOOKUP(C98,[1]report!$A$2:$Q$496,8,FALSE)</f>
        <v>Kota Cilegon - Kota Cilegon</v>
      </c>
      <c r="H98" s="12" t="str">
        <f>VLOOKUP(C98,[1]report!$A$2:$Q$496,9,FALSE)</f>
        <v>14/09/2025 - 19/09/2025</v>
      </c>
      <c r="I98" s="13">
        <f>VLOOKUP(C98,[1]report!$A$2:$Q$496,17,FALSE)</f>
        <v>1905200</v>
      </c>
      <c r="J98" s="15"/>
    </row>
    <row r="99" spans="2:10" s="5" customFormat="1" x14ac:dyDescent="0.25">
      <c r="B99" s="7">
        <v>94</v>
      </c>
      <c r="C99" s="11">
        <v>1283535506</v>
      </c>
      <c r="D99" s="12" t="str">
        <f>VLOOKUP(C99,[1]report!$A$2:$Q$496,3,FALSE)</f>
        <v>SOFYAN ASBAR</v>
      </c>
      <c r="E99" s="12">
        <f>VLOOKUP(C99,[1]report!$A$2:$Q$496,4,FALSE)</f>
        <v>96187638</v>
      </c>
      <c r="F99" s="12">
        <f>VLOOKUP(C99,[1]report!$A$2:$Q$496,5,FALSE)</f>
        <v>4120177670</v>
      </c>
      <c r="G99" s="12" t="str">
        <f>VLOOKUP(C99,[1]report!$A$2:$Q$496,8,FALSE)</f>
        <v>Kab. Mamuju - Kota Makassar</v>
      </c>
      <c r="H99" s="12" t="str">
        <f>VLOOKUP(C99,[1]report!$A$2:$Q$496,9,FALSE)</f>
        <v>10/09/2025 - 13/09/2025</v>
      </c>
      <c r="I99" s="13">
        <f>VLOOKUP(C99,[1]report!$A$2:$Q$496,17,FALSE)</f>
        <v>2010000</v>
      </c>
      <c r="J99" s="15"/>
    </row>
    <row r="100" spans="2:10" s="5" customFormat="1" x14ac:dyDescent="0.25">
      <c r="B100" s="7">
        <v>95</v>
      </c>
      <c r="C100" s="11">
        <v>1283626556</v>
      </c>
      <c r="D100" s="12" t="str">
        <f>VLOOKUP(C100,[1]report!$A$2:$Q$496,3,FALSE)</f>
        <v>KRESKY YULIANTO</v>
      </c>
      <c r="E100" s="12">
        <f>VLOOKUP(C100,[1]report!$A$2:$Q$496,4,FALSE)</f>
        <v>96137676</v>
      </c>
      <c r="F100" s="12">
        <f>VLOOKUP(C100,[1]report!$A$2:$Q$496,5,FALSE)</f>
        <v>4120177641</v>
      </c>
      <c r="G100" s="12" t="str">
        <f>VLOOKUP(C100,[1]report!$A$2:$Q$496,8,FALSE)</f>
        <v>Kota Makassar - Kab. Luwu Timur</v>
      </c>
      <c r="H100" s="12" t="str">
        <f>VLOOKUP(C100,[1]report!$A$2:$Q$496,9,FALSE)</f>
        <v>08/09/2025 - 13/09/2025</v>
      </c>
      <c r="I100" s="13">
        <f>VLOOKUP(C100,[1]report!$A$2:$Q$496,17,FALSE)</f>
        <v>364000</v>
      </c>
      <c r="J100" s="15"/>
    </row>
    <row r="101" spans="2:10" s="5" customFormat="1" x14ac:dyDescent="0.25">
      <c r="B101" s="7">
        <v>96</v>
      </c>
      <c r="C101" s="11">
        <v>1283666832</v>
      </c>
      <c r="D101" s="12" t="str">
        <f>VLOOKUP(C101,[1]report!$A$2:$Q$496,3,FALSE)</f>
        <v>MUHAMMAD ISMAIL</v>
      </c>
      <c r="E101" s="12">
        <f>VLOOKUP(C101,[1]report!$A$2:$Q$496,4,FALSE)</f>
        <v>78027603</v>
      </c>
      <c r="F101" s="12">
        <f>VLOOKUP(C101,[1]report!$A$2:$Q$496,5,FALSE)</f>
        <v>4120177661</v>
      </c>
      <c r="G101" s="12" t="str">
        <f>VLOOKUP(C101,[1]report!$A$2:$Q$496,8,FALSE)</f>
        <v>Kota Makassar - Kab. Enrekang</v>
      </c>
      <c r="H101" s="12" t="str">
        <f>VLOOKUP(C101,[1]report!$A$2:$Q$496,9,FALSE)</f>
        <v>10/09/2025 - 11/09/2025</v>
      </c>
      <c r="I101" s="13">
        <f>VLOOKUP(C101,[1]report!$A$2:$Q$496,17,FALSE)</f>
        <v>459550</v>
      </c>
      <c r="J101" s="19"/>
    </row>
    <row r="102" spans="2:10" s="5" customFormat="1" x14ac:dyDescent="0.25">
      <c r="B102" s="7">
        <v>97</v>
      </c>
      <c r="C102" s="11">
        <v>1283680912</v>
      </c>
      <c r="D102" s="12" t="str">
        <f>VLOOKUP(C102,[1]report!$A$2:$Q$496,3,FALSE)</f>
        <v>HUSLAN HUSAIN</v>
      </c>
      <c r="E102" s="12">
        <f>VLOOKUP(C102,[1]report!$A$2:$Q$496,4,FALSE)</f>
        <v>71907601</v>
      </c>
      <c r="F102" s="12">
        <f>VLOOKUP(C102,[1]report!$A$2:$Q$496,5,FALSE)</f>
        <v>4120177664</v>
      </c>
      <c r="G102" s="12" t="str">
        <f>VLOOKUP(C102,[1]report!$A$2:$Q$496,8,FALSE)</f>
        <v>Kota Makassar - Kab. Pinrang</v>
      </c>
      <c r="H102" s="12" t="str">
        <f>VLOOKUP(C102,[1]report!$A$2:$Q$496,9,FALSE)</f>
        <v>10/09/2025 - 11/09/2025</v>
      </c>
      <c r="I102" s="13">
        <f>VLOOKUP(C102,[1]report!$A$2:$Q$496,17,FALSE)</f>
        <v>590850</v>
      </c>
      <c r="J102" s="19"/>
    </row>
    <row r="103" spans="2:10" s="5" customFormat="1" x14ac:dyDescent="0.25">
      <c r="B103" s="7">
        <v>98</v>
      </c>
      <c r="C103" s="11">
        <v>1283667231</v>
      </c>
      <c r="D103" s="12" t="str">
        <f>VLOOKUP(C103,[1]report!$A$2:$Q$496,3,FALSE)</f>
        <v>WENNY DIANA</v>
      </c>
      <c r="E103" s="12">
        <f>VLOOKUP(C103,[1]report!$A$2:$Q$496,4,FALSE)</f>
        <v>82097400</v>
      </c>
      <c r="F103" s="12">
        <f>VLOOKUP(C103,[1]report!$A$2:$Q$496,5,FALSE)</f>
        <v>4120177662</v>
      </c>
      <c r="G103" s="12" t="str">
        <f>VLOOKUP(C103,[1]report!$A$2:$Q$496,8,FALSE)</f>
        <v>Kota Makassar - Kab. Enrekang</v>
      </c>
      <c r="H103" s="12" t="str">
        <f>VLOOKUP(C103,[1]report!$A$2:$Q$496,9,FALSE)</f>
        <v>10/09/2025 - 11/09/2025</v>
      </c>
      <c r="I103" s="13">
        <f>VLOOKUP(C103,[1]report!$A$2:$Q$496,17,FALSE)</f>
        <v>590850</v>
      </c>
      <c r="J103" s="19"/>
    </row>
    <row r="104" spans="2:10" s="5" customFormat="1" x14ac:dyDescent="0.25">
      <c r="B104" s="7">
        <v>99</v>
      </c>
      <c r="C104" s="11">
        <v>1283620310</v>
      </c>
      <c r="D104" s="12" t="str">
        <f>VLOOKUP(C104,[1]report!$A$2:$Q$496,3,FALSE)</f>
        <v>APRIZAL ARIF AMIR</v>
      </c>
      <c r="E104" s="12">
        <f>VLOOKUP(C104,[1]report!$A$2:$Q$496,4,FALSE)</f>
        <v>93157607</v>
      </c>
      <c r="F104" s="12">
        <f>VLOOKUP(C104,[1]report!$A$2:$Q$496,5,FALSE)</f>
        <v>4120177667</v>
      </c>
      <c r="G104" s="12" t="str">
        <f>VLOOKUP(C104,[1]report!$A$2:$Q$496,8,FALSE)</f>
        <v>Kab. Buton Tengah - Kota Baubau</v>
      </c>
      <c r="H104" s="12" t="str">
        <f>VLOOKUP(C104,[1]report!$A$2:$Q$496,9,FALSE)</f>
        <v>11/09/2025 - 12/09/2025</v>
      </c>
      <c r="I104" s="13">
        <f>VLOOKUP(C104,[1]report!$A$2:$Q$496,17,FALSE)</f>
        <v>615400</v>
      </c>
      <c r="J104" s="19"/>
    </row>
    <row r="105" spans="2:10" s="5" customFormat="1" x14ac:dyDescent="0.25">
      <c r="B105" s="7">
        <v>100</v>
      </c>
      <c r="C105" s="11">
        <v>1283699188</v>
      </c>
      <c r="D105" s="12" t="str">
        <f>VLOOKUP(C105,[1]report!$A$2:$Q$496,3,FALSE)</f>
        <v>JULYANZAH PERDANA PUTRA</v>
      </c>
      <c r="E105" s="12">
        <f>VLOOKUP(C105,[1]report!$A$2:$Q$496,4,FALSE)</f>
        <v>88128002</v>
      </c>
      <c r="F105" s="12">
        <f>VLOOKUP(C105,[1]report!$A$2:$Q$496,5,FALSE)</f>
        <v>4120177614</v>
      </c>
      <c r="G105" s="12" t="str">
        <f>VLOOKUP(C105,[1]report!$A$2:$Q$496,8,FALSE)</f>
        <v>Kota Makassar - Kota Surabaya</v>
      </c>
      <c r="H105" s="12" t="str">
        <f>VLOOKUP(C105,[1]report!$A$2:$Q$496,9,FALSE)</f>
        <v>08/09/2025 - 13/09/2025</v>
      </c>
      <c r="I105" s="13">
        <f>VLOOKUP(C105,[1]report!$A$2:$Q$496,17,FALSE)</f>
        <v>793800</v>
      </c>
      <c r="J105" s="19"/>
    </row>
    <row r="106" spans="2:10" s="5" customFormat="1" x14ac:dyDescent="0.25">
      <c r="B106" s="7">
        <v>101</v>
      </c>
      <c r="C106" s="11">
        <v>1283667643</v>
      </c>
      <c r="D106" s="12" t="str">
        <f>VLOOKUP(C106,[1]report!$A$2:$Q$496,3,FALSE)</f>
        <v>SEKARWATI CIPTOROSO</v>
      </c>
      <c r="E106" s="12">
        <f>VLOOKUP(C106,[1]report!$A$2:$Q$496,4,FALSE)</f>
        <v>96197610</v>
      </c>
      <c r="F106" s="12">
        <f>VLOOKUP(C106,[1]report!$A$2:$Q$496,5,FALSE)</f>
        <v>4120177659</v>
      </c>
      <c r="G106" s="12" t="str">
        <f>VLOOKUP(C106,[1]report!$A$2:$Q$496,8,FALSE)</f>
        <v>Kota Baubau - Kota Makassar</v>
      </c>
      <c r="H106" s="12" t="str">
        <f>VLOOKUP(C106,[1]report!$A$2:$Q$496,9,FALSE)</f>
        <v>10/09/2025 - 13/09/2025</v>
      </c>
      <c r="I106" s="13">
        <f>VLOOKUP(C106,[1]report!$A$2:$Q$496,17,FALSE)</f>
        <v>844100</v>
      </c>
      <c r="J106" s="19"/>
    </row>
    <row r="107" spans="2:10" s="5" customFormat="1" x14ac:dyDescent="0.25">
      <c r="B107" s="7">
        <v>102</v>
      </c>
      <c r="C107" s="11">
        <v>1283645584</v>
      </c>
      <c r="D107" s="12" t="str">
        <f>VLOOKUP(C107,[1]report!$A$2:$Q$496,3,FALSE)</f>
        <v>A. DZAKKY SHUFI</v>
      </c>
      <c r="E107" s="12">
        <f>VLOOKUP(C107,[1]report!$A$2:$Q$496,4,FALSE)</f>
        <v>87107613</v>
      </c>
      <c r="F107" s="12">
        <f>VLOOKUP(C107,[1]report!$A$2:$Q$496,5,FALSE)</f>
        <v>4120177631</v>
      </c>
      <c r="G107" s="12" t="str">
        <f>VLOOKUP(C107,[1]report!$A$2:$Q$496,8,FALSE)</f>
        <v>Kota Makassar - Jakarta Selatan</v>
      </c>
      <c r="H107" s="12" t="str">
        <f>VLOOKUP(C107,[1]report!$A$2:$Q$496,9,FALSE)</f>
        <v>08/09/2025 - 12/09/2025</v>
      </c>
      <c r="I107" s="13">
        <f>VLOOKUP(C107,[1]report!$A$2:$Q$496,17,FALSE)</f>
        <v>2086800</v>
      </c>
      <c r="J107" s="15"/>
    </row>
    <row r="108" spans="2:10" s="5" customFormat="1" x14ac:dyDescent="0.25">
      <c r="B108" s="7">
        <v>103</v>
      </c>
      <c r="C108" s="11">
        <v>1283816031</v>
      </c>
      <c r="D108" s="12" t="str">
        <f>VLOOKUP(C108,[1]report!$A$2:$Q$496,3,FALSE)</f>
        <v>A. MALLOMBASSI</v>
      </c>
      <c r="E108" s="12">
        <f>VLOOKUP(C108,[1]report!$A$2:$Q$496,4,FALSE)</f>
        <v>86118004</v>
      </c>
      <c r="F108" s="12">
        <f>VLOOKUP(C108,[1]report!$A$2:$Q$496,5,FALSE)</f>
        <v>4120177657</v>
      </c>
      <c r="G108" s="12" t="str">
        <f>VLOOKUP(C108,[1]report!$A$2:$Q$496,8,FALSE)</f>
        <v>Kab.Bone-Kab.Bulukumba</v>
      </c>
      <c r="H108" s="12" t="str">
        <f>VLOOKUP(C108,[1]report!$A$2:$Q$496,9,FALSE)</f>
        <v>11/09/2025 - 12/09/2025</v>
      </c>
      <c r="I108" s="13">
        <f>VLOOKUP(C108,[1]report!$A$2:$Q$496,17,FALSE)</f>
        <v>380000</v>
      </c>
      <c r="J108" s="19"/>
    </row>
    <row r="109" spans="2:10" s="5" customFormat="1" x14ac:dyDescent="0.25">
      <c r="B109" s="7">
        <v>104</v>
      </c>
      <c r="C109" s="11">
        <v>1283824756</v>
      </c>
      <c r="D109" s="12" t="str">
        <f>VLOOKUP(C109,[1]report!$A$2:$Q$496,3,FALSE)</f>
        <v>KRESKY YULIANTO</v>
      </c>
      <c r="E109" s="12">
        <f>VLOOKUP(C109,[1]report!$A$2:$Q$496,4,FALSE)</f>
        <v>96137676</v>
      </c>
      <c r="F109" s="12">
        <f>VLOOKUP(C109,[1]report!$A$2:$Q$496,5,FALSE)</f>
        <v>4120177641</v>
      </c>
      <c r="G109" s="12" t="str">
        <f>VLOOKUP(C109,[1]report!$A$2:$Q$496,8,FALSE)</f>
        <v>Kota Makassar - Kab. Luwu Timur</v>
      </c>
      <c r="H109" s="12" t="str">
        <f>VLOOKUP(C109,[1]report!$A$2:$Q$496,9,FALSE)</f>
        <v>08/09/2025 - 13/09/2025</v>
      </c>
      <c r="I109" s="13">
        <f>VLOOKUP(C109,[1]report!$A$2:$Q$496,17,FALSE)</f>
        <v>593249</v>
      </c>
      <c r="J109" s="19"/>
    </row>
    <row r="110" spans="2:10" s="5" customFormat="1" x14ac:dyDescent="0.25">
      <c r="B110" s="7">
        <v>105</v>
      </c>
      <c r="C110" s="11">
        <v>1283764159</v>
      </c>
      <c r="D110" s="12" t="str">
        <f>VLOOKUP(C110,[1]report!$A$2:$Q$496,3,FALSE)</f>
        <v>ISWANTO HAKIM</v>
      </c>
      <c r="E110" s="12">
        <f>VLOOKUP(C110,[1]report!$A$2:$Q$496,4,FALSE)</f>
        <v>90117611</v>
      </c>
      <c r="F110" s="12">
        <f>VLOOKUP(C110,[1]report!$A$2:$Q$496,5,FALSE)</f>
        <v>4120177665</v>
      </c>
      <c r="G110" s="12" t="str">
        <f>VLOOKUP(C110,[1]report!$A$2:$Q$496,8,FALSE)</f>
        <v>Kab. Muna - Kota Baubau</v>
      </c>
      <c r="H110" s="12" t="str">
        <f>VLOOKUP(C110,[1]report!$A$2:$Q$496,9,FALSE)</f>
        <v>10/09/2025 - 12/09/2025</v>
      </c>
      <c r="I110" s="13">
        <f>VLOOKUP(C110,[1]report!$A$2:$Q$496,17,FALSE)</f>
        <v>615400</v>
      </c>
      <c r="J110" s="19"/>
    </row>
    <row r="111" spans="2:10" s="5" customFormat="1" x14ac:dyDescent="0.25">
      <c r="B111" s="7">
        <v>106</v>
      </c>
      <c r="C111" s="11">
        <v>1283733251</v>
      </c>
      <c r="D111" s="12" t="str">
        <f>VLOOKUP(C111,[1]report!$A$2:$Q$496,3,FALSE)</f>
        <v>ANDI WARIS</v>
      </c>
      <c r="E111" s="12">
        <f>VLOOKUP(C111,[1]report!$A$2:$Q$496,4,FALSE)</f>
        <v>95197613</v>
      </c>
      <c r="F111" s="12">
        <f>VLOOKUP(C111,[1]report!$A$2:$Q$496,5,FALSE)</f>
        <v>4120177683</v>
      </c>
      <c r="G111" s="12" t="str">
        <f>VLOOKUP(C111,[1]report!$A$2:$Q$496,8,FALSE)</f>
        <v>Kota Kendari - Kota Makassar</v>
      </c>
      <c r="H111" s="12" t="str">
        <f>VLOOKUP(C111,[1]report!$A$2:$Q$496,9,FALSE)</f>
        <v>11/09/2025 - 13/09/2025</v>
      </c>
      <c r="I111" s="13">
        <f>VLOOKUP(C111,[1]report!$A$2:$Q$496,17,FALSE)</f>
        <v>705200</v>
      </c>
      <c r="J111" s="15"/>
    </row>
    <row r="112" spans="2:10" s="5" customFormat="1" x14ac:dyDescent="0.25">
      <c r="B112" s="7">
        <v>107</v>
      </c>
      <c r="C112" s="11">
        <v>1283857365</v>
      </c>
      <c r="D112" s="12" t="str">
        <f>VLOOKUP(C112,[1]report!$A$2:$Q$496,3,FALSE)</f>
        <v>AGUS HARI WIBOWO</v>
      </c>
      <c r="E112" s="12">
        <f>VLOOKUP(C112,[1]report!$A$2:$Q$496,4,FALSE)</f>
        <v>85097602</v>
      </c>
      <c r="F112" s="12">
        <f>VLOOKUP(C112,[1]report!$A$2:$Q$496,5,FALSE)</f>
        <v>4120177603</v>
      </c>
      <c r="G112" s="12" t="str">
        <f>VLOOKUP(C112,[1]report!$A$2:$Q$496,8,FALSE)</f>
        <v>KotaMakassar-KotaBogor-Jakarta</v>
      </c>
      <c r="H112" s="12" t="str">
        <f>VLOOKUP(C112,[1]report!$A$2:$Q$496,9,FALSE)</f>
        <v>05/09/2025 - 13/09/2025</v>
      </c>
      <c r="I112" s="13">
        <f>VLOOKUP(C112,[1]report!$A$2:$Q$496,17,FALSE)</f>
        <v>735000</v>
      </c>
      <c r="J112" s="19"/>
    </row>
    <row r="113" spans="2:10" s="5" customFormat="1" x14ac:dyDescent="0.25">
      <c r="B113" s="7">
        <v>108</v>
      </c>
      <c r="C113" s="11">
        <v>1283724037</v>
      </c>
      <c r="D113" s="12" t="str">
        <f>VLOOKUP(C113,[1]report!$A$2:$Q$496,3,FALSE)</f>
        <v>RULI RIZALUDDIN</v>
      </c>
      <c r="E113" s="12">
        <f>VLOOKUP(C113,[1]report!$A$2:$Q$496,4,FALSE)</f>
        <v>79055400</v>
      </c>
      <c r="F113" s="12">
        <f>VLOOKUP(C113,[1]report!$A$2:$Q$496,5,FALSE)</f>
        <v>4120177600</v>
      </c>
      <c r="G113" s="12" t="str">
        <f>VLOOKUP(C113,[1]report!$A$2:$Q$496,8,FALSE)</f>
        <v>Kota Makassar - Kota Bogor</v>
      </c>
      <c r="H113" s="12" t="str">
        <f>VLOOKUP(C113,[1]report!$A$2:$Q$496,9,FALSE)</f>
        <v>05/09/2025 - 13/09/2025</v>
      </c>
      <c r="I113" s="13">
        <f>VLOOKUP(C113,[1]report!$A$2:$Q$496,17,FALSE)</f>
        <v>1237500</v>
      </c>
      <c r="J113" s="19"/>
    </row>
    <row r="114" spans="2:10" s="5" customFormat="1" x14ac:dyDescent="0.25">
      <c r="B114" s="7">
        <v>109</v>
      </c>
      <c r="C114" s="11">
        <v>1283762773</v>
      </c>
      <c r="D114" s="12" t="str">
        <f>VLOOKUP(C114,[1]report!$A$2:$Q$496,3,FALSE)</f>
        <v>MUH. HUSHARDI HUSAIN</v>
      </c>
      <c r="E114" s="12">
        <f>VLOOKUP(C114,[1]report!$A$2:$Q$496,4,FALSE)</f>
        <v>95197608</v>
      </c>
      <c r="F114" s="12">
        <f>VLOOKUP(C114,[1]report!$A$2:$Q$496,5,FALSE)</f>
        <v>4120177613</v>
      </c>
      <c r="G114" s="12" t="str">
        <f>VLOOKUP(C114,[1]report!$A$2:$Q$496,8,FALSE)</f>
        <v>Kab. Mamuju - Kota Cilegon</v>
      </c>
      <c r="H114" s="12" t="str">
        <f>VLOOKUP(C114,[1]report!$A$2:$Q$496,9,FALSE)</f>
        <v>07/09/2025 - 12/09/2025</v>
      </c>
      <c r="I114" s="13">
        <f>VLOOKUP(C114,[1]report!$A$2:$Q$496,17,FALSE)</f>
        <v>2199300</v>
      </c>
      <c r="J114" s="19"/>
    </row>
    <row r="115" spans="2:10" s="5" customFormat="1" x14ac:dyDescent="0.25">
      <c r="B115" s="7">
        <v>110</v>
      </c>
      <c r="C115" s="11">
        <v>1283769630</v>
      </c>
      <c r="D115" s="12" t="str">
        <f>VLOOKUP(C115,[1]report!$A$2:$Q$496,3,FALSE)</f>
        <v>YULI ASHANIAIS RAMADANI</v>
      </c>
      <c r="E115" s="12">
        <f>VLOOKUP(C115,[1]report!$A$2:$Q$496,4,FALSE)</f>
        <v>79047601</v>
      </c>
      <c r="F115" s="12">
        <f>VLOOKUP(C115,[1]report!$A$2:$Q$496,5,FALSE)</f>
        <v>4120177649</v>
      </c>
      <c r="G115" s="12" t="str">
        <f>VLOOKUP(C115,[1]report!$A$2:$Q$496,8,FALSE)</f>
        <v>Kota Makassar - Jakarta Selatan</v>
      </c>
      <c r="H115" s="12" t="str">
        <f>VLOOKUP(C115,[1]report!$A$2:$Q$496,9,FALSE)</f>
        <v>10/09/2025 - 11/09/2025</v>
      </c>
      <c r="I115" s="13">
        <f>VLOOKUP(C115,[1]report!$A$2:$Q$496,17,FALSE)</f>
        <v>2232900</v>
      </c>
      <c r="J115" s="19"/>
    </row>
    <row r="116" spans="2:10" s="5" customFormat="1" x14ac:dyDescent="0.25">
      <c r="B116" s="7">
        <v>111</v>
      </c>
      <c r="C116" s="11">
        <v>1283791653</v>
      </c>
      <c r="D116" s="12" t="str">
        <f>VLOOKUP(C116,[1]report!$A$2:$Q$496,3,FALSE)</f>
        <v>SHALAHUDDIN ALAYUBI SITANGGANG</v>
      </c>
      <c r="E116" s="12">
        <f>VLOOKUP(C116,[1]report!$A$2:$Q$496,4,FALSE)</f>
        <v>95237601</v>
      </c>
      <c r="F116" s="12">
        <f>VLOOKUP(C116,[1]report!$A$2:$Q$496,5,FALSE)</f>
        <v>4120177624</v>
      </c>
      <c r="G116" s="12" t="str">
        <f>VLOOKUP(C116,[1]report!$A$2:$Q$496,8,FALSE)</f>
        <v>Kota Baubau - Kota Banjarbaru</v>
      </c>
      <c r="H116" s="12" t="str">
        <f>VLOOKUP(C116,[1]report!$A$2:$Q$496,9,FALSE)</f>
        <v>14/09/2025 - 18/09/2025</v>
      </c>
      <c r="I116" s="13">
        <f>VLOOKUP(C116,[1]report!$A$2:$Q$496,17,FALSE)</f>
        <v>2468900</v>
      </c>
      <c r="J116" s="19"/>
    </row>
    <row r="117" spans="2:10" s="5" customFormat="1" x14ac:dyDescent="0.25">
      <c r="B117" s="7">
        <v>112</v>
      </c>
      <c r="C117" s="11">
        <v>1283739641</v>
      </c>
      <c r="D117" s="12" t="str">
        <f>VLOOKUP(C117,[1]report!$A$2:$Q$496,3,FALSE)</f>
        <v>AGUS SALIM</v>
      </c>
      <c r="E117" s="12">
        <f>VLOOKUP(C117,[1]report!$A$2:$Q$496,4,FALSE)</f>
        <v>75947601</v>
      </c>
      <c r="F117" s="12">
        <f>VLOOKUP(C117,[1]report!$A$2:$Q$496,5,FALSE)</f>
        <v>4120177684</v>
      </c>
      <c r="G117" s="12" t="str">
        <f>VLOOKUP(C117,[1]report!$A$2:$Q$496,8,FALSE)</f>
        <v>Kota Makassar - Jakarta Selatan</v>
      </c>
      <c r="H117" s="12" t="str">
        <f>VLOOKUP(C117,[1]report!$A$2:$Q$496,9,FALSE)</f>
        <v>16/09/2025 - 18/09/2025</v>
      </c>
      <c r="I117" s="13">
        <f>VLOOKUP(C117,[1]report!$A$2:$Q$496,17,FALSE)</f>
        <v>3170200</v>
      </c>
      <c r="J117" s="19"/>
    </row>
    <row r="118" spans="2:10" s="5" customFormat="1" x14ac:dyDescent="0.25">
      <c r="B118" s="7">
        <v>113</v>
      </c>
      <c r="C118" s="11">
        <v>1283938402</v>
      </c>
      <c r="D118" s="12" t="str">
        <f>VLOOKUP(C118,[1]report!$A$2:$Q$496,3,FALSE)</f>
        <v>ANDI WARIS</v>
      </c>
      <c r="E118" s="12">
        <f>VLOOKUP(C118,[1]report!$A$2:$Q$496,4,FALSE)</f>
        <v>95197613</v>
      </c>
      <c r="F118" s="12">
        <f>VLOOKUP(C118,[1]report!$A$2:$Q$496,5,FALSE)</f>
        <v>4120177683</v>
      </c>
      <c r="G118" s="12" t="str">
        <f>VLOOKUP(C118,[1]report!$A$2:$Q$496,8,FALSE)</f>
        <v>Kota Kendari - Kota Makassar</v>
      </c>
      <c r="H118" s="12" t="str">
        <f>VLOOKUP(C118,[1]report!$A$2:$Q$496,9,FALSE)</f>
        <v>11/09/2025 - 13/09/2025</v>
      </c>
      <c r="I118" s="13">
        <f>VLOOKUP(C118,[1]report!$A$2:$Q$496,17,FALSE)</f>
        <v>741000</v>
      </c>
      <c r="J118" s="19"/>
    </row>
    <row r="119" spans="2:10" s="5" customFormat="1" x14ac:dyDescent="0.25">
      <c r="B119" s="7">
        <v>114</v>
      </c>
      <c r="C119" s="11">
        <v>1283861388</v>
      </c>
      <c r="D119" s="12" t="str">
        <f>VLOOKUP(C119,[1]report!$A$2:$Q$496,3,FALSE)</f>
        <v>JULYANZAH PERDANA PUTRA</v>
      </c>
      <c r="E119" s="12">
        <f>VLOOKUP(C119,[1]report!$A$2:$Q$496,4,FALSE)</f>
        <v>88128002</v>
      </c>
      <c r="F119" s="12">
        <f>VLOOKUP(C119,[1]report!$A$2:$Q$496,5,FALSE)</f>
        <v>4120177614</v>
      </c>
      <c r="G119" s="12" t="str">
        <f>VLOOKUP(C119,[1]report!$A$2:$Q$496,8,FALSE)</f>
        <v>Kota Makassar - Kota Surabaya</v>
      </c>
      <c r="H119" s="12" t="str">
        <f>VLOOKUP(C119,[1]report!$A$2:$Q$496,9,FALSE)</f>
        <v>08/09/2025 - 13/09/2025</v>
      </c>
      <c r="I119" s="13">
        <f>VLOOKUP(C119,[1]report!$A$2:$Q$496,17,FALSE)</f>
        <v>1233800</v>
      </c>
      <c r="J119" s="19"/>
    </row>
    <row r="120" spans="2:10" s="5" customFormat="1" x14ac:dyDescent="0.25">
      <c r="B120" s="7">
        <v>115</v>
      </c>
      <c r="C120" s="11">
        <v>1283873551</v>
      </c>
      <c r="D120" s="12" t="str">
        <f>VLOOKUP(C120,[1]report!$A$2:$Q$496,3,FALSE)</f>
        <v>AHMAD FATHAN MAARIF</v>
      </c>
      <c r="E120" s="12">
        <f>VLOOKUP(C120,[1]report!$A$2:$Q$496,4,FALSE)</f>
        <v>96197614</v>
      </c>
      <c r="F120" s="12">
        <f>VLOOKUP(C120,[1]report!$A$2:$Q$496,5,FALSE)</f>
        <v>4120177673</v>
      </c>
      <c r="G120" s="12" t="str">
        <f>VLOOKUP(C120,[1]report!$A$2:$Q$496,8,FALSE)</f>
        <v>Kota Kendari - Kota Makassar</v>
      </c>
      <c r="H120" s="12" t="str">
        <f>VLOOKUP(C120,[1]report!$A$2:$Q$496,9,FALSE)</f>
        <v>10/09/2025 - 12/09/2025</v>
      </c>
      <c r="I120" s="13">
        <f>VLOOKUP(C120,[1]report!$A$2:$Q$496,17,FALSE)</f>
        <v>2585800</v>
      </c>
      <c r="J120" s="19"/>
    </row>
    <row r="121" spans="2:10" s="5" customFormat="1" x14ac:dyDescent="0.25">
      <c r="B121" s="7">
        <v>116</v>
      </c>
      <c r="C121" s="11">
        <v>1284107175</v>
      </c>
      <c r="D121" s="12" t="str">
        <f>VLOOKUP(C121,[1]report!$A$2:$Q$496,3,FALSE)</f>
        <v>KRESKY YULIANTO</v>
      </c>
      <c r="E121" s="12">
        <f>VLOOKUP(C121,[1]report!$A$2:$Q$496,4,FALSE)</f>
        <v>96137676</v>
      </c>
      <c r="F121" s="12">
        <f>VLOOKUP(C121,[1]report!$A$2:$Q$496,5,FALSE)</f>
        <v>4120177641</v>
      </c>
      <c r="G121" s="12" t="str">
        <f>VLOOKUP(C121,[1]report!$A$2:$Q$496,8,FALSE)</f>
        <v>Kota Makassar - Kab. Luwu Timur</v>
      </c>
      <c r="H121" s="12" t="str">
        <f>VLOOKUP(C121,[1]report!$A$2:$Q$496,9,FALSE)</f>
        <v>08/09/2025 - 13/09/2025</v>
      </c>
      <c r="I121" s="13">
        <f>VLOOKUP(C121,[1]report!$A$2:$Q$496,17,FALSE)</f>
        <v>500000</v>
      </c>
      <c r="J121" s="19"/>
    </row>
    <row r="122" spans="2:10" s="5" customFormat="1" x14ac:dyDescent="0.25">
      <c r="B122" s="7">
        <v>117</v>
      </c>
      <c r="C122" s="16">
        <v>1284005588</v>
      </c>
      <c r="D122" s="12" t="str">
        <f>VLOOKUP(C122,[1]report!$A$2:$Q$496,3,FALSE)</f>
        <v>AGUS HARI WIBOWO</v>
      </c>
      <c r="E122" s="12">
        <f>VLOOKUP(C122,[1]report!$A$2:$Q$496,4,FALSE)</f>
        <v>85097602</v>
      </c>
      <c r="F122" s="12">
        <f>VLOOKUP(C122,[1]report!$A$2:$Q$496,5,FALSE)</f>
        <v>4120177603</v>
      </c>
      <c r="G122" s="12" t="str">
        <f>VLOOKUP(C122,[1]report!$A$2:$Q$496,8,FALSE)</f>
        <v>KotaMakassar-KotaBogor-Jakarta</v>
      </c>
      <c r="H122" s="12" t="str">
        <f>VLOOKUP(C122,[1]report!$A$2:$Q$496,9,FALSE)</f>
        <v>05/09/2025 - 13/09/2025</v>
      </c>
      <c r="I122" s="13">
        <f>VLOOKUP(C122,[1]report!$A$2:$Q$496,17,FALSE)</f>
        <v>700000</v>
      </c>
      <c r="J122" s="20"/>
    </row>
    <row r="123" spans="2:10" s="5" customFormat="1" x14ac:dyDescent="0.25">
      <c r="B123" s="7">
        <v>118</v>
      </c>
      <c r="C123" s="11">
        <v>1284161577</v>
      </c>
      <c r="D123" s="12" t="str">
        <f>VLOOKUP(C123,[1]report!$A$2:$Q$496,3,FALSE)</f>
        <v xml:space="preserve">SYAHLAN </v>
      </c>
      <c r="E123" s="12">
        <f>VLOOKUP(C123,[1]report!$A$2:$Q$496,4,FALSE)</f>
        <v>88087602</v>
      </c>
      <c r="F123" s="12">
        <f>VLOOKUP(C123,[1]report!$A$2:$Q$496,5,FALSE)</f>
        <v>4120177707</v>
      </c>
      <c r="G123" s="12" t="str">
        <f>VLOOKUP(C123,[1]report!$A$2:$Q$496,8,FALSE)</f>
        <v>Kota Makassar - Kab. Muna</v>
      </c>
      <c r="H123" s="12" t="str">
        <f>VLOOKUP(C123,[1]report!$A$2:$Q$496,9,FALSE)</f>
        <v>14/09/2025 - 17/09/2025</v>
      </c>
      <c r="I123" s="13">
        <f>VLOOKUP(C123,[1]report!$A$2:$Q$496,17,FALSE)</f>
        <v>866600</v>
      </c>
      <c r="J123" s="19"/>
    </row>
    <row r="124" spans="2:10" s="5" customFormat="1" x14ac:dyDescent="0.25">
      <c r="B124" s="7">
        <v>119</v>
      </c>
      <c r="C124" s="11">
        <v>1284106780</v>
      </c>
      <c r="D124" s="12" t="str">
        <f>VLOOKUP(C124,[1]report!$A$2:$Q$496,3,FALSE)</f>
        <v>SEPTYANTO NUGROHO</v>
      </c>
      <c r="E124" s="12">
        <f>VLOOKUP(C124,[1]report!$A$2:$Q$496,4,FALSE)</f>
        <v>95197610</v>
      </c>
      <c r="F124" s="12">
        <f>VLOOKUP(C124,[1]report!$A$2:$Q$496,5,FALSE)</f>
        <v>4120177643</v>
      </c>
      <c r="G124" s="12" t="str">
        <f>VLOOKUP(C124,[1]report!$A$2:$Q$496,8,FALSE)</f>
        <v>Kota Makassar - Kota Surabaya</v>
      </c>
      <c r="H124" s="12" t="str">
        <f>VLOOKUP(C124,[1]report!$A$2:$Q$496,9,FALSE)</f>
        <v>09/09/2025 - 13/09/2025</v>
      </c>
      <c r="I124" s="13">
        <f>VLOOKUP(C124,[1]report!$A$2:$Q$496,17,FALSE)</f>
        <v>876400</v>
      </c>
      <c r="J124" s="19"/>
    </row>
    <row r="125" spans="2:10" s="5" customFormat="1" x14ac:dyDescent="0.25">
      <c r="B125" s="7">
        <v>120</v>
      </c>
      <c r="C125" s="11">
        <v>1284009029</v>
      </c>
      <c r="D125" s="12" t="str">
        <f>VLOOKUP(C125,[1]report!$A$2:$Q$496,3,FALSE)</f>
        <v>JULYANZAH PERDANA PUTRA</v>
      </c>
      <c r="E125" s="12">
        <f>VLOOKUP(C125,[1]report!$A$2:$Q$496,4,FALSE)</f>
        <v>88128002</v>
      </c>
      <c r="F125" s="12">
        <f>VLOOKUP(C125,[1]report!$A$2:$Q$496,5,FALSE)</f>
        <v>4120177614</v>
      </c>
      <c r="G125" s="12" t="str">
        <f>VLOOKUP(C125,[1]report!$A$2:$Q$496,8,FALSE)</f>
        <v>Kota Makassar - Kota Surabaya</v>
      </c>
      <c r="H125" s="12" t="str">
        <f>VLOOKUP(C125,[1]report!$A$2:$Q$496,9,FALSE)</f>
        <v>08/09/2025 - 13/09/2025</v>
      </c>
      <c r="I125" s="13">
        <f>VLOOKUP(C125,[1]report!$A$2:$Q$496,17,FALSE)</f>
        <v>916617</v>
      </c>
      <c r="J125" s="19"/>
    </row>
    <row r="126" spans="2:10" s="5" customFormat="1" x14ac:dyDescent="0.25">
      <c r="B126" s="7">
        <v>121</v>
      </c>
      <c r="C126" s="11">
        <v>1283979109</v>
      </c>
      <c r="D126" s="12" t="str">
        <f>VLOOKUP(C126,[1]report!$A$2:$Q$496,3,FALSE)</f>
        <v>DALMASIUS NUGROHO ADI PUTRANTO</v>
      </c>
      <c r="E126" s="12">
        <f>VLOOKUP(C126,[1]report!$A$2:$Q$496,4,FALSE)</f>
        <v>80077601</v>
      </c>
      <c r="F126" s="12">
        <f>VLOOKUP(C126,[1]report!$A$2:$Q$496,5,FALSE)</f>
        <v>4120177637</v>
      </c>
      <c r="G126" s="12" t="str">
        <f>VLOOKUP(C126,[1]report!$A$2:$Q$496,8,FALSE)</f>
        <v>Kota Makassar - Kota Surabaya</v>
      </c>
      <c r="H126" s="12" t="str">
        <f>VLOOKUP(C126,[1]report!$A$2:$Q$496,9,FALSE)</f>
        <v>08/09/2025 - 13/09/2025</v>
      </c>
      <c r="I126" s="13">
        <f>VLOOKUP(C126,[1]report!$A$2:$Q$496,17,FALSE)</f>
        <v>921500</v>
      </c>
      <c r="J126" s="19"/>
    </row>
    <row r="127" spans="2:10" s="5" customFormat="1" x14ac:dyDescent="0.25">
      <c r="B127" s="7">
        <v>122</v>
      </c>
      <c r="C127" s="11">
        <v>1284163454</v>
      </c>
      <c r="D127" s="12" t="str">
        <f>VLOOKUP(C127,[1]report!$A$2:$Q$496,3,FALSE)</f>
        <v xml:space="preserve">SYAHLAN </v>
      </c>
      <c r="E127" s="12">
        <f>VLOOKUP(C127,[1]report!$A$2:$Q$496,4,FALSE)</f>
        <v>88087602</v>
      </c>
      <c r="F127" s="12">
        <f>VLOOKUP(C127,[1]report!$A$2:$Q$496,5,FALSE)</f>
        <v>4120177707</v>
      </c>
      <c r="G127" s="12" t="str">
        <f>VLOOKUP(C127,[1]report!$A$2:$Q$496,8,FALSE)</f>
        <v>Kota Makassar - Kab. Muna</v>
      </c>
      <c r="H127" s="12" t="str">
        <f>VLOOKUP(C127,[1]report!$A$2:$Q$496,9,FALSE)</f>
        <v>14/09/2025 - 17/09/2025</v>
      </c>
      <c r="I127" s="13">
        <f>VLOOKUP(C127,[1]report!$A$2:$Q$496,17,FALSE)</f>
        <v>952600</v>
      </c>
      <c r="J127" s="19"/>
    </row>
    <row r="128" spans="2:10" s="5" customFormat="1" x14ac:dyDescent="0.25">
      <c r="B128" s="7">
        <v>123</v>
      </c>
      <c r="C128" s="11">
        <v>1284185820</v>
      </c>
      <c r="D128" s="12" t="str">
        <f>VLOOKUP(C128,[1]report!$A$2:$Q$496,3,FALSE)</f>
        <v>RACHMAT NUR</v>
      </c>
      <c r="E128" s="12">
        <f>VLOOKUP(C128,[1]report!$A$2:$Q$496,4,FALSE)</f>
        <v>78068001</v>
      </c>
      <c r="F128" s="12">
        <f>VLOOKUP(C128,[1]report!$A$2:$Q$496,5,FALSE)</f>
        <v>4120177718</v>
      </c>
      <c r="G128" s="12" t="str">
        <f>VLOOKUP(C128,[1]report!$A$2:$Q$496,8,FALSE)</f>
        <v>Kota Makassar - Kab. Kepulauan Selayar</v>
      </c>
      <c r="H128" s="12" t="str">
        <f>VLOOKUP(C128,[1]report!$A$2:$Q$496,9,FALSE)</f>
        <v>12/09/2025 - 14/09/2025</v>
      </c>
      <c r="I128" s="13">
        <f>VLOOKUP(C128,[1]report!$A$2:$Q$496,17,FALSE)</f>
        <v>1084337</v>
      </c>
      <c r="J128" s="19"/>
    </row>
    <row r="129" spans="2:10" s="5" customFormat="1" x14ac:dyDescent="0.25">
      <c r="B129" s="7">
        <v>124</v>
      </c>
      <c r="C129" s="11">
        <v>1284086504</v>
      </c>
      <c r="D129" s="12" t="str">
        <f>VLOOKUP(C129,[1]report!$A$2:$Q$496,3,FALSE)</f>
        <v>ANGGA SETIAWAN</v>
      </c>
      <c r="E129" s="12">
        <f>VLOOKUP(C129,[1]report!$A$2:$Q$496,4,FALSE)</f>
        <v>91107608</v>
      </c>
      <c r="F129" s="12">
        <f>VLOOKUP(C129,[1]report!$A$2:$Q$496,5,FALSE)</f>
        <v>4120177599</v>
      </c>
      <c r="G129" s="12" t="str">
        <f>VLOOKUP(C129,[1]report!$A$2:$Q$496,8,FALSE)</f>
        <v>Kota Makassar - Kota Cilegon</v>
      </c>
      <c r="H129" s="12" t="str">
        <f>VLOOKUP(C129,[1]report!$A$2:$Q$496,9,FALSE)</f>
        <v>07/09/2025 - 12/09/2025</v>
      </c>
      <c r="I129" s="13">
        <f>VLOOKUP(C129,[1]report!$A$2:$Q$496,17,FALSE)</f>
        <v>1844400</v>
      </c>
      <c r="J129" s="15"/>
    </row>
    <row r="130" spans="2:10" s="5" customFormat="1" x14ac:dyDescent="0.25">
      <c r="B130" s="7">
        <v>125</v>
      </c>
      <c r="C130" s="11">
        <v>1284012621</v>
      </c>
      <c r="D130" s="12" t="str">
        <f>VLOOKUP(C130,[1]report!$A$2:$Q$496,3,FALSE)</f>
        <v xml:space="preserve">MIRSAN </v>
      </c>
      <c r="E130" s="12">
        <f>VLOOKUP(C130,[1]report!$A$2:$Q$496,4,FALSE)</f>
        <v>84087802</v>
      </c>
      <c r="F130" s="12">
        <f>VLOOKUP(C130,[1]report!$A$2:$Q$496,5,FALSE)</f>
        <v>4120177648</v>
      </c>
      <c r="G130" s="12" t="str">
        <f>VLOOKUP(C130,[1]report!$A$2:$Q$496,8,FALSE)</f>
        <v>Kota Makassar - Jakarta Selatan</v>
      </c>
      <c r="H130" s="12" t="str">
        <f>VLOOKUP(C130,[1]report!$A$2:$Q$496,9,FALSE)</f>
        <v>10/09/2025 - 12/09/2025</v>
      </c>
      <c r="I130" s="13">
        <f>VLOOKUP(C130,[1]report!$A$2:$Q$496,17,FALSE)</f>
        <v>1844400</v>
      </c>
      <c r="J130" s="19"/>
    </row>
    <row r="131" spans="2:10" s="5" customFormat="1" x14ac:dyDescent="0.25">
      <c r="B131" s="7">
        <v>126</v>
      </c>
      <c r="C131" s="11">
        <v>1284050674</v>
      </c>
      <c r="D131" s="12" t="str">
        <f>VLOOKUP(C131,[1]report!$A$2:$Q$496,3,FALSE)</f>
        <v>FACHRUDDIN SYARIF</v>
      </c>
      <c r="E131" s="12">
        <f>VLOOKUP(C131,[1]report!$A$2:$Q$496,4,FALSE)</f>
        <v>98187625</v>
      </c>
      <c r="F131" s="12">
        <f>VLOOKUP(C131,[1]report!$A$2:$Q$496,5,FALSE)</f>
        <v>4120177710</v>
      </c>
      <c r="G131" s="12" t="str">
        <f>VLOOKUP(C131,[1]report!$A$2:$Q$496,8,FALSE)</f>
        <v>Kota Kendari - Jakarta Pusat</v>
      </c>
      <c r="H131" s="12" t="str">
        <f>VLOOKUP(C131,[1]report!$A$2:$Q$496,9,FALSE)</f>
        <v>14/09/2025 - 19/09/2025</v>
      </c>
      <c r="I131" s="13">
        <f>VLOOKUP(C131,[1]report!$A$2:$Q$496,17,FALSE)</f>
        <v>1867300</v>
      </c>
      <c r="J131" s="19"/>
    </row>
    <row r="132" spans="2:10" s="5" customFormat="1" x14ac:dyDescent="0.25">
      <c r="B132" s="7">
        <v>127</v>
      </c>
      <c r="C132" s="11">
        <v>1284048970</v>
      </c>
      <c r="D132" s="12" t="str">
        <f>VLOOKUP(C132,[1]report!$A$2:$Q$496,3,FALSE)</f>
        <v>MUHAMMAD RAHMAT PATI YUNUS</v>
      </c>
      <c r="E132" s="12">
        <f>VLOOKUP(C132,[1]report!$A$2:$Q$496,4,FALSE)</f>
        <v>92127609</v>
      </c>
      <c r="F132" s="12">
        <f>VLOOKUP(C132,[1]report!$A$2:$Q$496,5,FALSE)</f>
        <v>4120177712</v>
      </c>
      <c r="G132" s="12" t="str">
        <f>VLOOKUP(C132,[1]report!$A$2:$Q$496,8,FALSE)</f>
        <v>Kota Kendari - Kota Cilegon</v>
      </c>
      <c r="H132" s="12" t="str">
        <f>VLOOKUP(C132,[1]report!$A$2:$Q$496,9,FALSE)</f>
        <v>14/09/2025 - 19/09/2025</v>
      </c>
      <c r="I132" s="13">
        <f>VLOOKUP(C132,[1]report!$A$2:$Q$496,17,FALSE)</f>
        <v>1867300</v>
      </c>
      <c r="J132" s="19"/>
    </row>
    <row r="133" spans="2:10" s="5" customFormat="1" x14ac:dyDescent="0.25">
      <c r="B133" s="7">
        <v>128</v>
      </c>
      <c r="C133" s="11">
        <v>1283956711</v>
      </c>
      <c r="D133" s="12" t="str">
        <f>VLOOKUP(C133,[1]report!$A$2:$Q$496,3,FALSE)</f>
        <v>RULI RIZALUDDIN</v>
      </c>
      <c r="E133" s="12">
        <f>VLOOKUP(C133,[1]report!$A$2:$Q$496,4,FALSE)</f>
        <v>79055400</v>
      </c>
      <c r="F133" s="12">
        <f>VLOOKUP(C133,[1]report!$A$2:$Q$496,5,FALSE)</f>
        <v>4120177600</v>
      </c>
      <c r="G133" s="12" t="str">
        <f>VLOOKUP(C133,[1]report!$A$2:$Q$496,8,FALSE)</f>
        <v>Kota Makassar - Kota Bogor</v>
      </c>
      <c r="H133" s="12" t="str">
        <f>VLOOKUP(C133,[1]report!$A$2:$Q$496,9,FALSE)</f>
        <v>05/09/2025 - 13/09/2025</v>
      </c>
      <c r="I133" s="13">
        <f>VLOOKUP(C133,[1]report!$A$2:$Q$496,17,FALSE)</f>
        <v>1933200</v>
      </c>
      <c r="J133" s="19"/>
    </row>
    <row r="134" spans="2:10" x14ac:dyDescent="0.25">
      <c r="B134" s="7">
        <v>129</v>
      </c>
      <c r="C134" s="11">
        <v>1284114323</v>
      </c>
      <c r="D134" s="12" t="str">
        <f>VLOOKUP(C134,[1]report!$A$2:$Q$496,3,FALSE)</f>
        <v>BAMA RUSMALI</v>
      </c>
      <c r="E134" s="12">
        <f>VLOOKUP(C134,[1]report!$A$2:$Q$496,4,FALSE)</f>
        <v>96197617</v>
      </c>
      <c r="F134" s="12">
        <f>VLOOKUP(C134,[1]report!$A$2:$Q$496,5,FALSE)</f>
        <v>4120177706</v>
      </c>
      <c r="G134" s="12" t="str">
        <f>VLOOKUP(C134,[1]report!$A$2:$Q$496,8,FALSE)</f>
        <v>Kota Makassar - Kota Cilegon</v>
      </c>
      <c r="H134" s="12" t="str">
        <f>VLOOKUP(C134,[1]report!$A$2:$Q$496,9,FALSE)</f>
        <v>14/09/2025 - 19/09/2025</v>
      </c>
      <c r="I134" s="13">
        <f>VLOOKUP(C134,[1]report!$A$2:$Q$496,17,FALSE)</f>
        <v>2182800</v>
      </c>
      <c r="J134" s="19"/>
    </row>
    <row r="135" spans="2:10" s="5" customFormat="1" x14ac:dyDescent="0.25">
      <c r="B135" s="7">
        <v>130</v>
      </c>
      <c r="C135" s="11">
        <v>1284114348</v>
      </c>
      <c r="D135" s="12" t="str">
        <f>VLOOKUP(C135,[1]report!$A$2:$Q$496,3,FALSE)</f>
        <v>MUH ISMAIL ANWAR</v>
      </c>
      <c r="E135" s="12">
        <f>VLOOKUP(C135,[1]report!$A$2:$Q$496,4,FALSE)</f>
        <v>97177614</v>
      </c>
      <c r="F135" s="12">
        <f>VLOOKUP(C135,[1]report!$A$2:$Q$496,5,FALSE)</f>
        <v>4120177687</v>
      </c>
      <c r="G135" s="12" t="str">
        <f>VLOOKUP(C135,[1]report!$A$2:$Q$496,8,FALSE)</f>
        <v>Kota Makassar - Kota Cilegon</v>
      </c>
      <c r="H135" s="12" t="str">
        <f>VLOOKUP(C135,[1]report!$A$2:$Q$496,9,FALSE)</f>
        <v>14/09/2025 - 19/09/2025</v>
      </c>
      <c r="I135" s="13">
        <f>VLOOKUP(C135,[1]report!$A$2:$Q$496,17,FALSE)</f>
        <v>2182800</v>
      </c>
      <c r="J135" s="19"/>
    </row>
    <row r="136" spans="2:10" s="5" customFormat="1" x14ac:dyDescent="0.25">
      <c r="B136" s="7">
        <v>131</v>
      </c>
      <c r="C136" s="11">
        <v>1283991200</v>
      </c>
      <c r="D136" s="12" t="str">
        <f>VLOOKUP(C136,[1]report!$A$2:$Q$496,3,FALSE)</f>
        <v>MANSYUR FAHMI</v>
      </c>
      <c r="E136" s="12">
        <f>VLOOKUP(C136,[1]report!$A$2:$Q$496,4,FALSE)</f>
        <v>96197639</v>
      </c>
      <c r="F136" s="12">
        <f>VLOOKUP(C136,[1]report!$A$2:$Q$496,5,FALSE)</f>
        <v>4120177627</v>
      </c>
      <c r="G136" s="12" t="str">
        <f>VLOOKUP(C136,[1]report!$A$2:$Q$496,8,FALSE)</f>
        <v>Kab. Mamuju - Jakarta Selatan</v>
      </c>
      <c r="H136" s="12" t="str">
        <f>VLOOKUP(C136,[1]report!$A$2:$Q$496,9,FALSE)</f>
        <v>08/09/2025 - 13/09/2025</v>
      </c>
      <c r="I136" s="13">
        <f>VLOOKUP(C136,[1]report!$A$2:$Q$496,17,FALSE)</f>
        <v>2244000</v>
      </c>
      <c r="J136" s="19"/>
    </row>
    <row r="137" spans="2:10" s="5" customFormat="1" x14ac:dyDescent="0.25">
      <c r="B137" s="7">
        <v>132</v>
      </c>
      <c r="C137" s="11">
        <v>1284259338</v>
      </c>
      <c r="D137" s="12" t="str">
        <f>VLOOKUP(C137,[1]report!$A$2:$Q$496,3,FALSE)</f>
        <v>INDAH ADELIA NUR SYAHBANI</v>
      </c>
      <c r="E137" s="12">
        <f>VLOOKUP(C137,[1]report!$A$2:$Q$496,4,FALSE)</f>
        <v>97197614</v>
      </c>
      <c r="F137" s="12">
        <f>VLOOKUP(C137,[1]report!$A$2:$Q$496,5,FALSE)</f>
        <v>4120177722</v>
      </c>
      <c r="G137" s="12" t="str">
        <f>VLOOKUP(C137,[1]report!$A$2:$Q$496,8,FALSE)</f>
        <v>Kab. Polewali Mandar - Kab. Mamuju</v>
      </c>
      <c r="H137" s="12" t="str">
        <f>VLOOKUP(C137,[1]report!$A$2:$Q$496,9,FALSE)</f>
        <v>14/09/2025 - 15/09/2025</v>
      </c>
      <c r="I137" s="13">
        <f>VLOOKUP(C137,[1]report!$A$2:$Q$496,17,FALSE)</f>
        <v>570000</v>
      </c>
      <c r="J137" s="19"/>
    </row>
    <row r="138" spans="2:10" s="5" customFormat="1" x14ac:dyDescent="0.25">
      <c r="B138" s="7">
        <v>133</v>
      </c>
      <c r="C138" s="11">
        <v>1284257708</v>
      </c>
      <c r="D138" s="12" t="str">
        <f>VLOOKUP(C138,[1]report!$A$2:$Q$496,3,FALSE)</f>
        <v>ENDAH SURYANING WULANDARI</v>
      </c>
      <c r="E138" s="12">
        <f>VLOOKUP(C138,[1]report!$A$2:$Q$496,4,FALSE)</f>
        <v>96196200</v>
      </c>
      <c r="F138" s="12">
        <f>VLOOKUP(C138,[1]report!$A$2:$Q$496,5,FALSE)</f>
        <v>4120177717</v>
      </c>
      <c r="G138" s="12" t="str">
        <f>VLOOKUP(C138,[1]report!$A$2:$Q$496,8,FALSE)</f>
        <v>Kota Parepare - Kota Surabaya</v>
      </c>
      <c r="H138" s="12" t="str">
        <f>VLOOKUP(C138,[1]report!$A$2:$Q$496,9,FALSE)</f>
        <v>14/09/2025 - 20/09/2025</v>
      </c>
      <c r="I138" s="13">
        <f>VLOOKUP(C138,[1]report!$A$2:$Q$496,17,FALSE)</f>
        <v>2066200</v>
      </c>
      <c r="J138" s="19"/>
    </row>
    <row r="139" spans="2:10" s="5" customFormat="1" x14ac:dyDescent="0.25">
      <c r="B139" s="7">
        <v>134</v>
      </c>
      <c r="C139" s="11">
        <v>1284464335</v>
      </c>
      <c r="D139" s="12" t="str">
        <f>VLOOKUP(C139,[1]report!$A$2:$Q$496,3,FALSE)</f>
        <v>MUHAMMAD ANDHI</v>
      </c>
      <c r="E139" s="12">
        <f>VLOOKUP(C139,[1]report!$A$2:$Q$496,4,FALSE)</f>
        <v>96167880</v>
      </c>
      <c r="F139" s="12">
        <f>VLOOKUP(C139,[1]report!$A$2:$Q$496,5,FALSE)</f>
        <v>4120177725</v>
      </c>
      <c r="G139" s="12" t="str">
        <f>VLOOKUP(C139,[1]report!$A$2:$Q$496,8,FALSE)</f>
        <v>Kab. Mamasa - Kab. Mamuju</v>
      </c>
      <c r="H139" s="12" t="str">
        <f>VLOOKUP(C139,[1]report!$A$2:$Q$496,9,FALSE)</f>
        <v>14/09/2025 - 15/09/2025</v>
      </c>
      <c r="I139" s="13">
        <f>VLOOKUP(C139,[1]report!$A$2:$Q$496,17,FALSE)</f>
        <v>570000</v>
      </c>
      <c r="J139" s="19"/>
    </row>
    <row r="140" spans="2:10" s="5" customFormat="1" x14ac:dyDescent="0.25">
      <c r="B140" s="7">
        <v>135</v>
      </c>
      <c r="C140" s="11">
        <v>1284472867</v>
      </c>
      <c r="D140" s="12" t="str">
        <f>VLOOKUP(C140,[1]report!$A$2:$Q$496,3,FALSE)</f>
        <v>SEPTYANTO NUGROHO</v>
      </c>
      <c r="E140" s="12">
        <f>VLOOKUP(C140,[1]report!$A$2:$Q$496,4,FALSE)</f>
        <v>95197610</v>
      </c>
      <c r="F140" s="12">
        <f>VLOOKUP(C140,[1]report!$A$2:$Q$496,5,FALSE)</f>
        <v>4120177723</v>
      </c>
      <c r="G140" s="12" t="str">
        <f>VLOOKUP(C140,[1]report!$A$2:$Q$496,8,FALSE)</f>
        <v>Kota Makassar - Jakarta Selatan</v>
      </c>
      <c r="H140" s="12" t="str">
        <f>VLOOKUP(C140,[1]report!$A$2:$Q$496,9,FALSE)</f>
        <v>14/09/2025 - 17/09/2025</v>
      </c>
      <c r="I140" s="13">
        <f>VLOOKUP(C140,[1]report!$A$2:$Q$496,17,FALSE)</f>
        <v>1787600</v>
      </c>
      <c r="J140" s="15"/>
    </row>
    <row r="141" spans="2:10" s="5" customFormat="1" x14ac:dyDescent="0.25">
      <c r="B141" s="7">
        <v>136</v>
      </c>
      <c r="C141" s="11">
        <v>1284476218</v>
      </c>
      <c r="D141" s="12" t="str">
        <f>VLOOKUP(C141,[1]report!$A$2:$Q$496,3,FALSE)</f>
        <v>SEPTYANTO NUGROHO</v>
      </c>
      <c r="E141" s="12">
        <f>VLOOKUP(C141,[1]report!$A$2:$Q$496,4,FALSE)</f>
        <v>95197610</v>
      </c>
      <c r="F141" s="12">
        <f>VLOOKUP(C141,[1]report!$A$2:$Q$496,5,FALSE)</f>
        <v>4120177723</v>
      </c>
      <c r="G141" s="12" t="str">
        <f>VLOOKUP(C141,[1]report!$A$2:$Q$496,8,FALSE)</f>
        <v>Kota Makassar - Jakarta Selatan</v>
      </c>
      <c r="H141" s="12" t="str">
        <f>VLOOKUP(C141,[1]report!$A$2:$Q$496,9,FALSE)</f>
        <v>14/09/2025 - 17/09/2025</v>
      </c>
      <c r="I141" s="13">
        <f>VLOOKUP(C141,[1]report!$A$2:$Q$496,17,FALSE)</f>
        <v>2034510</v>
      </c>
      <c r="J141" s="19"/>
    </row>
    <row r="142" spans="2:10" s="5" customFormat="1" x14ac:dyDescent="0.25">
      <c r="B142" s="7">
        <v>137</v>
      </c>
      <c r="C142" s="11">
        <v>1284756891</v>
      </c>
      <c r="D142" s="12" t="str">
        <f>VLOOKUP(C142,[1]report!$A$2:$Q$496,3,FALSE)</f>
        <v>M.SYAMSUL KAMAR</v>
      </c>
      <c r="E142" s="12">
        <f>VLOOKUP(C142,[1]report!$A$2:$Q$496,4,FALSE)</f>
        <v>71947602</v>
      </c>
      <c r="F142" s="12">
        <f>VLOOKUP(C142,[1]report!$A$2:$Q$496,5,FALSE)</f>
        <v>4120177728</v>
      </c>
      <c r="G142" s="12" t="str">
        <f>VLOOKUP(C142,[1]report!$A$2:$Q$496,8,FALSE)</f>
        <v>Kota Makassar - Kab. Kolaka - Kota Kendari</v>
      </c>
      <c r="H142" s="12" t="str">
        <f>VLOOKUP(C142,[1]report!$A$2:$Q$496,9,FALSE)</f>
        <v>16/09/2025 - 19/09/2025</v>
      </c>
      <c r="I142" s="13">
        <f>VLOOKUP(C142,[1]report!$A$2:$Q$496,17,FALSE)</f>
        <v>1415700</v>
      </c>
      <c r="J142" s="19"/>
    </row>
    <row r="143" spans="2:10" s="5" customFormat="1" x14ac:dyDescent="0.25">
      <c r="B143" s="7">
        <v>138</v>
      </c>
      <c r="C143" s="11">
        <v>1284739079</v>
      </c>
      <c r="D143" s="12" t="str">
        <f>VLOOKUP(C143,[1]report!$A$2:$Q$496,3,FALSE)</f>
        <v>AKBAR KHASHEMI HAMZAH</v>
      </c>
      <c r="E143" s="12">
        <f>VLOOKUP(C143,[1]report!$A$2:$Q$496,4,FALSE)</f>
        <v>89145602</v>
      </c>
      <c r="F143" s="12">
        <f>VLOOKUP(C143,[1]report!$A$2:$Q$496,5,FALSE)</f>
        <v>4120177733</v>
      </c>
      <c r="G143" s="12" t="str">
        <f>VLOOKUP(C143,[1]report!$A$2:$Q$496,8,FALSE)</f>
        <v>Kota Makassar - Kota Bandung</v>
      </c>
      <c r="H143" s="12" t="str">
        <f>VLOOKUP(C143,[1]report!$A$2:$Q$496,9,FALSE)</f>
        <v>16/09/2025 - 18/09/2025</v>
      </c>
      <c r="I143" s="13">
        <f>VLOOKUP(C143,[1]report!$A$2:$Q$496,17,FALSE)</f>
        <v>2000000</v>
      </c>
      <c r="J143" s="19"/>
    </row>
    <row r="144" spans="2:10" s="5" customFormat="1" x14ac:dyDescent="0.25">
      <c r="B144" s="7">
        <v>139</v>
      </c>
      <c r="C144" s="11">
        <v>1284718336</v>
      </c>
      <c r="D144" s="12" t="str">
        <f>VLOOKUP(C144,[1]report!$A$2:$Q$496,3,FALSE)</f>
        <v>AKBAR KHASHEMI HAMZAH</v>
      </c>
      <c r="E144" s="12">
        <f>VLOOKUP(C144,[1]report!$A$2:$Q$496,4,FALSE)</f>
        <v>89145602</v>
      </c>
      <c r="F144" s="12">
        <f>VLOOKUP(C144,[1]report!$A$2:$Q$496,5,FALSE)</f>
        <v>4120177733</v>
      </c>
      <c r="G144" s="12" t="str">
        <f>VLOOKUP(C144,[1]report!$A$2:$Q$496,8,FALSE)</f>
        <v>Kota Makassar - Kota Bandung</v>
      </c>
      <c r="H144" s="12" t="str">
        <f>VLOOKUP(C144,[1]report!$A$2:$Q$496,9,FALSE)</f>
        <v>16/09/2025 - 18/09/2025</v>
      </c>
      <c r="I144" s="13">
        <f>VLOOKUP(C144,[1]report!$A$2:$Q$496,17,FALSE)</f>
        <v>2345200</v>
      </c>
      <c r="J144" s="19"/>
    </row>
    <row r="145" spans="2:10" s="5" customFormat="1" x14ac:dyDescent="0.25">
      <c r="B145" s="7">
        <v>140</v>
      </c>
      <c r="C145" s="11">
        <v>1284672926</v>
      </c>
      <c r="D145" s="12" t="str">
        <f>VLOOKUP(C145,[1]report!$A$2:$Q$496,3,FALSE)</f>
        <v>SEPTYANTO NUGROHO</v>
      </c>
      <c r="E145" s="12">
        <f>VLOOKUP(C145,[1]report!$A$2:$Q$496,4,FALSE)</f>
        <v>95197610</v>
      </c>
      <c r="F145" s="12">
        <f>VLOOKUP(C145,[1]report!$A$2:$Q$496,5,FALSE)</f>
        <v>4120177723</v>
      </c>
      <c r="G145" s="12" t="str">
        <f>VLOOKUP(C145,[1]report!$A$2:$Q$496,8,FALSE)</f>
        <v>Kota Makassar - Jakarta Selatan</v>
      </c>
      <c r="H145" s="12" t="str">
        <f>VLOOKUP(C145,[1]report!$A$2:$Q$496,9,FALSE)</f>
        <v>14/09/2025 - 17/09/2025</v>
      </c>
      <c r="I145" s="13">
        <f>VLOOKUP(C145,[1]report!$A$2:$Q$496,17,FALSE)</f>
        <v>2395400</v>
      </c>
      <c r="J145" s="15"/>
    </row>
    <row r="146" spans="2:10" s="5" customFormat="1" x14ac:dyDescent="0.25">
      <c r="B146" s="7">
        <v>141</v>
      </c>
      <c r="C146" s="11">
        <v>1284828532</v>
      </c>
      <c r="D146" s="12" t="str">
        <f>VLOOKUP(C146,[1]report!$A$2:$Q$496,3,FALSE)</f>
        <v>MUCHAMAD PAMUNGKAS</v>
      </c>
      <c r="E146" s="12">
        <f>VLOOKUP(C146,[1]report!$A$2:$Q$496,4,FALSE)</f>
        <v>92197600</v>
      </c>
      <c r="F146" s="12">
        <f>VLOOKUP(C146,[1]report!$A$2:$Q$496,5,FALSE)</f>
        <v>4120177741</v>
      </c>
      <c r="G146" s="12" t="str">
        <f>VLOOKUP(C146,[1]report!$A$2:$Q$496,8,FALSE)</f>
        <v>Kota Makassar - Kota Kendari</v>
      </c>
      <c r="H146" s="12" t="str">
        <f>VLOOKUP(C146,[1]report!$A$2:$Q$496,9,FALSE)</f>
        <v>16/09/2025 - 19/09/2025</v>
      </c>
      <c r="I146" s="13">
        <f>VLOOKUP(C146,[1]report!$A$2:$Q$496,17,FALSE)</f>
        <v>800000</v>
      </c>
      <c r="J146" s="19"/>
    </row>
    <row r="147" spans="2:10" s="5" customFormat="1" x14ac:dyDescent="0.25">
      <c r="B147" s="7">
        <v>142</v>
      </c>
      <c r="C147" s="11">
        <v>1284828810</v>
      </c>
      <c r="D147" s="12" t="str">
        <f>VLOOKUP(C147,[1]report!$A$2:$Q$496,3,FALSE)</f>
        <v>MUCHAMAD PAMUNGKAS</v>
      </c>
      <c r="E147" s="12">
        <f>VLOOKUP(C147,[1]report!$A$2:$Q$496,4,FALSE)</f>
        <v>92197600</v>
      </c>
      <c r="F147" s="12">
        <f>VLOOKUP(C147,[1]report!$A$2:$Q$496,5,FALSE)</f>
        <v>4120177741</v>
      </c>
      <c r="G147" s="12" t="str">
        <f>VLOOKUP(C147,[1]report!$A$2:$Q$496,8,FALSE)</f>
        <v>Kota Makassar - Kota Kendari</v>
      </c>
      <c r="H147" s="12" t="str">
        <f>VLOOKUP(C147,[1]report!$A$2:$Q$496,9,FALSE)</f>
        <v>16/09/2025 - 19/09/2025</v>
      </c>
      <c r="I147" s="13">
        <f>VLOOKUP(C147,[1]report!$A$2:$Q$496,17,FALSE)</f>
        <v>800000</v>
      </c>
      <c r="J147" s="19"/>
    </row>
    <row r="148" spans="2:10" s="5" customFormat="1" x14ac:dyDescent="0.25">
      <c r="B148" s="7">
        <v>143</v>
      </c>
      <c r="C148" s="11">
        <v>1284829367</v>
      </c>
      <c r="D148" s="12" t="str">
        <f>VLOOKUP(C148,[1]report!$A$2:$Q$496,3,FALSE)</f>
        <v>MUCHAMAD PAMUNGKAS</v>
      </c>
      <c r="E148" s="12">
        <f>VLOOKUP(C148,[1]report!$A$2:$Q$496,4,FALSE)</f>
        <v>92197600</v>
      </c>
      <c r="F148" s="12">
        <f>VLOOKUP(C148,[1]report!$A$2:$Q$496,5,FALSE)</f>
        <v>4120177741</v>
      </c>
      <c r="G148" s="12" t="str">
        <f>VLOOKUP(C148,[1]report!$A$2:$Q$496,8,FALSE)</f>
        <v>Kota Makassar - Kota Kendari</v>
      </c>
      <c r="H148" s="12" t="str">
        <f>VLOOKUP(C148,[1]report!$A$2:$Q$496,9,FALSE)</f>
        <v>16/09/2025 - 19/09/2025</v>
      </c>
      <c r="I148" s="13">
        <f>VLOOKUP(C148,[1]report!$A$2:$Q$496,17,FALSE)</f>
        <v>800000</v>
      </c>
      <c r="J148" s="19"/>
    </row>
    <row r="149" spans="2:10" s="5" customFormat="1" x14ac:dyDescent="0.25">
      <c r="B149" s="7">
        <v>144</v>
      </c>
      <c r="C149" s="11">
        <v>1284819356</v>
      </c>
      <c r="D149" s="12" t="str">
        <f>VLOOKUP(C149,[1]report!$A$2:$Q$496,3,FALSE)</f>
        <v xml:space="preserve">IBRAHIM </v>
      </c>
      <c r="E149" s="12">
        <f>VLOOKUP(C149,[1]report!$A$2:$Q$496,4,FALSE)</f>
        <v>88107607</v>
      </c>
      <c r="F149" s="12">
        <f>VLOOKUP(C149,[1]report!$A$2:$Q$496,5,FALSE)</f>
        <v>4120177736</v>
      </c>
      <c r="G149" s="12" t="str">
        <f>VLOOKUP(C149,[1]report!$A$2:$Q$496,8,FALSE)</f>
        <v>Kota Makassar - Kota Kendari</v>
      </c>
      <c r="H149" s="12" t="str">
        <f>VLOOKUP(C149,[1]report!$A$2:$Q$496,9,FALSE)</f>
        <v>16/09/2025 - 19/09/2025</v>
      </c>
      <c r="I149" s="13">
        <f>VLOOKUP(C149,[1]report!$A$2:$Q$496,17,FALSE)</f>
        <v>1024700</v>
      </c>
      <c r="J149" s="19"/>
    </row>
    <row r="150" spans="2:10" s="5" customFormat="1" x14ac:dyDescent="0.25">
      <c r="B150" s="7">
        <v>145</v>
      </c>
      <c r="C150" s="11">
        <v>1284817734</v>
      </c>
      <c r="D150" s="12" t="str">
        <f>VLOOKUP(C150,[1]report!$A$2:$Q$496,3,FALSE)</f>
        <v>MUCHAMAD PAMUNGKAS</v>
      </c>
      <c r="E150" s="12">
        <f>VLOOKUP(C150,[1]report!$A$2:$Q$496,4,FALSE)</f>
        <v>92197600</v>
      </c>
      <c r="F150" s="12">
        <f>VLOOKUP(C150,[1]report!$A$2:$Q$496,5,FALSE)</f>
        <v>4120177741</v>
      </c>
      <c r="G150" s="12" t="str">
        <f>VLOOKUP(C150,[1]report!$A$2:$Q$496,8,FALSE)</f>
        <v>Kota Makassar - Kota Kendari</v>
      </c>
      <c r="H150" s="12" t="str">
        <f>VLOOKUP(C150,[1]report!$A$2:$Q$496,9,FALSE)</f>
        <v>16/09/2025 - 19/09/2025</v>
      </c>
      <c r="I150" s="13">
        <f>VLOOKUP(C150,[1]report!$A$2:$Q$496,17,FALSE)</f>
        <v>1024700</v>
      </c>
      <c r="J150" s="19"/>
    </row>
    <row r="151" spans="2:10" s="5" customFormat="1" x14ac:dyDescent="0.25">
      <c r="B151" s="7">
        <v>146</v>
      </c>
      <c r="C151" s="11">
        <v>1284778155</v>
      </c>
      <c r="D151" s="12" t="str">
        <f>VLOOKUP(C151,[1]report!$A$2:$Q$496,3,FALSE)</f>
        <v>MUHAMMAD ICHLAS FATTAH</v>
      </c>
      <c r="E151" s="12">
        <f>VLOOKUP(C151,[1]report!$A$2:$Q$496,4,FALSE)</f>
        <v>71937801</v>
      </c>
      <c r="F151" s="12">
        <f>VLOOKUP(C151,[1]report!$A$2:$Q$496,5,FALSE)</f>
        <v>4120177729</v>
      </c>
      <c r="G151" s="12" t="str">
        <f>VLOOKUP(C151,[1]report!$A$2:$Q$496,8,FALSE)</f>
        <v>Kota Makassar - Kab. Kolaka - Kota Kendari</v>
      </c>
      <c r="H151" s="12" t="str">
        <f>VLOOKUP(C151,[1]report!$A$2:$Q$496,9,FALSE)</f>
        <v>16/09/2025 - 19/09/2025</v>
      </c>
      <c r="I151" s="13">
        <f>VLOOKUP(C151,[1]report!$A$2:$Q$496,17,FALSE)</f>
        <v>1340200</v>
      </c>
      <c r="J151" s="19"/>
    </row>
    <row r="152" spans="2:10" s="5" customFormat="1" x14ac:dyDescent="0.25">
      <c r="B152" s="7">
        <v>147</v>
      </c>
      <c r="C152" s="16">
        <v>1284827806</v>
      </c>
      <c r="D152" s="12" t="str">
        <f>VLOOKUP(C152,[1]report!$A$2:$Q$496,3,FALSE)</f>
        <v>AMBO TUWO</v>
      </c>
      <c r="E152" s="12">
        <f>VLOOKUP(C152,[1]report!$A$2:$Q$496,4,FALSE)</f>
        <v>76027600</v>
      </c>
      <c r="F152" s="12">
        <f>VLOOKUP(C152,[1]report!$A$2:$Q$496,5,FALSE)</f>
        <v>4120177743</v>
      </c>
      <c r="G152" s="12" t="str">
        <f>VLOOKUP(C152,[1]report!$A$2:$Q$496,8,FALSE)</f>
        <v>Kota Makassar - Kota Bandung</v>
      </c>
      <c r="H152" s="12" t="str">
        <f>VLOOKUP(C152,[1]report!$A$2:$Q$496,9,FALSE)</f>
        <v>16/09/2025 - 18/09/2025</v>
      </c>
      <c r="I152" s="13">
        <f>VLOOKUP(C152,[1]report!$A$2:$Q$496,17,FALSE)</f>
        <v>1831600</v>
      </c>
      <c r="J152" s="20"/>
    </row>
    <row r="153" spans="2:10" s="5" customFormat="1" x14ac:dyDescent="0.25">
      <c r="B153" s="7">
        <v>148</v>
      </c>
      <c r="C153" s="11">
        <v>1284882684</v>
      </c>
      <c r="D153" s="12" t="str">
        <f>VLOOKUP(C153,[1]report!$A$2:$Q$496,3,FALSE)</f>
        <v xml:space="preserve">IBRAHIM </v>
      </c>
      <c r="E153" s="12">
        <f>VLOOKUP(C153,[1]report!$A$2:$Q$496,4,FALSE)</f>
        <v>88107607</v>
      </c>
      <c r="F153" s="12">
        <f>VLOOKUP(C153,[1]report!$A$2:$Q$496,5,FALSE)</f>
        <v>4120177736</v>
      </c>
      <c r="G153" s="12" t="str">
        <f>VLOOKUP(C153,[1]report!$A$2:$Q$496,8,FALSE)</f>
        <v>Kota Makassar - Kota Kendari</v>
      </c>
      <c r="H153" s="12" t="str">
        <f>VLOOKUP(C153,[1]report!$A$2:$Q$496,9,FALSE)</f>
        <v>16/09/2025 - 19/09/2025</v>
      </c>
      <c r="I153" s="13">
        <f>VLOOKUP(C153,[1]report!$A$2:$Q$496,17,FALSE)</f>
        <v>975600</v>
      </c>
      <c r="J153" s="19"/>
    </row>
    <row r="154" spans="2:10" s="5" customFormat="1" x14ac:dyDescent="0.25">
      <c r="B154" s="7">
        <v>149</v>
      </c>
      <c r="C154" s="11">
        <v>1284993363</v>
      </c>
      <c r="D154" s="12" t="str">
        <f>VLOOKUP(C154,[1]report!$A$2:$Q$496,3,FALSE)</f>
        <v>ANDI ANGGA SAPUTRA BATARA</v>
      </c>
      <c r="E154" s="12">
        <f>VLOOKUP(C154,[1]report!$A$2:$Q$496,4,FALSE)</f>
        <v>89087603</v>
      </c>
      <c r="F154" s="12">
        <f>VLOOKUP(C154,[1]report!$A$2:$Q$496,5,FALSE)</f>
        <v>4120177753</v>
      </c>
      <c r="G154" s="12" t="str">
        <f>VLOOKUP(C154,[1]report!$A$2:$Q$496,8,FALSE)</f>
        <v>Kota Kendari - Kota Makassar</v>
      </c>
      <c r="H154" s="12" t="str">
        <f>VLOOKUP(C154,[1]report!$A$2:$Q$496,9,FALSE)</f>
        <v>17/09/2025 - 19/09/2025</v>
      </c>
      <c r="I154" s="13">
        <f>VLOOKUP(C154,[1]report!$A$2:$Q$496,17,FALSE)</f>
        <v>975600</v>
      </c>
      <c r="J154" s="19"/>
    </row>
    <row r="155" spans="2:10" s="5" customFormat="1" x14ac:dyDescent="0.25">
      <c r="B155" s="7">
        <v>150</v>
      </c>
      <c r="C155" s="11">
        <v>1284993573</v>
      </c>
      <c r="D155" s="12" t="str">
        <f>VLOOKUP(C155,[1]report!$A$2:$Q$496,3,FALSE)</f>
        <v>SARLINA M.KILYKILY</v>
      </c>
      <c r="E155" s="12">
        <f>VLOOKUP(C155,[1]report!$A$2:$Q$496,4,FALSE)</f>
        <v>73947604</v>
      </c>
      <c r="F155" s="12">
        <f>VLOOKUP(C155,[1]report!$A$2:$Q$496,5,FALSE)</f>
        <v>4120177771</v>
      </c>
      <c r="G155" s="12" t="str">
        <f>VLOOKUP(C155,[1]report!$A$2:$Q$496,8,FALSE)</f>
        <v>Kota Kendari - Kota Makassar</v>
      </c>
      <c r="H155" s="12" t="str">
        <f>VLOOKUP(C155,[1]report!$A$2:$Q$496,9,FALSE)</f>
        <v>17/09/2025 - 19/09/2025</v>
      </c>
      <c r="I155" s="13">
        <f>VLOOKUP(C155,[1]report!$A$2:$Q$496,17,FALSE)</f>
        <v>1504000</v>
      </c>
      <c r="J155" s="19"/>
    </row>
    <row r="156" spans="2:10" s="5" customFormat="1" x14ac:dyDescent="0.25">
      <c r="B156" s="7">
        <v>151</v>
      </c>
      <c r="C156" s="11">
        <v>1284928569</v>
      </c>
      <c r="D156" s="12" t="str">
        <f>VLOOKUP(C156,[1]report!$A$2:$Q$496,3,FALSE)</f>
        <v>HADHI BAGUS SETYANTO</v>
      </c>
      <c r="E156" s="12">
        <f>VLOOKUP(C156,[1]report!$A$2:$Q$496,4,FALSE)</f>
        <v>87117602</v>
      </c>
      <c r="F156" s="12">
        <f>VLOOKUP(C156,[1]report!$A$2:$Q$496,5,FALSE)</f>
        <v>4120177758</v>
      </c>
      <c r="G156" s="12" t="str">
        <f>VLOOKUP(C156,[1]report!$A$2:$Q$496,8,FALSE)</f>
        <v>Kota Makassar - Kota Malang</v>
      </c>
      <c r="H156" s="12" t="str">
        <f>VLOOKUP(C156,[1]report!$A$2:$Q$496,9,FALSE)</f>
        <v>16/09/2025 - 20/09/2025</v>
      </c>
      <c r="I156" s="13">
        <f>VLOOKUP(C156,[1]report!$A$2:$Q$496,17,FALSE)</f>
        <v>1618400</v>
      </c>
      <c r="J156" s="19"/>
    </row>
    <row r="157" spans="2:10" s="5" customFormat="1" x14ac:dyDescent="0.25">
      <c r="B157" s="7">
        <v>152</v>
      </c>
      <c r="C157" s="11">
        <v>1284903059</v>
      </c>
      <c r="D157" s="12" t="str">
        <f>VLOOKUP(C157,[1]report!$A$2:$Q$496,3,FALSE)</f>
        <v xml:space="preserve">ARMAN </v>
      </c>
      <c r="E157" s="12">
        <f>VLOOKUP(C157,[1]report!$A$2:$Q$496,4,FALSE)</f>
        <v>74937601</v>
      </c>
      <c r="F157" s="12">
        <f>VLOOKUP(C157,[1]report!$A$2:$Q$496,5,FALSE)</f>
        <v>4120177755</v>
      </c>
      <c r="G157" s="12" t="str">
        <f>VLOOKUP(C157,[1]report!$A$2:$Q$496,8,FALSE)</f>
        <v>Kota Makassar - Jakarta Barat</v>
      </c>
      <c r="H157" s="12" t="str">
        <f>VLOOKUP(C157,[1]report!$A$2:$Q$496,9,FALSE)</f>
        <v>17/09/2025 - 27/09/2025</v>
      </c>
      <c r="I157" s="13">
        <f>VLOOKUP(C157,[1]report!$A$2:$Q$496,17,FALSE)</f>
        <v>1939100</v>
      </c>
      <c r="J157" s="15"/>
    </row>
    <row r="158" spans="2:10" s="5" customFormat="1" x14ac:dyDescent="0.25">
      <c r="B158" s="7">
        <v>153</v>
      </c>
      <c r="C158" s="11">
        <v>1284899346</v>
      </c>
      <c r="D158" s="12" t="str">
        <f>VLOOKUP(C158,[1]report!$A$2:$Q$496,3,FALSE)</f>
        <v>M. LUKMAN HAKIM</v>
      </c>
      <c r="E158" s="12">
        <f>VLOOKUP(C158,[1]report!$A$2:$Q$496,4,FALSE)</f>
        <v>87127603</v>
      </c>
      <c r="F158" s="12">
        <f>VLOOKUP(C158,[1]report!$A$2:$Q$496,5,FALSE)</f>
        <v>4120177747</v>
      </c>
      <c r="G158" s="12" t="str">
        <f>VLOOKUP(C158,[1]report!$A$2:$Q$496,8,FALSE)</f>
        <v>Kota Makassar - Jakarta Selatan</v>
      </c>
      <c r="H158" s="12" t="str">
        <f>VLOOKUP(C158,[1]report!$A$2:$Q$496,9,FALSE)</f>
        <v>17/09/2025 - 19/09/2025</v>
      </c>
      <c r="I158" s="13">
        <f>VLOOKUP(C158,[1]report!$A$2:$Q$496,17,FALSE)</f>
        <v>2303500</v>
      </c>
      <c r="J158" s="19"/>
    </row>
    <row r="159" spans="2:10" s="5" customFormat="1" x14ac:dyDescent="0.25">
      <c r="B159" s="7">
        <v>154</v>
      </c>
      <c r="C159" s="11">
        <v>1284975861</v>
      </c>
      <c r="D159" s="12" t="str">
        <f>VLOOKUP(C159,[1]report!$A$2:$Q$496,3,FALSE)</f>
        <v>RHAMADANI WIBISONO</v>
      </c>
      <c r="E159" s="12">
        <f>VLOOKUP(C159,[1]report!$A$2:$Q$496,4,FALSE)</f>
        <v>90127601</v>
      </c>
      <c r="F159" s="12">
        <f>VLOOKUP(C159,[1]report!$A$2:$Q$496,5,FALSE)</f>
        <v>4120177752</v>
      </c>
      <c r="G159" s="12" t="str">
        <f>VLOOKUP(C159,[1]report!$A$2:$Q$496,8,FALSE)</f>
        <v>Kota Palopo - Kota Makassar</v>
      </c>
      <c r="H159" s="12" t="str">
        <f>VLOOKUP(C159,[1]report!$A$2:$Q$496,9,FALSE)</f>
        <v>17/09/2025 - 19/09/2025</v>
      </c>
      <c r="I159" s="13">
        <f>VLOOKUP(C159,[1]report!$A$2:$Q$496,17,FALSE)</f>
        <v>2615300</v>
      </c>
      <c r="J159" s="15"/>
    </row>
    <row r="160" spans="2:10" s="5" customFormat="1" x14ac:dyDescent="0.25">
      <c r="B160" s="7">
        <v>155</v>
      </c>
      <c r="C160" s="11">
        <v>1284882100</v>
      </c>
      <c r="D160" s="12" t="str">
        <f>VLOOKUP(C160,[1]report!$A$2:$Q$496,3,FALSE)</f>
        <v xml:space="preserve">IBRAHIM </v>
      </c>
      <c r="E160" s="12">
        <f>VLOOKUP(C160,[1]report!$A$2:$Q$496,4,FALSE)</f>
        <v>88107607</v>
      </c>
      <c r="F160" s="12">
        <f>VLOOKUP(C160,[1]report!$A$2:$Q$496,5,FALSE)</f>
        <v>4120177736</v>
      </c>
      <c r="G160" s="12" t="str">
        <f>VLOOKUP(C160,[1]report!$A$2:$Q$496,8,FALSE)</f>
        <v>Kota Makassar - Kota Kendari</v>
      </c>
      <c r="H160" s="12" t="str">
        <f>VLOOKUP(C160,[1]report!$A$2:$Q$496,9,FALSE)</f>
        <v>16/09/2025 - 19/09/2025</v>
      </c>
      <c r="I160" s="13">
        <f>VLOOKUP(C160,[1]report!$A$2:$Q$496,17,FALSE)</f>
        <v>2940000</v>
      </c>
      <c r="J160" s="19"/>
    </row>
    <row r="161" spans="2:10" s="5" customFormat="1" x14ac:dyDescent="0.25">
      <c r="B161" s="7">
        <v>156</v>
      </c>
      <c r="C161" s="11">
        <v>1284975236</v>
      </c>
      <c r="D161" s="12" t="str">
        <f>VLOOKUP(C161,[1]report!$A$2:$Q$496,3,FALSE)</f>
        <v>YULI ASHANIAIS RAMADANI</v>
      </c>
      <c r="E161" s="12">
        <f>VLOOKUP(C161,[1]report!$A$2:$Q$496,4,FALSE)</f>
        <v>79047601</v>
      </c>
      <c r="F161" s="12">
        <f>VLOOKUP(C161,[1]report!$A$2:$Q$496,5,FALSE)</f>
        <v>4120177763</v>
      </c>
      <c r="G161" s="12" t="str">
        <f>VLOOKUP(C161,[1]report!$A$2:$Q$496,8,FALSE)</f>
        <v>Kota Makassar - Jakarta Selatan</v>
      </c>
      <c r="H161" s="12" t="str">
        <f>VLOOKUP(C161,[1]report!$A$2:$Q$496,9,FALSE)</f>
        <v>17/09/2025 - 19/09/2025</v>
      </c>
      <c r="I161" s="13">
        <f>VLOOKUP(C161,[1]report!$A$2:$Q$496,17,FALSE)</f>
        <v>3544694</v>
      </c>
      <c r="J161" s="15"/>
    </row>
    <row r="162" spans="2:10" s="5" customFormat="1" x14ac:dyDescent="0.25">
      <c r="B162" s="7">
        <v>157</v>
      </c>
      <c r="C162" s="11">
        <v>1284934687</v>
      </c>
      <c r="D162" s="12" t="str">
        <f>VLOOKUP(C162,[1]report!$A$2:$Q$496,3,FALSE)</f>
        <v>AMBO TUWO</v>
      </c>
      <c r="E162" s="12">
        <f>VLOOKUP(C162,[1]report!$A$2:$Q$496,4,FALSE)</f>
        <v>76027600</v>
      </c>
      <c r="F162" s="12">
        <f>VLOOKUP(C162,[1]report!$A$2:$Q$496,5,FALSE)</f>
        <v>4120177743</v>
      </c>
      <c r="G162" s="12" t="str">
        <f>VLOOKUP(C162,[1]report!$A$2:$Q$496,8,FALSE)</f>
        <v>Kota Makassar - Kota Bandung</v>
      </c>
      <c r="H162" s="12" t="str">
        <f>VLOOKUP(C162,[1]report!$A$2:$Q$496,9,FALSE)</f>
        <v>16/09/2025 - 18/09/2025</v>
      </c>
      <c r="I162" s="13">
        <f>VLOOKUP(C162,[1]report!$A$2:$Q$496,17,FALSE)</f>
        <v>3562428</v>
      </c>
      <c r="J162" s="19"/>
    </row>
    <row r="163" spans="2:10" s="5" customFormat="1" x14ac:dyDescent="0.25">
      <c r="B163" s="7">
        <v>158</v>
      </c>
      <c r="C163" s="11">
        <v>1284932326</v>
      </c>
      <c r="D163" s="12" t="str">
        <f>VLOOKUP(C163,[1]report!$A$2:$Q$496,3,FALSE)</f>
        <v>NUR LAYLA SARI HS</v>
      </c>
      <c r="E163" s="12">
        <f>VLOOKUP(C163,[1]report!$A$2:$Q$496,4,FALSE)</f>
        <v>93177609</v>
      </c>
      <c r="F163" s="12">
        <f>VLOOKUP(C163,[1]report!$A$2:$Q$496,5,FALSE)</f>
        <v>4120177754</v>
      </c>
      <c r="G163" s="12" t="str">
        <f>VLOOKUP(C163,[1]report!$A$2:$Q$496,8,FALSE)</f>
        <v>Kota Makassar - Jakarta Barat</v>
      </c>
      <c r="H163" s="12" t="str">
        <f>VLOOKUP(C163,[1]report!$A$2:$Q$496,9,FALSE)</f>
        <v>17/09/2025 - 27/09/2025</v>
      </c>
      <c r="I163" s="13">
        <f>VLOOKUP(C163,[1]report!$A$2:$Q$496,17,FALSE)</f>
        <v>4740600</v>
      </c>
      <c r="J163" s="19"/>
    </row>
    <row r="164" spans="2:10" s="5" customFormat="1" x14ac:dyDescent="0.25">
      <c r="B164" s="7">
        <v>159</v>
      </c>
      <c r="C164" s="11">
        <v>1284964943</v>
      </c>
      <c r="D164" s="12" t="str">
        <f>VLOOKUP(C164,[1]report!$A$2:$Q$496,3,FALSE)</f>
        <v>WAWANG WIRATAMA</v>
      </c>
      <c r="E164" s="12">
        <f>VLOOKUP(C164,[1]report!$A$2:$Q$496,4,FALSE)</f>
        <v>83098401</v>
      </c>
      <c r="F164" s="12">
        <f>VLOOKUP(C164,[1]report!$A$2:$Q$496,5,FALSE)</f>
        <v>4120177759</v>
      </c>
      <c r="G164" s="12" t="str">
        <f>VLOOKUP(C164,[1]report!$A$2:$Q$496,8,FALSE)</f>
        <v>Kota Makassar - Kota Malang</v>
      </c>
      <c r="H164" s="12" t="str">
        <f>VLOOKUP(C164,[1]report!$A$2:$Q$496,9,FALSE)</f>
        <v>16/09/2025 - 20/09/2025</v>
      </c>
      <c r="I164" s="13">
        <f>VLOOKUP(C164,[1]report!$A$2:$Q$496,17,FALSE)</f>
        <v>4760000</v>
      </c>
      <c r="J164" s="19"/>
    </row>
    <row r="165" spans="2:10" s="5" customFormat="1" x14ac:dyDescent="0.25">
      <c r="B165" s="7">
        <v>160</v>
      </c>
      <c r="C165" s="11">
        <v>1285008102</v>
      </c>
      <c r="D165" s="12" t="str">
        <f>VLOOKUP(C165,[1]report!$A$2:$Q$496,3,FALSE)</f>
        <v>RHAMADANI WIBISONO</v>
      </c>
      <c r="E165" s="12">
        <f>VLOOKUP(C165,[1]report!$A$2:$Q$496,4,FALSE)</f>
        <v>90127601</v>
      </c>
      <c r="F165" s="12">
        <f>VLOOKUP(C165,[1]report!$A$2:$Q$496,5,FALSE)</f>
        <v>4120177752</v>
      </c>
      <c r="G165" s="12" t="str">
        <f>VLOOKUP(C165,[1]report!$A$2:$Q$496,8,FALSE)</f>
        <v>Kota Palopo - Kota Makassar</v>
      </c>
      <c r="H165" s="12" t="str">
        <f>VLOOKUP(C165,[1]report!$A$2:$Q$496,9,FALSE)</f>
        <v>17/09/2025 - 19/09/2025</v>
      </c>
      <c r="I165" s="13">
        <f>VLOOKUP(C165,[1]report!$A$2:$Q$496,17,FALSE)</f>
        <v>776900</v>
      </c>
      <c r="J165" s="19"/>
    </row>
    <row r="166" spans="2:10" s="5" customFormat="1" x14ac:dyDescent="0.25">
      <c r="B166" s="7">
        <v>161</v>
      </c>
      <c r="C166" s="11">
        <v>1285006362</v>
      </c>
      <c r="D166" s="12" t="str">
        <f>VLOOKUP(C166,[1]report!$A$2:$Q$496,3,FALSE)</f>
        <v>RHAMADANI WIBISONO</v>
      </c>
      <c r="E166" s="12">
        <f>VLOOKUP(C166,[1]report!$A$2:$Q$496,4,FALSE)</f>
        <v>90127601</v>
      </c>
      <c r="F166" s="12">
        <f>VLOOKUP(C166,[1]report!$A$2:$Q$496,5,FALSE)</f>
        <v>4120177752</v>
      </c>
      <c r="G166" s="12" t="str">
        <f>VLOOKUP(C166,[1]report!$A$2:$Q$496,8,FALSE)</f>
        <v>Kota Palopo - Kota Makassar</v>
      </c>
      <c r="H166" s="12" t="str">
        <f>VLOOKUP(C166,[1]report!$A$2:$Q$496,9,FALSE)</f>
        <v>17/09/2025 - 19/09/2025</v>
      </c>
      <c r="I166" s="13">
        <f>VLOOKUP(C166,[1]report!$A$2:$Q$496,17,FALSE)</f>
        <v>862341</v>
      </c>
      <c r="J166" s="19"/>
    </row>
    <row r="167" spans="2:10" s="5" customFormat="1" x14ac:dyDescent="0.25">
      <c r="B167" s="7">
        <v>162</v>
      </c>
      <c r="C167" s="11">
        <v>1284998244</v>
      </c>
      <c r="D167" s="12" t="str">
        <f>VLOOKUP(C167,[1]report!$A$2:$Q$496,3,FALSE)</f>
        <v>MUHAMMAD ICHLAS FATTAH</v>
      </c>
      <c r="E167" s="12">
        <f>VLOOKUP(C167,[1]report!$A$2:$Q$496,4,FALSE)</f>
        <v>71937801</v>
      </c>
      <c r="F167" s="12">
        <f>VLOOKUP(C167,[1]report!$A$2:$Q$496,5,FALSE)</f>
        <v>4120177729</v>
      </c>
      <c r="G167" s="12" t="str">
        <f>VLOOKUP(C167,[1]report!$A$2:$Q$496,8,FALSE)</f>
        <v>Kota Makassar - Kab. Kolaka - Kota Kendari</v>
      </c>
      <c r="H167" s="12" t="str">
        <f>VLOOKUP(C167,[1]report!$A$2:$Q$496,9,FALSE)</f>
        <v>16/09/2025 - 19/09/2025</v>
      </c>
      <c r="I167" s="13">
        <f>VLOOKUP(C167,[1]report!$A$2:$Q$496,17,FALSE)</f>
        <v>975600</v>
      </c>
      <c r="J167" s="19"/>
    </row>
    <row r="168" spans="2:10" s="5" customFormat="1" x14ac:dyDescent="0.25">
      <c r="B168" s="7">
        <v>163</v>
      </c>
      <c r="C168" s="11">
        <v>1285040778</v>
      </c>
      <c r="D168" s="12" t="str">
        <f>VLOOKUP(C168,[1]report!$A$2:$Q$496,3,FALSE)</f>
        <v>SUPRIANTO MARWING</v>
      </c>
      <c r="E168" s="12">
        <f>VLOOKUP(C168,[1]report!$A$2:$Q$496,4,FALSE)</f>
        <v>95207607</v>
      </c>
      <c r="F168" s="12">
        <f>VLOOKUP(C168,[1]report!$A$2:$Q$496,5,FALSE)</f>
        <v>4120177777</v>
      </c>
      <c r="G168" s="12" t="str">
        <f>VLOOKUP(C168,[1]report!$A$2:$Q$496,8,FALSE)</f>
        <v>Kab. Buton Tengah - Kota Makassar</v>
      </c>
      <c r="H168" s="12" t="str">
        <f>VLOOKUP(C168,[1]report!$A$2:$Q$496,9,FALSE)</f>
        <v>17/09/2025 - 19/09/2025</v>
      </c>
      <c r="I168" s="13">
        <f>VLOOKUP(C168,[1]report!$A$2:$Q$496,17,FALSE)</f>
        <v>1139700</v>
      </c>
      <c r="J168" s="19"/>
    </row>
    <row r="169" spans="2:10" s="5" customFormat="1" x14ac:dyDescent="0.25">
      <c r="B169" s="7">
        <v>164</v>
      </c>
      <c r="C169" s="11">
        <v>1285031069</v>
      </c>
      <c r="D169" s="12" t="str">
        <f>VLOOKUP(C169,[1]report!$A$2:$Q$496,3,FALSE)</f>
        <v>ARDAYA PRATAMA</v>
      </c>
      <c r="E169" s="12">
        <f>VLOOKUP(C169,[1]report!$A$2:$Q$496,4,FALSE)</f>
        <v>1247601</v>
      </c>
      <c r="F169" s="12">
        <f>VLOOKUP(C169,[1]report!$A$2:$Q$496,5,FALSE)</f>
        <v>4120177772</v>
      </c>
      <c r="G169" s="12" t="str">
        <f>VLOOKUP(C169,[1]report!$A$2:$Q$496,8,FALSE)</f>
        <v>Kota Baubau - Kota Makassar</v>
      </c>
      <c r="H169" s="12" t="str">
        <f>VLOOKUP(C169,[1]report!$A$2:$Q$496,9,FALSE)</f>
        <v>17/09/2025 - 19/09/2025</v>
      </c>
      <c r="I169" s="13">
        <f>VLOOKUP(C169,[1]report!$A$2:$Q$496,17,FALSE)</f>
        <v>1139700</v>
      </c>
      <c r="J169" s="19"/>
    </row>
    <row r="170" spans="2:10" s="5" customFormat="1" x14ac:dyDescent="0.25">
      <c r="B170" s="7">
        <v>165</v>
      </c>
      <c r="C170" s="11">
        <v>1285031276</v>
      </c>
      <c r="D170" s="12" t="str">
        <f>VLOOKUP(C170,[1]report!$A$2:$Q$496,3,FALSE)</f>
        <v>MUHAMMAD IQBAL NUR</v>
      </c>
      <c r="E170" s="12">
        <f>VLOOKUP(C170,[1]report!$A$2:$Q$496,4,FALSE)</f>
        <v>89097601</v>
      </c>
      <c r="F170" s="12">
        <f>VLOOKUP(C170,[1]report!$A$2:$Q$496,5,FALSE)</f>
        <v>4120177765</v>
      </c>
      <c r="G170" s="12" t="str">
        <f>VLOOKUP(C170,[1]report!$A$2:$Q$496,8,FALSE)</f>
        <v>Kota Baubau - Kota Makassar</v>
      </c>
      <c r="H170" s="12" t="str">
        <f>VLOOKUP(C170,[1]report!$A$2:$Q$496,9,FALSE)</f>
        <v>17/09/2025 - 19/09/2025</v>
      </c>
      <c r="I170" s="13">
        <f>VLOOKUP(C170,[1]report!$A$2:$Q$496,17,FALSE)</f>
        <v>1139700</v>
      </c>
      <c r="J170" s="19"/>
    </row>
    <row r="171" spans="2:10" s="5" customFormat="1" x14ac:dyDescent="0.25">
      <c r="B171" s="7">
        <v>166</v>
      </c>
      <c r="C171" s="11">
        <v>1285051591</v>
      </c>
      <c r="D171" s="12" t="str">
        <f>VLOOKUP(C171,[1]report!$A$2:$Q$496,3,FALSE)</f>
        <v>ARDAYA PRATAMA</v>
      </c>
      <c r="E171" s="12">
        <f>VLOOKUP(C171,[1]report!$A$2:$Q$496,4,FALSE)</f>
        <v>1247601</v>
      </c>
      <c r="F171" s="12">
        <f>VLOOKUP(C171,[1]report!$A$2:$Q$496,5,FALSE)</f>
        <v>4120177772</v>
      </c>
      <c r="G171" s="12" t="str">
        <f>VLOOKUP(C171,[1]report!$A$2:$Q$496,8,FALSE)</f>
        <v>Kota Baubau - Kota Makassar</v>
      </c>
      <c r="H171" s="12" t="str">
        <f>VLOOKUP(C171,[1]report!$A$2:$Q$496,9,FALSE)</f>
        <v>17/09/2025 - 19/09/2025</v>
      </c>
      <c r="I171" s="13">
        <f>VLOOKUP(C171,[1]report!$A$2:$Q$496,17,FALSE)</f>
        <v>1447110</v>
      </c>
      <c r="J171" s="19"/>
    </row>
    <row r="172" spans="2:10" s="5" customFormat="1" x14ac:dyDescent="0.25">
      <c r="B172" s="7">
        <v>167</v>
      </c>
      <c r="C172" s="11">
        <v>1285005327</v>
      </c>
      <c r="D172" s="12" t="str">
        <f>VLOOKUP(C172,[1]report!$A$2:$Q$496,3,FALSE)</f>
        <v>ANDI ANGGA SAPUTRA BATARA</v>
      </c>
      <c r="E172" s="12">
        <f>VLOOKUP(C172,[1]report!$A$2:$Q$496,4,FALSE)</f>
        <v>89087603</v>
      </c>
      <c r="F172" s="12">
        <f>VLOOKUP(C172,[1]report!$A$2:$Q$496,5,FALSE)</f>
        <v>4120177753</v>
      </c>
      <c r="G172" s="12" t="str">
        <f>VLOOKUP(C172,[1]report!$A$2:$Q$496,8,FALSE)</f>
        <v>Kota Kendari - Kota Makassar</v>
      </c>
      <c r="H172" s="12" t="str">
        <f>VLOOKUP(C172,[1]report!$A$2:$Q$496,9,FALSE)</f>
        <v>17/09/2025 - 19/09/2025</v>
      </c>
      <c r="I172" s="13">
        <f>VLOOKUP(C172,[1]report!$A$2:$Q$496,17,FALSE)</f>
        <v>1518000</v>
      </c>
      <c r="J172" s="19"/>
    </row>
    <row r="173" spans="2:10" s="5" customFormat="1" x14ac:dyDescent="0.25">
      <c r="B173" s="7">
        <v>168</v>
      </c>
      <c r="C173" s="11">
        <v>1285009610</v>
      </c>
      <c r="D173" s="12" t="str">
        <f>VLOOKUP(C173,[1]report!$A$2:$Q$496,3,FALSE)</f>
        <v>MUHAMMAD ICHLAS FATTAH</v>
      </c>
      <c r="E173" s="12">
        <f>VLOOKUP(C173,[1]report!$A$2:$Q$496,4,FALSE)</f>
        <v>71937801</v>
      </c>
      <c r="F173" s="12">
        <f>VLOOKUP(C173,[1]report!$A$2:$Q$496,5,FALSE)</f>
        <v>4120177729</v>
      </c>
      <c r="G173" s="12" t="str">
        <f>VLOOKUP(C173,[1]report!$A$2:$Q$496,8,FALSE)</f>
        <v>Kota Makassar - Kab. Kolaka - Kota Kendari</v>
      </c>
      <c r="H173" s="12" t="str">
        <f>VLOOKUP(C173,[1]report!$A$2:$Q$496,9,FALSE)</f>
        <v>16/09/2025 - 19/09/2025</v>
      </c>
      <c r="I173" s="13">
        <f>VLOOKUP(C173,[1]report!$A$2:$Q$496,17,FALSE)</f>
        <v>1923078</v>
      </c>
      <c r="J173" s="19"/>
    </row>
    <row r="174" spans="2:10" s="5" customFormat="1" x14ac:dyDescent="0.25">
      <c r="B174" s="7">
        <v>169</v>
      </c>
      <c r="C174" s="11">
        <v>1285072768</v>
      </c>
      <c r="D174" s="12" t="str">
        <f>VLOOKUP(C174,[1]report!$A$2:$Q$496,3,FALSE)</f>
        <v>YULI ASHANIAIS RAMADANI</v>
      </c>
      <c r="E174" s="12">
        <f>VLOOKUP(C174,[1]report!$A$2:$Q$496,4,FALSE)</f>
        <v>79047601</v>
      </c>
      <c r="F174" s="12">
        <f>VLOOKUP(C174,[1]report!$A$2:$Q$496,5,FALSE)</f>
        <v>4120177763</v>
      </c>
      <c r="G174" s="12" t="str">
        <f>VLOOKUP(C174,[1]report!$A$2:$Q$496,8,FALSE)</f>
        <v>Kota Makassar - Jakarta Selatan</v>
      </c>
      <c r="H174" s="12" t="str">
        <f>VLOOKUP(C174,[1]report!$A$2:$Q$496,9,FALSE)</f>
        <v>17/09/2025 - 19/09/2025</v>
      </c>
      <c r="I174" s="13">
        <f>VLOOKUP(C174,[1]report!$A$2:$Q$496,17,FALSE)</f>
        <v>2303500</v>
      </c>
      <c r="J174" s="19"/>
    </row>
    <row r="175" spans="2:10" s="5" customFormat="1" x14ac:dyDescent="0.25">
      <c r="B175" s="7">
        <v>170</v>
      </c>
      <c r="C175" s="11">
        <v>1285061599</v>
      </c>
      <c r="D175" s="12" t="str">
        <f>VLOOKUP(C175,[1]report!$A$2:$Q$496,3,FALSE)</f>
        <v>ANDY JUNIWASTIAR</v>
      </c>
      <c r="E175" s="12">
        <f>VLOOKUP(C175,[1]report!$A$2:$Q$496,4,FALSE)</f>
        <v>91107606</v>
      </c>
      <c r="F175" s="12">
        <f>VLOOKUP(C175,[1]report!$A$2:$Q$496,5,FALSE)</f>
        <v>4120177760</v>
      </c>
      <c r="G175" s="12" t="str">
        <f>VLOOKUP(C175,[1]report!$A$2:$Q$496,8,FALSE)</f>
        <v>Kota Makassar - Jakarta Barat</v>
      </c>
      <c r="H175" s="12" t="str">
        <f>VLOOKUP(C175,[1]report!$A$2:$Q$496,9,FALSE)</f>
        <v>17/09/2025 - 27/09/2025</v>
      </c>
      <c r="I175" s="13">
        <f>VLOOKUP(C175,[1]report!$A$2:$Q$496,17,FALSE)</f>
        <v>2345200</v>
      </c>
      <c r="J175" s="19"/>
    </row>
    <row r="176" spans="2:10" s="5" customFormat="1" x14ac:dyDescent="0.25">
      <c r="B176" s="7">
        <v>171</v>
      </c>
      <c r="C176" s="11">
        <v>1285096049</v>
      </c>
      <c r="D176" s="12" t="str">
        <f>VLOOKUP(C176,[1]report!$A$2:$Q$496,3,FALSE)</f>
        <v>ANGGIH PRASETYA</v>
      </c>
      <c r="E176" s="12">
        <f>VLOOKUP(C176,[1]report!$A$2:$Q$496,4,FALSE)</f>
        <v>88117613</v>
      </c>
      <c r="F176" s="12">
        <f>VLOOKUP(C176,[1]report!$A$2:$Q$496,5,FALSE)</f>
        <v>4120177784</v>
      </c>
      <c r="G176" s="12" t="str">
        <f>VLOOKUP(C176,[1]report!$A$2:$Q$496,8,FALSE)</f>
        <v>Kota Baubau - Kota Makassar</v>
      </c>
      <c r="H176" s="12" t="str">
        <f>VLOOKUP(C176,[1]report!$A$2:$Q$496,9,FALSE)</f>
        <v>17/09/2025 - 19/09/2025</v>
      </c>
      <c r="I176" s="13">
        <f>VLOOKUP(C176,[1]report!$A$2:$Q$496,17,FALSE)</f>
        <v>744200</v>
      </c>
      <c r="J176" s="19"/>
    </row>
    <row r="177" spans="2:10" s="5" customFormat="1" x14ac:dyDescent="0.25">
      <c r="B177" s="7">
        <v>172</v>
      </c>
      <c r="C177" s="11">
        <v>1285115802</v>
      </c>
      <c r="D177" s="12" t="str">
        <f>VLOOKUP(C177,[1]report!$A$2:$Q$496,3,FALSE)</f>
        <v>SUPRIANTO MARWING</v>
      </c>
      <c r="E177" s="12">
        <f>VLOOKUP(C177,[1]report!$A$2:$Q$496,4,FALSE)</f>
        <v>95207607</v>
      </c>
      <c r="F177" s="12">
        <f>VLOOKUP(C177,[1]report!$A$2:$Q$496,5,FALSE)</f>
        <v>4120177777</v>
      </c>
      <c r="G177" s="12" t="str">
        <f>VLOOKUP(C177,[1]report!$A$2:$Q$496,8,FALSE)</f>
        <v>Kab. Buton Tengah - Kota Makassar</v>
      </c>
      <c r="H177" s="12" t="str">
        <f>VLOOKUP(C177,[1]report!$A$2:$Q$496,9,FALSE)</f>
        <v>17/09/2025 - 19/09/2025</v>
      </c>
      <c r="I177" s="13">
        <f>VLOOKUP(C177,[1]report!$A$2:$Q$496,17,FALSE)</f>
        <v>844100</v>
      </c>
      <c r="J177" s="19"/>
    </row>
    <row r="178" spans="2:10" s="5" customFormat="1" x14ac:dyDescent="0.25">
      <c r="B178" s="7">
        <v>173</v>
      </c>
      <c r="C178" s="11">
        <v>1285131374</v>
      </c>
      <c r="D178" s="12" t="str">
        <f>VLOOKUP(C178,[1]report!$A$2:$Q$496,3,FALSE)</f>
        <v>ROLANDI TUMPAL FERNANDES MARTUA SIREGAR</v>
      </c>
      <c r="E178" s="12">
        <f>VLOOKUP(C178,[1]report!$A$2:$Q$496,4,FALSE)</f>
        <v>90147609</v>
      </c>
      <c r="F178" s="12">
        <f>VLOOKUP(C178,[1]report!$A$2:$Q$496,5,FALSE)</f>
        <v>4120177798</v>
      </c>
      <c r="G178" s="12" t="str">
        <f>VLOOKUP(C178,[1]report!$A$2:$Q$496,8,FALSE)</f>
        <v>Kab. Bone - Kota Makassar</v>
      </c>
      <c r="H178" s="12" t="str">
        <f>VLOOKUP(C178,[1]report!$A$2:$Q$496,9,FALSE)</f>
        <v>17/09/2025 - 18/09/2025</v>
      </c>
      <c r="I178" s="13">
        <f>VLOOKUP(C178,[1]report!$A$2:$Q$496,17,FALSE)</f>
        <v>954362</v>
      </c>
      <c r="J178" s="19"/>
    </row>
    <row r="179" spans="2:10" s="5" customFormat="1" x14ac:dyDescent="0.25">
      <c r="B179" s="7">
        <v>174</v>
      </c>
      <c r="C179" s="11">
        <v>1285150729</v>
      </c>
      <c r="D179" s="12" t="str">
        <f>VLOOKUP(C179,[1]report!$A$2:$Q$496,3,FALSE)</f>
        <v>RIKO ASHARI</v>
      </c>
      <c r="E179" s="12">
        <f>VLOOKUP(C179,[1]report!$A$2:$Q$496,4,FALSE)</f>
        <v>94197621</v>
      </c>
      <c r="F179" s="12">
        <f>VLOOKUP(C179,[1]report!$A$2:$Q$496,5,FALSE)</f>
        <v>4120177800</v>
      </c>
      <c r="G179" s="12" t="str">
        <f>VLOOKUP(C179,[1]report!$A$2:$Q$496,8,FALSE)</f>
        <v>Kota Palopo - Kota Makassar</v>
      </c>
      <c r="H179" s="12" t="str">
        <f>VLOOKUP(C179,[1]report!$A$2:$Q$496,9,FALSE)</f>
        <v>17/09/2025 - 19/09/2025</v>
      </c>
      <c r="I179" s="13">
        <f>VLOOKUP(C179,[1]report!$A$2:$Q$496,17,FALSE)</f>
        <v>1023686</v>
      </c>
      <c r="J179" s="19"/>
    </row>
    <row r="180" spans="2:10" x14ac:dyDescent="0.25">
      <c r="B180" s="7">
        <v>175</v>
      </c>
      <c r="C180" s="11">
        <v>1285201081</v>
      </c>
      <c r="D180" s="12" t="str">
        <f>VLOOKUP(C180,[1]report!$A$2:$Q$496,3,FALSE)</f>
        <v>DESHINTA AMALIA SHOLIHAH</v>
      </c>
      <c r="E180" s="12">
        <f>VLOOKUP(C180,[1]report!$A$2:$Q$496,4,FALSE)</f>
        <v>92177616</v>
      </c>
      <c r="F180" s="12">
        <f>VLOOKUP(C180,[1]report!$A$2:$Q$496,5,FALSE)</f>
        <v>4120177726</v>
      </c>
      <c r="G180" s="12" t="str">
        <f>VLOOKUP(C180,[1]report!$A$2:$Q$496,8,FALSE)</f>
        <v>Kota Makassar - Kota Surabaya</v>
      </c>
      <c r="H180" s="12" t="str">
        <f>VLOOKUP(C180,[1]report!$A$2:$Q$496,9,FALSE)</f>
        <v>14/09/2025 - 20/09/2025</v>
      </c>
      <c r="I180" s="13">
        <f>VLOOKUP(C180,[1]report!$A$2:$Q$496,17,FALSE)</f>
        <v>1213800</v>
      </c>
      <c r="J180" s="19"/>
    </row>
    <row r="181" spans="2:10" x14ac:dyDescent="0.25">
      <c r="B181" s="7">
        <v>176</v>
      </c>
      <c r="C181" s="11">
        <v>1285143302</v>
      </c>
      <c r="D181" s="12" t="str">
        <f>VLOOKUP(C181,[1]report!$A$2:$Q$496,3,FALSE)</f>
        <v>KHAERUL JIHADI</v>
      </c>
      <c r="E181" s="12">
        <f>VLOOKUP(C181,[1]report!$A$2:$Q$496,4,FALSE)</f>
        <v>94197615</v>
      </c>
      <c r="F181" s="12">
        <f>VLOOKUP(C181,[1]report!$A$2:$Q$496,5,FALSE)</f>
        <v>4120177786</v>
      </c>
      <c r="G181" s="12" t="str">
        <f>VLOOKUP(C181,[1]report!$A$2:$Q$496,8,FALSE)</f>
        <v>Kab. Buton Tengah - Kota Makassar</v>
      </c>
      <c r="H181" s="12" t="str">
        <f>VLOOKUP(C181,[1]report!$A$2:$Q$496,9,FALSE)</f>
        <v>17/09/2025 - 19/09/2025</v>
      </c>
      <c r="I181" s="13">
        <f>VLOOKUP(C181,[1]report!$A$2:$Q$496,17,FALSE)</f>
        <v>1276500</v>
      </c>
      <c r="J181" s="19"/>
    </row>
    <row r="182" spans="2:10" x14ac:dyDescent="0.25">
      <c r="B182" s="7">
        <v>177</v>
      </c>
      <c r="C182" s="16">
        <v>1285154028</v>
      </c>
      <c r="D182" s="12" t="str">
        <f>VLOOKUP(C182,[1]report!$A$2:$Q$496,3,FALSE)</f>
        <v>DEWI ARJUNI KUSNADI</v>
      </c>
      <c r="E182" s="12">
        <f>VLOOKUP(C182,[1]report!$A$2:$Q$496,4,FALSE)</f>
        <v>84037602</v>
      </c>
      <c r="F182" s="12">
        <f>VLOOKUP(C182,[1]report!$A$2:$Q$496,5,FALSE)</f>
        <v>4120177773</v>
      </c>
      <c r="G182" s="12" t="str">
        <f>VLOOKUP(C182,[1]report!$A$2:$Q$496,8,FALSE)</f>
        <v>Kota Makassar - Jakarta Selatan</v>
      </c>
      <c r="H182" s="12" t="str">
        <f>VLOOKUP(C182,[1]report!$A$2:$Q$496,9,FALSE)</f>
        <v>18/09/2025 - 19/09/2025</v>
      </c>
      <c r="I182" s="13">
        <f>VLOOKUP(C182,[1]report!$A$2:$Q$496,17,FALSE)</f>
        <v>1445800</v>
      </c>
      <c r="J182" s="20"/>
    </row>
    <row r="183" spans="2:10" x14ac:dyDescent="0.25">
      <c r="B183" s="7">
        <v>178</v>
      </c>
      <c r="C183" s="11">
        <v>1285120216</v>
      </c>
      <c r="D183" s="12" t="str">
        <f>VLOOKUP(C183,[1]report!$A$2:$Q$496,3,FALSE)</f>
        <v>MUHAMMAD IQBAL NUR</v>
      </c>
      <c r="E183" s="12">
        <f>VLOOKUP(C183,[1]report!$A$2:$Q$496,4,FALSE)</f>
        <v>89097601</v>
      </c>
      <c r="F183" s="12">
        <f>VLOOKUP(C183,[1]report!$A$2:$Q$496,5,FALSE)</f>
        <v>4120177765</v>
      </c>
      <c r="G183" s="12" t="str">
        <f>VLOOKUP(C183,[1]report!$A$2:$Q$496,8,FALSE)</f>
        <v>Kota Baubau - Kota Makassar</v>
      </c>
      <c r="H183" s="12" t="str">
        <f>VLOOKUP(C183,[1]report!$A$2:$Q$496,9,FALSE)</f>
        <v>17/09/2025 - 19/09/2025</v>
      </c>
      <c r="I183" s="13">
        <f>VLOOKUP(C183,[1]report!$A$2:$Q$496,17,FALSE)</f>
        <v>1500400</v>
      </c>
      <c r="J183" s="19"/>
    </row>
    <row r="184" spans="2:10" x14ac:dyDescent="0.25">
      <c r="B184" s="7">
        <v>179</v>
      </c>
      <c r="C184" s="11">
        <v>1285149136</v>
      </c>
      <c r="D184" s="12" t="str">
        <f>VLOOKUP(C184,[1]report!$A$2:$Q$496,3,FALSE)</f>
        <v>INDAH ADELIA NUR SYAHBANI</v>
      </c>
      <c r="E184" s="12">
        <f>VLOOKUP(C184,[1]report!$A$2:$Q$496,4,FALSE)</f>
        <v>97197614</v>
      </c>
      <c r="F184" s="12">
        <f>VLOOKUP(C184,[1]report!$A$2:$Q$496,5,FALSE)</f>
        <v>4120177780</v>
      </c>
      <c r="G184" s="12" t="str">
        <f>VLOOKUP(C184,[1]report!$A$2:$Q$496,8,FALSE)</f>
        <v>Kab. Polewali Mandar - Kota Makassar</v>
      </c>
      <c r="H184" s="12" t="str">
        <f>VLOOKUP(C184,[1]report!$A$2:$Q$496,9,FALSE)</f>
        <v>17/09/2025 - 19/09/2025</v>
      </c>
      <c r="I184" s="13">
        <f>VLOOKUP(C184,[1]report!$A$2:$Q$496,17,FALSE)</f>
        <v>1529412</v>
      </c>
      <c r="J184" s="19"/>
    </row>
    <row r="185" spans="2:10" x14ac:dyDescent="0.25">
      <c r="B185" s="7">
        <v>180</v>
      </c>
      <c r="C185" s="11">
        <v>1285098985</v>
      </c>
      <c r="D185" s="12" t="str">
        <f>VLOOKUP(C185,[1]report!$A$2:$Q$496,3,FALSE)</f>
        <v>AMI PRAWOTO RANDALAYUK</v>
      </c>
      <c r="E185" s="12">
        <f>VLOOKUP(C185,[1]report!$A$2:$Q$496,4,FALSE)</f>
        <v>91107604</v>
      </c>
      <c r="F185" s="12">
        <f>VLOOKUP(C185,[1]report!$A$2:$Q$496,5,FALSE)</f>
        <v>4120177751</v>
      </c>
      <c r="G185" s="12" t="str">
        <f>VLOOKUP(C185,[1]report!$A$2:$Q$496,8,FALSE)</f>
        <v>Kota Palopo - Kota Makassar</v>
      </c>
      <c r="H185" s="12" t="str">
        <f>VLOOKUP(C185,[1]report!$A$2:$Q$496,9,FALSE)</f>
        <v>17/09/2025 - 19/09/2025</v>
      </c>
      <c r="I185" s="13">
        <f>VLOOKUP(C185,[1]report!$A$2:$Q$496,17,FALSE)</f>
        <v>1560000</v>
      </c>
      <c r="J185" s="19"/>
    </row>
    <row r="186" spans="2:10" x14ac:dyDescent="0.25">
      <c r="B186" s="7">
        <v>181</v>
      </c>
      <c r="C186" s="11">
        <v>1285096427</v>
      </c>
      <c r="D186" s="12" t="str">
        <f>VLOOKUP(C186,[1]report!$A$2:$Q$496,3,FALSE)</f>
        <v>MAYA MAWARNI BIRANA</v>
      </c>
      <c r="E186" s="12">
        <f>VLOOKUP(C186,[1]report!$A$2:$Q$496,4,FALSE)</f>
        <v>217600</v>
      </c>
      <c r="F186" s="12">
        <f>VLOOKUP(C186,[1]report!$A$2:$Q$496,5,FALSE)</f>
        <v>4120177638</v>
      </c>
      <c r="G186" s="12" t="str">
        <f>VLOOKUP(C186,[1]report!$A$2:$Q$496,8,FALSE)</f>
        <v>Kota Banjarbaru - Kota Banjarbaru</v>
      </c>
      <c r="H186" s="12" t="str">
        <f>VLOOKUP(C186,[1]report!$A$2:$Q$496,9,FALSE)</f>
        <v>14/09/2025 - 18/09/2025</v>
      </c>
      <c r="I186" s="13">
        <f>VLOOKUP(C186,[1]report!$A$2:$Q$496,17,FALSE)</f>
        <v>1693200</v>
      </c>
      <c r="J186" s="19"/>
    </row>
    <row r="187" spans="2:10" x14ac:dyDescent="0.25">
      <c r="B187" s="7">
        <v>182</v>
      </c>
      <c r="C187" s="11">
        <v>1285156349</v>
      </c>
      <c r="D187" s="12" t="str">
        <f>VLOOKUP(C187,[1]report!$A$2:$Q$496,3,FALSE)</f>
        <v>SARLINA M.KILYKILY</v>
      </c>
      <c r="E187" s="12">
        <f>VLOOKUP(C187,[1]report!$A$2:$Q$496,4,FALSE)</f>
        <v>73947604</v>
      </c>
      <c r="F187" s="12">
        <f>VLOOKUP(C187,[1]report!$A$2:$Q$496,5,FALSE)</f>
        <v>4120177771</v>
      </c>
      <c r="G187" s="12" t="str">
        <f>VLOOKUP(C187,[1]report!$A$2:$Q$496,8,FALSE)</f>
        <v>Kota Kendari - Kota Makassar</v>
      </c>
      <c r="H187" s="12" t="str">
        <f>VLOOKUP(C187,[1]report!$A$2:$Q$496,9,FALSE)</f>
        <v>17/09/2025 - 19/09/2025</v>
      </c>
      <c r="I187" s="13">
        <f>VLOOKUP(C187,[1]report!$A$2:$Q$496,17,FALSE)</f>
        <v>1746029</v>
      </c>
      <c r="J187" s="19"/>
    </row>
    <row r="188" spans="2:10" x14ac:dyDescent="0.25">
      <c r="B188" s="7">
        <v>183</v>
      </c>
      <c r="C188" s="11">
        <v>1285086268</v>
      </c>
      <c r="D188" s="12" t="str">
        <f>VLOOKUP(C188,[1]report!$A$2:$Q$496,3,FALSE)</f>
        <v>AKBAR KHASHEMI HAMZAH</v>
      </c>
      <c r="E188" s="12">
        <f>VLOOKUP(C188,[1]report!$A$2:$Q$496,4,FALSE)</f>
        <v>89145602</v>
      </c>
      <c r="F188" s="12">
        <f>VLOOKUP(C188,[1]report!$A$2:$Q$496,5,FALSE)</f>
        <v>4120177733</v>
      </c>
      <c r="G188" s="12" t="str">
        <f>VLOOKUP(C188,[1]report!$A$2:$Q$496,8,FALSE)</f>
        <v>Kota Makassar - Kota Bandung</v>
      </c>
      <c r="H188" s="12" t="str">
        <f>VLOOKUP(C188,[1]report!$A$2:$Q$496,9,FALSE)</f>
        <v>16/09/2025 - 18/09/2025</v>
      </c>
      <c r="I188" s="13">
        <f>VLOOKUP(C188,[1]report!$A$2:$Q$496,17,FALSE)</f>
        <v>1837700</v>
      </c>
      <c r="J188" s="19"/>
    </row>
    <row r="189" spans="2:10" x14ac:dyDescent="0.25">
      <c r="B189" s="7">
        <v>184</v>
      </c>
      <c r="C189" s="11">
        <v>1285093728</v>
      </c>
      <c r="D189" s="12" t="str">
        <f>VLOOKUP(C189,[1]report!$A$2:$Q$496,3,FALSE)</f>
        <v>SHALAHUDDIN ALAYUBI SITANGGANG</v>
      </c>
      <c r="E189" s="12">
        <f>VLOOKUP(C189,[1]report!$A$2:$Q$496,4,FALSE)</f>
        <v>95237601</v>
      </c>
      <c r="F189" s="12">
        <f>VLOOKUP(C189,[1]report!$A$2:$Q$496,5,FALSE)</f>
        <v>4120177624</v>
      </c>
      <c r="G189" s="12" t="str">
        <f>VLOOKUP(C189,[1]report!$A$2:$Q$496,8,FALSE)</f>
        <v>KotaBaubau-KotaBanjarbaru</v>
      </c>
      <c r="H189" s="12" t="str">
        <f>VLOOKUP(C189,[1]report!$A$2:$Q$496,9,FALSE)</f>
        <v>14/09/2025 - 18/09/2025</v>
      </c>
      <c r="I189" s="13">
        <f>VLOOKUP(C189,[1]report!$A$2:$Q$496,17,FALSE)</f>
        <v>1950900</v>
      </c>
      <c r="J189" s="19"/>
    </row>
    <row r="190" spans="2:10" x14ac:dyDescent="0.25">
      <c r="B190" s="7">
        <v>185</v>
      </c>
      <c r="C190" s="11">
        <v>1285086433</v>
      </c>
      <c r="D190" s="12" t="str">
        <f>VLOOKUP(C190,[1]report!$A$2:$Q$496,3,FALSE)</f>
        <v xml:space="preserve">SYAHLAN </v>
      </c>
      <c r="E190" s="12">
        <f>VLOOKUP(C190,[1]report!$A$2:$Q$496,4,FALSE)</f>
        <v>88087602</v>
      </c>
      <c r="F190" s="12">
        <f>VLOOKUP(C190,[1]report!$A$2:$Q$496,5,FALSE)</f>
        <v>4120177762</v>
      </c>
      <c r="G190" s="12" t="str">
        <f>VLOOKUP(C190,[1]report!$A$2:$Q$496,8,FALSE)</f>
        <v>Kota Makassar - Jakarta Selatan</v>
      </c>
      <c r="H190" s="12" t="str">
        <f>VLOOKUP(C190,[1]report!$A$2:$Q$496,9,FALSE)</f>
        <v>18/09/2025 - 19/09/2025</v>
      </c>
      <c r="I190" s="13">
        <f>VLOOKUP(C190,[1]report!$A$2:$Q$496,17,FALSE)</f>
        <v>2757900</v>
      </c>
      <c r="J190" s="19"/>
    </row>
    <row r="191" spans="2:10" x14ac:dyDescent="0.25">
      <c r="B191" s="7">
        <v>186</v>
      </c>
      <c r="C191" s="11">
        <v>1285239102</v>
      </c>
      <c r="D191" s="12" t="str">
        <f>VLOOKUP(C191,[1]report!$A$2:$Q$496,3,FALSE)</f>
        <v>ISMAIL SYAHRIR</v>
      </c>
      <c r="E191" s="12">
        <f>VLOOKUP(C191,[1]report!$A$2:$Q$496,4,FALSE)</f>
        <v>82087610</v>
      </c>
      <c r="F191" s="12">
        <f>VLOOKUP(C191,[1]report!$A$2:$Q$496,5,FALSE)</f>
        <v>4120177816</v>
      </c>
      <c r="G191" s="12" t="str">
        <f>VLOOKUP(C191,[1]report!$A$2:$Q$496,8,FALSE)</f>
        <v>Kab. Bulukumba - Kota Makassar</v>
      </c>
      <c r="H191" s="12" t="str">
        <f>VLOOKUP(C191,[1]report!$A$2:$Q$496,9,FALSE)</f>
        <v>18/09/2025 - 19/09/2025</v>
      </c>
      <c r="I191" s="13">
        <f>VLOOKUP(C191,[1]report!$A$2:$Q$496,17,FALSE)</f>
        <v>700757</v>
      </c>
      <c r="J191" s="19"/>
    </row>
    <row r="192" spans="2:10" x14ac:dyDescent="0.25">
      <c r="B192" s="7">
        <v>187</v>
      </c>
      <c r="C192" s="11">
        <v>1285230155</v>
      </c>
      <c r="D192" s="12" t="s">
        <v>10</v>
      </c>
      <c r="E192" s="12">
        <v>88097612</v>
      </c>
      <c r="F192" s="12">
        <v>4120177799</v>
      </c>
      <c r="G192" s="12" t="s">
        <v>11</v>
      </c>
      <c r="H192" s="12" t="s">
        <v>12</v>
      </c>
      <c r="I192" s="13">
        <v>723705</v>
      </c>
      <c r="J192" s="19"/>
    </row>
    <row r="193" spans="2:10" x14ac:dyDescent="0.25">
      <c r="B193" s="7">
        <v>188</v>
      </c>
      <c r="C193" s="11">
        <v>1285243140</v>
      </c>
      <c r="D193" s="12" t="str">
        <f>VLOOKUP(C193,[1]report!$A$2:$Q$496,3,FALSE)</f>
        <v>AHMAD FAUZI ALADIN SM</v>
      </c>
      <c r="E193" s="12">
        <f>VLOOKUP(C193,[1]report!$A$2:$Q$496,4,FALSE)</f>
        <v>85120401</v>
      </c>
      <c r="F193" s="12">
        <f>VLOOKUP(C193,[1]report!$A$2:$Q$496,5,FALSE)</f>
        <v>4120177749</v>
      </c>
      <c r="G193" s="12" t="str">
        <f>VLOOKUP(C193,[1]report!$A$2:$Q$496,8,FALSE)</f>
        <v>Kota Makassar - Kab. Toraja Utara</v>
      </c>
      <c r="H193" s="12" t="str">
        <f>VLOOKUP(C193,[1]report!$A$2:$Q$496,9,FALSE)</f>
        <v>17/09/2025 - 19/09/2025</v>
      </c>
      <c r="I193" s="13">
        <f>VLOOKUP(C193,[1]report!$A$2:$Q$496,17,FALSE)</f>
        <v>925926</v>
      </c>
      <c r="J193" s="19"/>
    </row>
    <row r="194" spans="2:10" x14ac:dyDescent="0.25">
      <c r="B194" s="7">
        <v>189</v>
      </c>
      <c r="C194" s="11">
        <v>1285242344</v>
      </c>
      <c r="D194" s="12" t="str">
        <f>VLOOKUP(C194,[1]report!$A$2:$Q$496,3,FALSE)</f>
        <v>AGUS PUTRA ABBAS</v>
      </c>
      <c r="E194" s="12">
        <f>VLOOKUP(C194,[1]report!$A$2:$Q$496,4,FALSE)</f>
        <v>87147800</v>
      </c>
      <c r="F194" s="12">
        <f>VLOOKUP(C194,[1]report!$A$2:$Q$496,5,FALSE)</f>
        <v>4120177748</v>
      </c>
      <c r="G194" s="12" t="str">
        <f>VLOOKUP(C194,[1]report!$A$2:$Q$496,8,FALSE)</f>
        <v>Kota Makassar - Kab. Toraja Utara</v>
      </c>
      <c r="H194" s="12" t="str">
        <f>VLOOKUP(C194,[1]report!$A$2:$Q$496,9,FALSE)</f>
        <v>17/09/2025 - 19/09/2025</v>
      </c>
      <c r="I194" s="13">
        <f>VLOOKUP(C194,[1]report!$A$2:$Q$496,17,FALSE)</f>
        <v>925926</v>
      </c>
      <c r="J194" s="19"/>
    </row>
    <row r="195" spans="2:10" x14ac:dyDescent="0.25">
      <c r="B195" s="7">
        <v>190</v>
      </c>
      <c r="C195" s="11">
        <v>1285251713</v>
      </c>
      <c r="D195" s="12" t="str">
        <f>VLOOKUP(C195,[1]report!$A$2:$Q$496,3,FALSE)</f>
        <v>MUCHAMAD PAMUNGKAS</v>
      </c>
      <c r="E195" s="12">
        <f>VLOOKUP(C195,[1]report!$A$2:$Q$496,4,FALSE)</f>
        <v>92197600</v>
      </c>
      <c r="F195" s="12">
        <f>VLOOKUP(C195,[1]report!$A$2:$Q$496,5,FALSE)</f>
        <v>4120177741</v>
      </c>
      <c r="G195" s="12" t="str">
        <f>VLOOKUP(C195,[1]report!$A$2:$Q$496,8,FALSE)</f>
        <v>Kota Makassar - Kota Kendari</v>
      </c>
      <c r="H195" s="12" t="str">
        <f>VLOOKUP(C195,[1]report!$A$2:$Q$496,9,FALSE)</f>
        <v>16/09/2025 - 19/09/2025</v>
      </c>
      <c r="I195" s="13">
        <f>VLOOKUP(C195,[1]report!$A$2:$Q$496,17,FALSE)</f>
        <v>975600</v>
      </c>
      <c r="J195" s="19"/>
    </row>
    <row r="196" spans="2:10" x14ac:dyDescent="0.25">
      <c r="B196" s="7">
        <v>191</v>
      </c>
      <c r="C196" s="11">
        <v>1285305871</v>
      </c>
      <c r="D196" s="12" t="str">
        <f>VLOOKUP(C196,[1]report!$A$2:$Q$496,3,FALSE)</f>
        <v>SOFYAN ASBAR</v>
      </c>
      <c r="E196" s="12">
        <f>VLOOKUP(C196,[1]report!$A$2:$Q$496,4,FALSE)</f>
        <v>96187638</v>
      </c>
      <c r="F196" s="12">
        <f>VLOOKUP(C196,[1]report!$A$2:$Q$496,5,FALSE)</f>
        <v>4120177680</v>
      </c>
      <c r="G196" s="12" t="str">
        <f>VLOOKUP(C196,[1]report!$A$2:$Q$496,8,FALSE)</f>
        <v>Kab. Mamuju - Kota Cilegon</v>
      </c>
      <c r="H196" s="12" t="str">
        <f>VLOOKUP(C196,[1]report!$A$2:$Q$496,9,FALSE)</f>
        <v>14/09/2025 - 19/09/2025</v>
      </c>
      <c r="I196" s="13">
        <f>VLOOKUP(C196,[1]report!$A$2:$Q$496,17,FALSE)</f>
        <v>2000200</v>
      </c>
      <c r="J196" s="19"/>
    </row>
    <row r="197" spans="2:10" x14ac:dyDescent="0.25">
      <c r="B197" s="7">
        <v>192</v>
      </c>
      <c r="C197" s="11">
        <v>1285306862</v>
      </c>
      <c r="D197" s="12" t="str">
        <f>VLOOKUP(C197,[1]report!$A$2:$Q$496,3,FALSE)</f>
        <v>MUH ISMAIL ANWAR</v>
      </c>
      <c r="E197" s="12">
        <f>VLOOKUP(C197,[1]report!$A$2:$Q$496,4,FALSE)</f>
        <v>97177614</v>
      </c>
      <c r="F197" s="12">
        <f>VLOOKUP(C197,[1]report!$A$2:$Q$496,5,FALSE)</f>
        <v>4120177687</v>
      </c>
      <c r="G197" s="12" t="str">
        <f>VLOOKUP(C197,[1]report!$A$2:$Q$496,8,FALSE)</f>
        <v>KotaMakassar-KotaCilegon</v>
      </c>
      <c r="H197" s="12" t="str">
        <f>VLOOKUP(C197,[1]report!$A$2:$Q$496,9,FALSE)</f>
        <v>14/09/2025 - 19/09/2025</v>
      </c>
      <c r="I197" s="13">
        <f>VLOOKUP(C197,[1]report!$A$2:$Q$496,17,FALSE)</f>
        <v>2001500</v>
      </c>
      <c r="J197" s="19"/>
    </row>
    <row r="198" spans="2:10" x14ac:dyDescent="0.25">
      <c r="B198" s="7">
        <v>193</v>
      </c>
      <c r="C198" s="11">
        <v>1285300577</v>
      </c>
      <c r="D198" s="12" t="str">
        <f>VLOOKUP(C198,[1]report!$A$2:$Q$496,3,FALSE)</f>
        <v>AMBO TUWO</v>
      </c>
      <c r="E198" s="12">
        <f>VLOOKUP(C198,[1]report!$A$2:$Q$496,4,FALSE)</f>
        <v>76027600</v>
      </c>
      <c r="F198" s="12">
        <f>VLOOKUP(C198,[1]report!$A$2:$Q$496,5,FALSE)</f>
        <v>4120177743</v>
      </c>
      <c r="G198" s="12" t="str">
        <f>VLOOKUP(C198,[1]report!$A$2:$Q$496,8,FALSE)</f>
        <v>Kota Makassar - Kota Bandung</v>
      </c>
      <c r="H198" s="12" t="str">
        <f>VLOOKUP(C198,[1]report!$A$2:$Q$496,9,FALSE)</f>
        <v>16/09/2025 - 18/09/2025</v>
      </c>
      <c r="I198" s="13">
        <f>VLOOKUP(C198,[1]report!$A$2:$Q$496,17,FALSE)</f>
        <v>2309700</v>
      </c>
      <c r="J198" s="19"/>
    </row>
    <row r="199" spans="2:10" x14ac:dyDescent="0.25">
      <c r="B199" s="7">
        <v>194</v>
      </c>
      <c r="C199" s="11">
        <v>1285362783</v>
      </c>
      <c r="D199" s="12" t="str">
        <f>VLOOKUP(C199,[1]report!$A$2:$Q$496,3,FALSE)</f>
        <v>DHYMAS WICAKSONO</v>
      </c>
      <c r="E199" s="12">
        <f>VLOOKUP(C199,[1]report!$A$2:$Q$496,4,FALSE)</f>
        <v>94197618</v>
      </c>
      <c r="F199" s="12">
        <f>VLOOKUP(C199,[1]report!$A$2:$Q$496,5,FALSE)</f>
        <v>4120177801</v>
      </c>
      <c r="G199" s="12" t="str">
        <f>VLOOKUP(C199,[1]report!$A$2:$Q$496,8,FALSE)</f>
        <v>Kab. Wajo - Kota Makassar</v>
      </c>
      <c r="H199" s="12" t="str">
        <f>VLOOKUP(C199,[1]report!$A$2:$Q$496,9,FALSE)</f>
        <v>18/09/2025 - 19/09/2025</v>
      </c>
      <c r="I199" s="13">
        <f>VLOOKUP(C199,[1]report!$A$2:$Q$496,17,FALSE)</f>
        <v>625228</v>
      </c>
      <c r="J199" s="19"/>
    </row>
    <row r="200" spans="2:10" x14ac:dyDescent="0.25">
      <c r="B200" s="7">
        <v>195</v>
      </c>
      <c r="C200" s="11">
        <v>1285326810</v>
      </c>
      <c r="D200" s="12" t="str">
        <f>VLOOKUP(C200,[1]report!$A$2:$Q$496,3,FALSE)</f>
        <v>RAHMAT HIDAYAT</v>
      </c>
      <c r="E200" s="12">
        <f>VLOOKUP(C200,[1]report!$A$2:$Q$496,4,FALSE)</f>
        <v>93127602</v>
      </c>
      <c r="F200" s="12">
        <f>VLOOKUP(C200,[1]report!$A$2:$Q$496,5,FALSE)</f>
        <v>4120177791</v>
      </c>
      <c r="G200" s="12" t="str">
        <f>VLOOKUP(C200,[1]report!$A$2:$Q$496,8,FALSE)</f>
        <v>Kab.PolewaliMandar-KotaMakassar</v>
      </c>
      <c r="H200" s="12" t="str">
        <f>VLOOKUP(C200,[1]report!$A$2:$Q$496,9,FALSE)</f>
        <v>17/09/2025 - 19/09/2025</v>
      </c>
      <c r="I200" s="13">
        <f>VLOOKUP(C200,[1]report!$A$2:$Q$496,17,FALSE)</f>
        <v>720000</v>
      </c>
      <c r="J200" s="19"/>
    </row>
    <row r="201" spans="2:10" x14ac:dyDescent="0.25">
      <c r="B201" s="7">
        <v>196</v>
      </c>
      <c r="C201" s="11">
        <v>1285332713</v>
      </c>
      <c r="D201" s="12" t="str">
        <f>VLOOKUP(C201,[1]report!$A$2:$Q$496,3,FALSE)</f>
        <v>SUPRIANTO MARWING</v>
      </c>
      <c r="E201" s="12">
        <f>VLOOKUP(C201,[1]report!$A$2:$Q$496,4,FALSE)</f>
        <v>95207607</v>
      </c>
      <c r="F201" s="12">
        <f>VLOOKUP(C201,[1]report!$A$2:$Q$496,5,FALSE)</f>
        <v>4120177777</v>
      </c>
      <c r="G201" s="12" t="str">
        <f>VLOOKUP(C201,[1]report!$A$2:$Q$496,8,FALSE)</f>
        <v>Kab.ButonTengah-KotaMakassar</v>
      </c>
      <c r="H201" s="12" t="str">
        <f>VLOOKUP(C201,[1]report!$A$2:$Q$496,9,FALSE)</f>
        <v>17/09/2025 - 19/09/2025</v>
      </c>
      <c r="I201" s="13">
        <f>VLOOKUP(C201,[1]report!$A$2:$Q$496,17,FALSE)</f>
        <v>729412</v>
      </c>
      <c r="J201" s="15"/>
    </row>
    <row r="202" spans="2:10" x14ac:dyDescent="0.25">
      <c r="B202" s="7">
        <v>197</v>
      </c>
      <c r="C202" s="11">
        <v>1285345975</v>
      </c>
      <c r="D202" s="12" t="str">
        <f>VLOOKUP(C202,[1]report!$A$2:$Q$496,3,FALSE)</f>
        <v>ANDI ANGGA SAPUTRA BATARA</v>
      </c>
      <c r="E202" s="12">
        <f>VLOOKUP(C202,[1]report!$A$2:$Q$496,4,FALSE)</f>
        <v>89087603</v>
      </c>
      <c r="F202" s="12">
        <f>VLOOKUP(C202,[1]report!$A$2:$Q$496,5,FALSE)</f>
        <v>4120177753</v>
      </c>
      <c r="G202" s="12" t="str">
        <f>VLOOKUP(C202,[1]report!$A$2:$Q$496,8,FALSE)</f>
        <v>KotaKendari-KotaMakassar</v>
      </c>
      <c r="H202" s="12" t="str">
        <f>VLOOKUP(C202,[1]report!$A$2:$Q$496,9,FALSE)</f>
        <v>17/09/2025 - 19/09/2025</v>
      </c>
      <c r="I202" s="13">
        <f>VLOOKUP(C202,[1]report!$A$2:$Q$496,17,FALSE)</f>
        <v>741000</v>
      </c>
      <c r="J202" s="19"/>
    </row>
    <row r="203" spans="2:10" x14ac:dyDescent="0.25">
      <c r="B203" s="7">
        <v>198</v>
      </c>
      <c r="C203" s="11">
        <v>1285432488</v>
      </c>
      <c r="D203" s="12" t="str">
        <f>VLOOKUP(C203,[1]report!$A$2:$Q$496,3,FALSE)</f>
        <v>ANGGIH PRASETYA</v>
      </c>
      <c r="E203" s="12">
        <f>VLOOKUP(C203,[1]report!$A$2:$Q$496,4,FALSE)</f>
        <v>88117613</v>
      </c>
      <c r="F203" s="12">
        <f>VLOOKUP(C203,[1]report!$A$2:$Q$496,5,FALSE)</f>
        <v>4120177784</v>
      </c>
      <c r="G203" s="12" t="str">
        <f>VLOOKUP(C203,[1]report!$A$2:$Q$496,8,FALSE)</f>
        <v>KotaBaubau-KotaMakassar</v>
      </c>
      <c r="H203" s="12" t="str">
        <f>VLOOKUP(C203,[1]report!$A$2:$Q$496,9,FALSE)</f>
        <v>17/09/2025 - 19/09/2025</v>
      </c>
      <c r="I203" s="13">
        <f>VLOOKUP(C203,[1]report!$A$2:$Q$496,17,FALSE)</f>
        <v>803950</v>
      </c>
      <c r="J203" s="19"/>
    </row>
    <row r="204" spans="2:10" x14ac:dyDescent="0.25">
      <c r="B204" s="7">
        <v>199</v>
      </c>
      <c r="C204" s="11">
        <v>1285470867</v>
      </c>
      <c r="D204" s="12" t="str">
        <f>VLOOKUP(C204,[1]report!$A$2:$Q$496,3,FALSE)</f>
        <v>ARDAYA PRATAMA</v>
      </c>
      <c r="E204" s="12">
        <f>VLOOKUP(C204,[1]report!$A$2:$Q$496,4,FALSE)</f>
        <v>1247601</v>
      </c>
      <c r="F204" s="12">
        <f>VLOOKUP(C204,[1]report!$A$2:$Q$496,5,FALSE)</f>
        <v>4120177772</v>
      </c>
      <c r="G204" s="12" t="str">
        <f>VLOOKUP(C204,[1]report!$A$2:$Q$496,8,FALSE)</f>
        <v>KotaBaubau-KotaMakassar</v>
      </c>
      <c r="H204" s="12" t="str">
        <f>VLOOKUP(C204,[1]report!$A$2:$Q$496,9,FALSE)</f>
        <v>17/09/2025 - 19/09/2025</v>
      </c>
      <c r="I204" s="13">
        <f>VLOOKUP(C204,[1]report!$A$2:$Q$496,17,FALSE)</f>
        <v>844100</v>
      </c>
      <c r="J204" s="19"/>
    </row>
    <row r="205" spans="2:10" x14ac:dyDescent="0.25">
      <c r="B205" s="7">
        <v>200</v>
      </c>
      <c r="C205" s="11">
        <v>1285398477</v>
      </c>
      <c r="D205" s="12" t="str">
        <f>VLOOKUP(C205,[1]report!$A$2:$Q$496,3,FALSE)</f>
        <v>M.SYAMSUL KAMAR</v>
      </c>
      <c r="E205" s="12">
        <f>VLOOKUP(C205,[1]report!$A$2:$Q$496,4,FALSE)</f>
        <v>71947602</v>
      </c>
      <c r="F205" s="12">
        <f>VLOOKUP(C205,[1]report!$A$2:$Q$496,5,FALSE)</f>
        <v>4120177728</v>
      </c>
      <c r="G205" s="12" t="str">
        <f>VLOOKUP(C205,[1]report!$A$2:$Q$496,8,FALSE)</f>
        <v>Kota Makassar - Kab. Kolaka - Kota Kendari</v>
      </c>
      <c r="H205" s="12" t="str">
        <f>VLOOKUP(C205,[1]report!$A$2:$Q$496,9,FALSE)</f>
        <v>16/09/2025 - 19/09/2025</v>
      </c>
      <c r="I205" s="13">
        <f>VLOOKUP(C205,[1]report!$A$2:$Q$496,17,FALSE)</f>
        <v>845100</v>
      </c>
      <c r="J205" s="19"/>
    </row>
    <row r="206" spans="2:10" x14ac:dyDescent="0.25">
      <c r="B206" s="7">
        <v>201</v>
      </c>
      <c r="C206" s="11">
        <v>1285438600</v>
      </c>
      <c r="D206" s="12" t="str">
        <f>VLOOKUP(C206,[1]report!$A$2:$Q$496,3,FALSE)</f>
        <v>M.SYAMSUL KAMAR</v>
      </c>
      <c r="E206" s="12">
        <f>VLOOKUP(C206,[1]report!$A$2:$Q$496,4,FALSE)</f>
        <v>71947602</v>
      </c>
      <c r="F206" s="12">
        <f>VLOOKUP(C206,[1]report!$A$2:$Q$496,5,FALSE)</f>
        <v>4120177728</v>
      </c>
      <c r="G206" s="12" t="str">
        <f>VLOOKUP(C206,[1]report!$A$2:$Q$496,8,FALSE)</f>
        <v>Kota Makassar - Kab. Kolaka - Kota Kendari</v>
      </c>
      <c r="H206" s="12" t="str">
        <f>VLOOKUP(C206,[1]report!$A$2:$Q$496,9,FALSE)</f>
        <v>16/09/2025 - 19/09/2025</v>
      </c>
      <c r="I206" s="13">
        <f>VLOOKUP(C206,[1]report!$A$2:$Q$496,17,FALSE)</f>
        <v>845100</v>
      </c>
      <c r="J206" s="19"/>
    </row>
    <row r="207" spans="2:10" x14ac:dyDescent="0.25">
      <c r="B207" s="7">
        <v>202</v>
      </c>
      <c r="C207" s="11">
        <v>1285355082</v>
      </c>
      <c r="D207" s="12" t="str">
        <f>VLOOKUP(C207,[1]report!$A$2:$Q$496,3,FALSE)</f>
        <v>HADHI BAGUS SETYANTO</v>
      </c>
      <c r="E207" s="12">
        <f>VLOOKUP(C207,[1]report!$A$2:$Q$496,4,FALSE)</f>
        <v>87117602</v>
      </c>
      <c r="F207" s="12">
        <f>VLOOKUP(C207,[1]report!$A$2:$Q$496,5,FALSE)</f>
        <v>4120177758</v>
      </c>
      <c r="G207" s="12" t="str">
        <f>VLOOKUP(C207,[1]report!$A$2:$Q$496,8,FALSE)</f>
        <v>Kota Makassar - Kota Malang</v>
      </c>
      <c r="H207" s="12" t="str">
        <f>VLOOKUP(C207,[1]report!$A$2:$Q$496,9,FALSE)</f>
        <v>16/09/2025 - 20/09/2025</v>
      </c>
      <c r="I207" s="13">
        <f>VLOOKUP(C207,[1]report!$A$2:$Q$496,17,FALSE)</f>
        <v>1141400</v>
      </c>
      <c r="J207" s="19"/>
    </row>
    <row r="208" spans="2:10" x14ac:dyDescent="0.25">
      <c r="B208" s="7">
        <v>203</v>
      </c>
      <c r="C208" s="11">
        <v>1285422005</v>
      </c>
      <c r="D208" s="12" t="str">
        <f>VLOOKUP(C208,[1]report!$A$2:$Q$496,3,FALSE)</f>
        <v>I WAYAN EDY PURNAMA ARSA</v>
      </c>
      <c r="E208" s="12">
        <f>VLOOKUP(C208,[1]report!$A$2:$Q$496,4,FALSE)</f>
        <v>91147609</v>
      </c>
      <c r="F208" s="12">
        <f>VLOOKUP(C208,[1]report!$A$2:$Q$496,5,FALSE)</f>
        <v>4120177844</v>
      </c>
      <c r="G208" s="12" t="str">
        <f>VLOOKUP(C208,[1]report!$A$2:$Q$496,8,FALSE)</f>
        <v>Kota Makassar - Kota Palopo</v>
      </c>
      <c r="H208" s="12" t="str">
        <f>VLOOKUP(C208,[1]report!$A$2:$Q$496,9,FALSE)</f>
        <v>22/09/2025 - 24/09/2025</v>
      </c>
      <c r="I208" s="13">
        <f>VLOOKUP(C208,[1]report!$A$2:$Q$496,17,FALSE)</f>
        <v>1355400</v>
      </c>
      <c r="J208" s="19"/>
    </row>
    <row r="209" spans="2:10" x14ac:dyDescent="0.25">
      <c r="B209" s="7">
        <v>204</v>
      </c>
      <c r="C209" s="11">
        <v>1285421353</v>
      </c>
      <c r="D209" s="12" t="str">
        <f>VLOOKUP(C209,[1]report!$A$2:$Q$496,3,FALSE)</f>
        <v>I WAYAN EDY PURNAMA ARSA</v>
      </c>
      <c r="E209" s="12">
        <f>VLOOKUP(C209,[1]report!$A$2:$Q$496,4,FALSE)</f>
        <v>91147609</v>
      </c>
      <c r="F209" s="12">
        <f>VLOOKUP(C209,[1]report!$A$2:$Q$496,5,FALSE)</f>
        <v>4120177844</v>
      </c>
      <c r="G209" s="12" t="str">
        <f>VLOOKUP(C209,[1]report!$A$2:$Q$496,8,FALSE)</f>
        <v>Kota Makassar - Kota Palopo</v>
      </c>
      <c r="H209" s="12" t="str">
        <f>VLOOKUP(C209,[1]report!$A$2:$Q$496,9,FALSE)</f>
        <v>22/09/2025 - 24/09/2025</v>
      </c>
      <c r="I209" s="13">
        <f>VLOOKUP(C209,[1]report!$A$2:$Q$496,17,FALSE)</f>
        <v>1455300</v>
      </c>
      <c r="J209" s="19"/>
    </row>
    <row r="210" spans="2:10" x14ac:dyDescent="0.25">
      <c r="B210" s="7">
        <v>205</v>
      </c>
      <c r="C210" s="16">
        <v>1285459596</v>
      </c>
      <c r="D210" s="12" t="str">
        <f>VLOOKUP(C210,[1]report!$A$2:$Q$496,3,FALSE)</f>
        <v>LELY SRIHANDAYANI</v>
      </c>
      <c r="E210" s="12">
        <f>VLOOKUP(C210,[1]report!$A$2:$Q$496,4,FALSE)</f>
        <v>85097604</v>
      </c>
      <c r="F210" s="12">
        <f>VLOOKUP(C210,[1]report!$A$2:$Q$496,5,FALSE)</f>
        <v>4120177819</v>
      </c>
      <c r="G210" s="12" t="str">
        <f>VLOOKUP(C210,[1]report!$A$2:$Q$496,8,FALSE)</f>
        <v>Kota Makassar - Kota Denpasar</v>
      </c>
      <c r="H210" s="12" t="str">
        <f>VLOOKUP(C210,[1]report!$A$2:$Q$496,9,FALSE)</f>
        <v>18/09/2025 - 20/09/2025</v>
      </c>
      <c r="I210" s="13">
        <f>VLOOKUP(C210,[1]report!$A$2:$Q$496,17,FALSE)</f>
        <v>1888000</v>
      </c>
      <c r="J210" s="20"/>
    </row>
    <row r="211" spans="2:10" x14ac:dyDescent="0.25">
      <c r="B211" s="7">
        <v>206</v>
      </c>
      <c r="C211" s="11">
        <v>1285472366</v>
      </c>
      <c r="D211" s="12" t="str">
        <f>VLOOKUP(C211,[1]report!$A$2:$Q$496,3,FALSE)</f>
        <v>NURUL SOFIANSYAH</v>
      </c>
      <c r="E211" s="12">
        <f>VLOOKUP(C211,[1]report!$A$2:$Q$496,4,FALSE)</f>
        <v>96187630</v>
      </c>
      <c r="F211" s="12">
        <f>VLOOKUP(C211,[1]report!$A$2:$Q$496,5,FALSE)</f>
        <v>4120177831</v>
      </c>
      <c r="G211" s="12" t="str">
        <f>VLOOKUP(C211,[1]report!$A$2:$Q$496,8,FALSE)</f>
        <v>Kota Makassar - Kota Semarang</v>
      </c>
      <c r="H211" s="12" t="str">
        <f>VLOOKUP(C211,[1]report!$A$2:$Q$496,9,FALSE)</f>
        <v>20/09/2025 - 24/09/2025</v>
      </c>
      <c r="I211" s="13">
        <f>VLOOKUP(C211,[1]report!$A$2:$Q$496,17,FALSE)</f>
        <v>2138100</v>
      </c>
      <c r="J211" s="19"/>
    </row>
    <row r="212" spans="2:10" x14ac:dyDescent="0.25">
      <c r="B212" s="7">
        <v>207</v>
      </c>
      <c r="C212" s="11">
        <v>1285472907</v>
      </c>
      <c r="D212" s="12" t="str">
        <f>VLOOKUP(C212,[1]report!$A$2:$Q$496,3,FALSE)</f>
        <v>REZA ANUGRAH</v>
      </c>
      <c r="E212" s="12">
        <f>VLOOKUP(C212,[1]report!$A$2:$Q$496,4,FALSE)</f>
        <v>96137687</v>
      </c>
      <c r="F212" s="12">
        <f>VLOOKUP(C212,[1]report!$A$2:$Q$496,5,FALSE)</f>
        <v>4120177834</v>
      </c>
      <c r="G212" s="12" t="str">
        <f>VLOOKUP(C212,[1]report!$A$2:$Q$496,8,FALSE)</f>
        <v>Kota Makassar - Kota Semarang</v>
      </c>
      <c r="H212" s="12" t="str">
        <f>VLOOKUP(C212,[1]report!$A$2:$Q$496,9,FALSE)</f>
        <v>20/09/2025 - 24/09/2025</v>
      </c>
      <c r="I212" s="13">
        <f>VLOOKUP(C212,[1]report!$A$2:$Q$496,17,FALSE)</f>
        <v>2138100</v>
      </c>
      <c r="J212" s="19"/>
    </row>
    <row r="213" spans="2:10" x14ac:dyDescent="0.25">
      <c r="B213" s="7">
        <v>208</v>
      </c>
      <c r="C213" s="11">
        <v>1285473007</v>
      </c>
      <c r="D213" s="12" t="str">
        <f>VLOOKUP(C213,[1]report!$A$2:$Q$496,3,FALSE)</f>
        <v>SIGIT TRI HARTANTO</v>
      </c>
      <c r="E213" s="12">
        <f>VLOOKUP(C213,[1]report!$A$2:$Q$496,4,FALSE)</f>
        <v>97187621</v>
      </c>
      <c r="F213" s="12">
        <f>VLOOKUP(C213,[1]report!$A$2:$Q$496,5,FALSE)</f>
        <v>4120177824</v>
      </c>
      <c r="G213" s="12" t="str">
        <f>VLOOKUP(C213,[1]report!$A$2:$Q$496,8,FALSE)</f>
        <v>Kota Makassar - Kota Semarang</v>
      </c>
      <c r="H213" s="12" t="str">
        <f>VLOOKUP(C213,[1]report!$A$2:$Q$496,9,FALSE)</f>
        <v>20/09/2025 - 24/09/2025</v>
      </c>
      <c r="I213" s="13">
        <f>VLOOKUP(C213,[1]report!$A$2:$Q$496,17,FALSE)</f>
        <v>2138100</v>
      </c>
      <c r="J213" s="19"/>
    </row>
    <row r="214" spans="2:10" x14ac:dyDescent="0.25">
      <c r="B214" s="7">
        <v>209</v>
      </c>
      <c r="C214" s="11">
        <v>1285472622</v>
      </c>
      <c r="D214" s="12" t="str">
        <f>VLOOKUP(C214,[1]report!$A$2:$Q$496,3,FALSE)</f>
        <v>MUHAMMAD NUR HADI</v>
      </c>
      <c r="E214" s="12">
        <f>VLOOKUP(C214,[1]report!$A$2:$Q$496,4,FALSE)</f>
        <v>97187630</v>
      </c>
      <c r="F214" s="12">
        <f>VLOOKUP(C214,[1]report!$A$2:$Q$496,5,FALSE)</f>
        <v>4120177821</v>
      </c>
      <c r="G214" s="12" t="str">
        <f>VLOOKUP(C214,[1]report!$A$2:$Q$496,8,FALSE)</f>
        <v>Kota Makassar - Kota Semarang</v>
      </c>
      <c r="H214" s="12" t="str">
        <f>VLOOKUP(C214,[1]report!$A$2:$Q$496,9,FALSE)</f>
        <v>20/09/2025 - 24/09/2025</v>
      </c>
      <c r="I214" s="13">
        <f>VLOOKUP(C214,[1]report!$A$2:$Q$496,17,FALSE)</f>
        <v>2138100</v>
      </c>
      <c r="J214" s="19"/>
    </row>
    <row r="215" spans="2:10" x14ac:dyDescent="0.25">
      <c r="B215" s="7">
        <v>210</v>
      </c>
      <c r="C215" s="11">
        <v>1285472663</v>
      </c>
      <c r="D215" s="12" t="str">
        <f>VLOOKUP(C215,[1]report!$A$2:$Q$496,3,FALSE)</f>
        <v>MUHAMMAD RAMADHAN</v>
      </c>
      <c r="E215" s="12">
        <f>VLOOKUP(C215,[1]report!$A$2:$Q$496,4,FALSE)</f>
        <v>96177625</v>
      </c>
      <c r="F215" s="12">
        <f>VLOOKUP(C215,[1]report!$A$2:$Q$496,5,FALSE)</f>
        <v>4120177839</v>
      </c>
      <c r="G215" s="12" t="str">
        <f>VLOOKUP(C215,[1]report!$A$2:$Q$496,8,FALSE)</f>
        <v>Kota Makassar - Kota Semarang</v>
      </c>
      <c r="H215" s="12" t="str">
        <f>VLOOKUP(C215,[1]report!$A$2:$Q$496,9,FALSE)</f>
        <v>20/09/2025 - 24/09/2025</v>
      </c>
      <c r="I215" s="13">
        <f>VLOOKUP(C215,[1]report!$A$2:$Q$496,17,FALSE)</f>
        <v>2138100</v>
      </c>
      <c r="J215" s="19"/>
    </row>
    <row r="216" spans="2:10" x14ac:dyDescent="0.25">
      <c r="B216" s="7">
        <v>211</v>
      </c>
      <c r="C216" s="11">
        <v>1285473075</v>
      </c>
      <c r="D216" s="12" t="str">
        <f>VLOOKUP(C216,[1]report!$A$2:$Q$496,3,FALSE)</f>
        <v>MUHAMMAD ISLAH FADHIL</v>
      </c>
      <c r="E216" s="12">
        <f>VLOOKUP(C216,[1]report!$A$2:$Q$496,4,FALSE)</f>
        <v>97177619</v>
      </c>
      <c r="F216" s="12">
        <f>VLOOKUP(C216,[1]report!$A$2:$Q$496,5,FALSE)</f>
        <v>4120177837</v>
      </c>
      <c r="G216" s="12" t="str">
        <f>VLOOKUP(C216,[1]report!$A$2:$Q$496,8,FALSE)</f>
        <v>Kota Makassar - Kota Semarang</v>
      </c>
      <c r="H216" s="12" t="str">
        <f>VLOOKUP(C216,[1]report!$A$2:$Q$496,9,FALSE)</f>
        <v>20/09/2025 - 24/09/2025</v>
      </c>
      <c r="I216" s="13">
        <f>VLOOKUP(C216,[1]report!$A$2:$Q$496,17,FALSE)</f>
        <v>2138100</v>
      </c>
      <c r="J216" s="19"/>
    </row>
    <row r="217" spans="2:10" x14ac:dyDescent="0.25">
      <c r="B217" s="7">
        <v>212</v>
      </c>
      <c r="C217" s="11">
        <v>1285472726</v>
      </c>
      <c r="D217" s="12" t="str">
        <f>VLOOKUP(C217,[1]report!$A$2:$Q$496,3,FALSE)</f>
        <v>MUHAMMAD RUM</v>
      </c>
      <c r="E217" s="12">
        <f>VLOOKUP(C217,[1]report!$A$2:$Q$496,4,FALSE)</f>
        <v>83087611</v>
      </c>
      <c r="F217" s="12">
        <f>VLOOKUP(C217,[1]report!$A$2:$Q$496,5,FALSE)</f>
        <v>4120177828</v>
      </c>
      <c r="G217" s="12" t="str">
        <f>VLOOKUP(C217,[1]report!$A$2:$Q$496,8,FALSE)</f>
        <v>Kota Makassar - Kota Semarang</v>
      </c>
      <c r="H217" s="12" t="str">
        <f>VLOOKUP(C217,[1]report!$A$2:$Q$496,9,FALSE)</f>
        <v>20/09/2025 - 24/09/2025</v>
      </c>
      <c r="I217" s="13">
        <f>VLOOKUP(C217,[1]report!$A$2:$Q$496,17,FALSE)</f>
        <v>2138100</v>
      </c>
      <c r="J217" s="19"/>
    </row>
    <row r="218" spans="2:10" x14ac:dyDescent="0.25">
      <c r="B218" s="7">
        <v>213</v>
      </c>
      <c r="C218" s="11">
        <v>1285472732</v>
      </c>
      <c r="D218" s="12" t="str">
        <f>VLOOKUP(C218,[1]report!$A$2:$Q$496,3,FALSE)</f>
        <v>MUHAMMAD FAJAR DWI AFANDI</v>
      </c>
      <c r="E218" s="12">
        <f>VLOOKUP(C218,[1]report!$A$2:$Q$496,4,FALSE)</f>
        <v>97187600</v>
      </c>
      <c r="F218" s="12">
        <f>VLOOKUP(C218,[1]report!$A$2:$Q$496,5,FALSE)</f>
        <v>4120177832</v>
      </c>
      <c r="G218" s="12" t="str">
        <f>VLOOKUP(C218,[1]report!$A$2:$Q$496,8,FALSE)</f>
        <v>Kota Makassar - Kota Semarang</v>
      </c>
      <c r="H218" s="12" t="str">
        <f>VLOOKUP(C218,[1]report!$A$2:$Q$496,9,FALSE)</f>
        <v>20/09/2025 - 24/09/2025</v>
      </c>
      <c r="I218" s="13">
        <f>VLOOKUP(C218,[1]report!$A$2:$Q$496,17,FALSE)</f>
        <v>2138100</v>
      </c>
      <c r="J218" s="19"/>
    </row>
    <row r="219" spans="2:10" x14ac:dyDescent="0.25">
      <c r="B219" s="7">
        <v>214</v>
      </c>
      <c r="C219" s="11">
        <v>1285472884</v>
      </c>
      <c r="D219" s="12" t="str">
        <f>VLOOKUP(C219,[1]report!$A$2:$Q$496,3,FALSE)</f>
        <v>SYAHRUL HARDIANSYAH</v>
      </c>
      <c r="E219" s="12">
        <f>VLOOKUP(C219,[1]report!$A$2:$Q$496,4,FALSE)</f>
        <v>97187605</v>
      </c>
      <c r="F219" s="12">
        <f>VLOOKUP(C219,[1]report!$A$2:$Q$496,5,FALSE)</f>
        <v>4120177838</v>
      </c>
      <c r="G219" s="12" t="str">
        <f>VLOOKUP(C219,[1]report!$A$2:$Q$496,8,FALSE)</f>
        <v>Kota Makassar - Kota Semarang</v>
      </c>
      <c r="H219" s="12" t="str">
        <f>VLOOKUP(C219,[1]report!$A$2:$Q$496,9,FALSE)</f>
        <v>20/09/2025 - 24/09/2025</v>
      </c>
      <c r="I219" s="13">
        <f>VLOOKUP(C219,[1]report!$A$2:$Q$496,17,FALSE)</f>
        <v>2138100</v>
      </c>
      <c r="J219" s="19"/>
    </row>
    <row r="220" spans="2:10" x14ac:dyDescent="0.25">
      <c r="B220" s="7">
        <v>215</v>
      </c>
      <c r="C220" s="11">
        <v>1285426407</v>
      </c>
      <c r="D220" s="12" t="str">
        <f>VLOOKUP(C220,[1]report!$A$2:$Q$496,3,FALSE)</f>
        <v>WENNY DIANA</v>
      </c>
      <c r="E220" s="12">
        <f>VLOOKUP(C220,[1]report!$A$2:$Q$496,4,FALSE)</f>
        <v>82097400</v>
      </c>
      <c r="F220" s="12">
        <f>VLOOKUP(C220,[1]report!$A$2:$Q$496,5,FALSE)</f>
        <v>4120177866</v>
      </c>
      <c r="G220" s="12" t="str">
        <f>VLOOKUP(C220,[1]report!$A$2:$Q$496,8,FALSE)</f>
        <v>Kota Makassar - Jakarta Selatan</v>
      </c>
      <c r="H220" s="12" t="str">
        <f>VLOOKUP(C220,[1]report!$A$2:$Q$496,9,FALSE)</f>
        <v>18/09/2025 - 19/09/2025</v>
      </c>
      <c r="I220" s="13">
        <f>VLOOKUP(C220,[1]report!$A$2:$Q$496,17,FALSE)</f>
        <v>2334400</v>
      </c>
      <c r="J220" s="19"/>
    </row>
    <row r="221" spans="2:10" x14ac:dyDescent="0.25">
      <c r="B221" s="7">
        <v>216</v>
      </c>
      <c r="C221" s="11">
        <v>1285459789</v>
      </c>
      <c r="D221" s="12" t="str">
        <f>VLOOKUP(C221,[1]report!$A$2:$Q$496,3,FALSE)</f>
        <v>MUHAMMAD ISMAIL</v>
      </c>
      <c r="E221" s="12">
        <f>VLOOKUP(C221,[1]report!$A$2:$Q$496,4,FALSE)</f>
        <v>78027603</v>
      </c>
      <c r="F221" s="12">
        <f>VLOOKUP(C221,[1]report!$A$2:$Q$496,5,FALSE)</f>
        <v>4120177865</v>
      </c>
      <c r="G221" s="12" t="str">
        <f>VLOOKUP(C221,[1]report!$A$2:$Q$496,8,FALSE)</f>
        <v>Kota Makassar - Jakarta Selatan</v>
      </c>
      <c r="H221" s="12" t="str">
        <f>VLOOKUP(C221,[1]report!$A$2:$Q$496,9,FALSE)</f>
        <v>18/09/2025 - 19/09/2025</v>
      </c>
      <c r="I221" s="13">
        <f>VLOOKUP(C221,[1]report!$A$2:$Q$496,17,FALSE)</f>
        <v>2345200</v>
      </c>
      <c r="J221" s="19"/>
    </row>
    <row r="222" spans="2:10" x14ac:dyDescent="0.25">
      <c r="B222" s="7">
        <v>217</v>
      </c>
      <c r="C222" s="11">
        <v>1285421342</v>
      </c>
      <c r="D222" s="12" t="str">
        <f>VLOOKUP(C222,[1]report!$A$2:$Q$496,3,FALSE)</f>
        <v>KOMANG YEHUDA PRAWIRA</v>
      </c>
      <c r="E222" s="12">
        <f>VLOOKUP(C222,[1]report!$A$2:$Q$496,4,FALSE)</f>
        <v>86098203</v>
      </c>
      <c r="F222" s="12">
        <f>VLOOKUP(C222,[1]report!$A$2:$Q$496,5,FALSE)</f>
        <v>4120177845</v>
      </c>
      <c r="G222" s="12" t="str">
        <f>VLOOKUP(C222,[1]report!$A$2:$Q$496,8,FALSE)</f>
        <v>Kota Makassar - Kota Palopo</v>
      </c>
      <c r="H222" s="12" t="str">
        <f>VLOOKUP(C222,[1]report!$A$2:$Q$496,9,FALSE)</f>
        <v>22/09/2025 - 24/09/2025</v>
      </c>
      <c r="I222" s="13">
        <f>VLOOKUP(C222,[1]report!$A$2:$Q$496,17,FALSE)</f>
        <v>2810700</v>
      </c>
      <c r="J222" s="19"/>
    </row>
    <row r="223" spans="2:10" hidden="1" x14ac:dyDescent="0.25">
      <c r="B223" s="7">
        <v>218</v>
      </c>
      <c r="C223" s="11"/>
      <c r="D223" s="12"/>
      <c r="E223" s="7"/>
      <c r="F223" s="7"/>
      <c r="G223" s="12"/>
      <c r="H223" s="12"/>
      <c r="I223" s="13"/>
      <c r="J223" s="19"/>
    </row>
    <row r="224" spans="2:10" hidden="1" x14ac:dyDescent="0.25">
      <c r="B224" s="7">
        <v>219</v>
      </c>
      <c r="C224" s="11"/>
      <c r="D224" s="12"/>
      <c r="E224" s="7"/>
      <c r="F224" s="7"/>
      <c r="G224" s="12"/>
      <c r="H224" s="12"/>
      <c r="I224" s="13"/>
      <c r="J224" s="19"/>
    </row>
    <row r="225" spans="2:10" hidden="1" x14ac:dyDescent="0.25">
      <c r="B225" s="7">
        <v>220</v>
      </c>
      <c r="C225" s="11"/>
      <c r="D225" s="12"/>
      <c r="E225" s="7"/>
      <c r="F225" s="7"/>
      <c r="G225" s="12"/>
      <c r="H225" s="12"/>
      <c r="I225" s="13"/>
      <c r="J225" s="19"/>
    </row>
    <row r="226" spans="2:10" hidden="1" x14ac:dyDescent="0.25">
      <c r="B226" s="7">
        <v>221</v>
      </c>
      <c r="C226" s="11"/>
      <c r="D226" s="12"/>
      <c r="E226" s="7"/>
      <c r="F226" s="7"/>
      <c r="G226" s="12"/>
      <c r="H226" s="12"/>
      <c r="I226" s="13"/>
      <c r="J226" s="19"/>
    </row>
    <row r="227" spans="2:10" hidden="1" x14ac:dyDescent="0.25">
      <c r="B227" s="7">
        <v>222</v>
      </c>
      <c r="C227" s="11"/>
      <c r="D227" s="12"/>
      <c r="E227" s="7"/>
      <c r="F227" s="7"/>
      <c r="G227" s="12"/>
      <c r="H227" s="12"/>
      <c r="I227" s="13"/>
      <c r="J227" s="19"/>
    </row>
    <row r="228" spans="2:10" hidden="1" x14ac:dyDescent="0.25">
      <c r="B228" s="7">
        <v>223</v>
      </c>
      <c r="C228" s="11"/>
      <c r="D228" s="12"/>
      <c r="E228" s="7"/>
      <c r="F228" s="7"/>
      <c r="G228" s="12"/>
      <c r="H228" s="12"/>
      <c r="I228" s="13"/>
      <c r="J228" s="19"/>
    </row>
    <row r="229" spans="2:10" hidden="1" x14ac:dyDescent="0.25">
      <c r="B229" s="7">
        <v>224</v>
      </c>
      <c r="C229" s="11"/>
      <c r="D229" s="12"/>
      <c r="E229" s="7"/>
      <c r="F229" s="7"/>
      <c r="G229" s="12"/>
      <c r="H229" s="12"/>
      <c r="I229" s="13"/>
      <c r="J229" s="19"/>
    </row>
    <row r="230" spans="2:10" hidden="1" x14ac:dyDescent="0.25">
      <c r="B230" s="7">
        <v>225</v>
      </c>
      <c r="C230" s="11"/>
      <c r="D230" s="12"/>
      <c r="E230" s="7"/>
      <c r="F230" s="7"/>
      <c r="G230" s="12"/>
      <c r="H230" s="12"/>
      <c r="I230" s="13"/>
      <c r="J230" s="19"/>
    </row>
    <row r="231" spans="2:10" hidden="1" x14ac:dyDescent="0.25">
      <c r="B231" s="7">
        <v>226</v>
      </c>
      <c r="C231" s="11"/>
      <c r="D231" s="12"/>
      <c r="E231" s="7"/>
      <c r="F231" s="7"/>
      <c r="G231" s="12"/>
      <c r="H231" s="12"/>
      <c r="I231" s="13"/>
      <c r="J231" s="15"/>
    </row>
    <row r="232" spans="2:10" hidden="1" x14ac:dyDescent="0.25">
      <c r="B232" s="7">
        <v>227</v>
      </c>
      <c r="C232" s="11"/>
      <c r="D232" s="12"/>
      <c r="E232" s="7"/>
      <c r="F232" s="7"/>
      <c r="G232" s="12"/>
      <c r="H232" s="12"/>
      <c r="I232" s="13"/>
      <c r="J232" s="19"/>
    </row>
    <row r="233" spans="2:10" hidden="1" x14ac:dyDescent="0.25">
      <c r="B233" s="7">
        <v>228</v>
      </c>
      <c r="C233" s="11"/>
      <c r="D233" s="12"/>
      <c r="E233" s="7"/>
      <c r="F233" s="7"/>
      <c r="G233" s="12"/>
      <c r="H233" s="12"/>
      <c r="I233" s="13"/>
      <c r="J233" s="19"/>
    </row>
    <row r="234" spans="2:10" hidden="1" x14ac:dyDescent="0.25">
      <c r="B234" s="7">
        <v>229</v>
      </c>
      <c r="C234" s="11"/>
      <c r="D234" s="12"/>
      <c r="E234" s="7"/>
      <c r="F234" s="7"/>
      <c r="G234" s="12"/>
      <c r="H234" s="12"/>
      <c r="I234" s="13"/>
      <c r="J234" s="19"/>
    </row>
    <row r="235" spans="2:10" hidden="1" x14ac:dyDescent="0.25">
      <c r="B235" s="7">
        <v>230</v>
      </c>
      <c r="C235" s="11"/>
      <c r="D235" s="12"/>
      <c r="E235" s="7"/>
      <c r="F235" s="7"/>
      <c r="G235" s="12"/>
      <c r="H235" s="12"/>
      <c r="I235" s="13"/>
      <c r="J235" s="15"/>
    </row>
    <row r="236" spans="2:10" hidden="1" x14ac:dyDescent="0.25">
      <c r="B236" s="7">
        <v>231</v>
      </c>
      <c r="C236" s="11"/>
      <c r="D236" s="12"/>
      <c r="E236" s="7"/>
      <c r="F236" s="7"/>
      <c r="G236" s="12"/>
      <c r="H236" s="12"/>
      <c r="I236" s="13"/>
      <c r="J236" s="15"/>
    </row>
    <row r="237" spans="2:10" hidden="1" x14ac:dyDescent="0.25">
      <c r="B237" s="7">
        <v>232</v>
      </c>
      <c r="C237" s="11"/>
      <c r="D237" s="12"/>
      <c r="E237" s="7"/>
      <c r="F237" s="7"/>
      <c r="G237" s="12"/>
      <c r="H237" s="12"/>
      <c r="I237" s="13"/>
      <c r="J237" s="19"/>
    </row>
    <row r="238" spans="2:10" hidden="1" x14ac:dyDescent="0.25">
      <c r="B238" s="7">
        <v>233</v>
      </c>
      <c r="C238" s="11"/>
      <c r="D238" s="12"/>
      <c r="E238" s="7"/>
      <c r="F238" s="7"/>
      <c r="G238" s="12"/>
      <c r="H238" s="12"/>
      <c r="I238" s="13"/>
      <c r="J238" s="19"/>
    </row>
    <row r="239" spans="2:10" hidden="1" x14ac:dyDescent="0.25">
      <c r="B239" s="7">
        <v>234</v>
      </c>
      <c r="C239" s="11"/>
      <c r="D239" s="12"/>
      <c r="E239" s="7"/>
      <c r="F239" s="7"/>
      <c r="G239" s="12"/>
      <c r="H239" s="12"/>
      <c r="I239" s="13"/>
      <c r="J239" s="19"/>
    </row>
    <row r="240" spans="2:10" hidden="1" x14ac:dyDescent="0.25">
      <c r="B240" s="7">
        <v>235</v>
      </c>
      <c r="C240" s="16"/>
      <c r="D240" s="12"/>
      <c r="E240" s="7"/>
      <c r="F240" s="7"/>
      <c r="G240" s="12"/>
      <c r="H240" s="12"/>
      <c r="I240" s="13"/>
      <c r="J240" s="21"/>
    </row>
    <row r="241" spans="2:10" hidden="1" x14ac:dyDescent="0.25">
      <c r="B241" s="7">
        <v>236</v>
      </c>
      <c r="C241" s="11"/>
      <c r="D241" s="12"/>
      <c r="E241" s="7"/>
      <c r="F241" s="7"/>
      <c r="G241" s="12"/>
      <c r="H241" s="12"/>
      <c r="I241" s="13"/>
      <c r="J241" s="22"/>
    </row>
    <row r="242" spans="2:10" hidden="1" x14ac:dyDescent="0.25">
      <c r="B242" s="7">
        <v>237</v>
      </c>
      <c r="C242" s="11"/>
      <c r="D242" s="12"/>
      <c r="E242" s="7"/>
      <c r="F242" s="7"/>
      <c r="G242" s="12"/>
      <c r="H242" s="12"/>
      <c r="I242" s="13"/>
      <c r="J242" s="22"/>
    </row>
    <row r="243" spans="2:10" hidden="1" x14ac:dyDescent="0.25">
      <c r="B243" s="7">
        <v>238</v>
      </c>
      <c r="C243" s="11"/>
      <c r="D243" s="12"/>
      <c r="E243" s="7"/>
      <c r="F243" s="7"/>
      <c r="G243" s="12"/>
      <c r="H243" s="12"/>
      <c r="I243" s="13"/>
      <c r="J243" s="19"/>
    </row>
    <row r="244" spans="2:10" hidden="1" x14ac:dyDescent="0.25">
      <c r="B244" s="7">
        <v>239</v>
      </c>
      <c r="C244" s="11"/>
      <c r="D244" s="12"/>
      <c r="E244" s="7"/>
      <c r="F244" s="7"/>
      <c r="G244" s="12"/>
      <c r="H244" s="12"/>
      <c r="I244" s="13"/>
      <c r="J244" s="22"/>
    </row>
    <row r="245" spans="2:10" hidden="1" x14ac:dyDescent="0.25">
      <c r="B245" s="7">
        <v>240</v>
      </c>
      <c r="C245" s="11"/>
      <c r="D245" s="12"/>
      <c r="E245" s="7"/>
      <c r="F245" s="7"/>
      <c r="G245" s="12"/>
      <c r="H245" s="12"/>
      <c r="I245" s="13"/>
      <c r="J245" s="15"/>
    </row>
    <row r="246" spans="2:10" hidden="1" x14ac:dyDescent="0.25">
      <c r="B246" s="7">
        <v>241</v>
      </c>
      <c r="C246" s="11"/>
      <c r="D246" s="12"/>
      <c r="E246" s="7"/>
      <c r="F246" s="7"/>
      <c r="G246" s="12"/>
      <c r="H246" s="12"/>
      <c r="I246" s="13"/>
      <c r="J246" s="22"/>
    </row>
    <row r="247" spans="2:10" hidden="1" x14ac:dyDescent="0.25">
      <c r="B247" s="7">
        <v>242</v>
      </c>
      <c r="C247" s="11"/>
      <c r="D247" s="12"/>
      <c r="E247" s="7"/>
      <c r="F247" s="7"/>
      <c r="G247" s="12"/>
      <c r="H247" s="12"/>
      <c r="I247" s="13"/>
      <c r="J247" s="15"/>
    </row>
    <row r="248" spans="2:10" hidden="1" x14ac:dyDescent="0.25">
      <c r="B248" s="7">
        <v>243</v>
      </c>
      <c r="C248" s="11"/>
      <c r="D248" s="12"/>
      <c r="E248" s="7"/>
      <c r="F248" s="7"/>
      <c r="G248" s="12"/>
      <c r="H248" s="12"/>
      <c r="I248" s="13"/>
      <c r="J248" s="22"/>
    </row>
    <row r="249" spans="2:10" hidden="1" x14ac:dyDescent="0.25">
      <c r="B249" s="7">
        <v>244</v>
      </c>
      <c r="C249" s="11"/>
      <c r="D249" s="12"/>
      <c r="E249" s="7"/>
      <c r="F249" s="7"/>
      <c r="G249" s="12"/>
      <c r="H249" s="12"/>
      <c r="I249" s="13"/>
      <c r="J249" s="22"/>
    </row>
    <row r="250" spans="2:10" hidden="1" x14ac:dyDescent="0.25">
      <c r="B250" s="7">
        <v>245</v>
      </c>
      <c r="C250" s="11"/>
      <c r="D250" s="12"/>
      <c r="E250" s="7"/>
      <c r="F250" s="7"/>
      <c r="G250" s="12"/>
      <c r="H250" s="12"/>
      <c r="I250" s="13"/>
      <c r="J250" s="22"/>
    </row>
    <row r="251" spans="2:10" hidden="1" x14ac:dyDescent="0.25">
      <c r="B251" s="7">
        <v>246</v>
      </c>
      <c r="C251" s="11"/>
      <c r="D251" s="12"/>
      <c r="E251" s="7"/>
      <c r="F251" s="7"/>
      <c r="G251" s="12"/>
      <c r="H251" s="12"/>
      <c r="I251" s="13"/>
      <c r="J251" s="22"/>
    </row>
    <row r="252" spans="2:10" hidden="1" x14ac:dyDescent="0.25">
      <c r="B252" s="7">
        <v>247</v>
      </c>
      <c r="C252" s="11"/>
      <c r="D252" s="12"/>
      <c r="E252" s="7"/>
      <c r="F252" s="7"/>
      <c r="G252" s="12"/>
      <c r="H252" s="12"/>
      <c r="I252" s="13"/>
      <c r="J252" s="22"/>
    </row>
    <row r="253" spans="2:10" hidden="1" x14ac:dyDescent="0.25">
      <c r="B253" s="7">
        <v>248</v>
      </c>
      <c r="C253" s="11"/>
      <c r="D253" s="12"/>
      <c r="E253" s="7"/>
      <c r="F253" s="7"/>
      <c r="G253" s="12"/>
      <c r="H253" s="12"/>
      <c r="I253" s="13"/>
      <c r="J253" s="22"/>
    </row>
    <row r="254" spans="2:10" hidden="1" x14ac:dyDescent="0.25">
      <c r="B254" s="7">
        <v>249</v>
      </c>
      <c r="C254" s="11"/>
      <c r="D254" s="12"/>
      <c r="E254" s="7"/>
      <c r="F254" s="7"/>
      <c r="G254" s="12"/>
      <c r="H254" s="12"/>
      <c r="I254" s="13"/>
      <c r="J254" s="22"/>
    </row>
    <row r="255" spans="2:10" hidden="1" x14ac:dyDescent="0.25">
      <c r="B255" s="7">
        <v>250</v>
      </c>
      <c r="C255" s="11"/>
      <c r="D255" s="12"/>
      <c r="E255" s="7"/>
      <c r="F255" s="7"/>
      <c r="G255" s="12"/>
      <c r="H255" s="12"/>
      <c r="I255" s="13"/>
      <c r="J255" s="22"/>
    </row>
    <row r="256" spans="2:10" hidden="1" x14ac:dyDescent="0.25">
      <c r="B256" s="7">
        <v>251</v>
      </c>
      <c r="C256" s="11"/>
      <c r="D256" s="12"/>
      <c r="E256" s="7"/>
      <c r="F256" s="7"/>
      <c r="G256" s="12"/>
      <c r="H256" s="12"/>
      <c r="I256" s="13"/>
      <c r="J256" s="22"/>
    </row>
    <row r="257" spans="2:10" hidden="1" x14ac:dyDescent="0.25">
      <c r="B257" s="7">
        <v>252</v>
      </c>
      <c r="C257" s="11"/>
      <c r="D257" s="12"/>
      <c r="E257" s="7"/>
      <c r="F257" s="7"/>
      <c r="G257" s="12"/>
      <c r="H257" s="12"/>
      <c r="I257" s="13"/>
      <c r="J257" s="22"/>
    </row>
    <row r="258" spans="2:10" hidden="1" x14ac:dyDescent="0.25">
      <c r="B258" s="7">
        <v>253</v>
      </c>
      <c r="C258" s="11"/>
      <c r="D258" s="12"/>
      <c r="E258" s="7"/>
      <c r="F258" s="7"/>
      <c r="G258" s="12"/>
      <c r="H258" s="12"/>
      <c r="I258" s="13"/>
      <c r="J258" s="22"/>
    </row>
    <row r="259" spans="2:10" hidden="1" x14ac:dyDescent="0.25">
      <c r="B259" s="7">
        <v>254</v>
      </c>
      <c r="C259" s="11"/>
      <c r="D259" s="12"/>
      <c r="E259" s="7"/>
      <c r="F259" s="7"/>
      <c r="G259" s="12"/>
      <c r="H259" s="12"/>
      <c r="I259" s="13"/>
      <c r="J259" s="22"/>
    </row>
    <row r="260" spans="2:10" hidden="1" x14ac:dyDescent="0.25">
      <c r="B260" s="7">
        <v>255</v>
      </c>
      <c r="C260" s="11"/>
      <c r="D260" s="12"/>
      <c r="E260" s="7"/>
      <c r="F260" s="7"/>
      <c r="G260" s="12"/>
      <c r="H260" s="12"/>
      <c r="I260" s="13"/>
      <c r="J260" s="22"/>
    </row>
    <row r="261" spans="2:10" hidden="1" x14ac:dyDescent="0.25">
      <c r="B261" s="7">
        <v>256</v>
      </c>
      <c r="C261" s="11"/>
      <c r="D261" s="12"/>
      <c r="E261" s="7"/>
      <c r="F261" s="7"/>
      <c r="G261" s="12"/>
      <c r="H261" s="12"/>
      <c r="I261" s="13"/>
      <c r="J261" s="15"/>
    </row>
    <row r="262" spans="2:10" hidden="1" x14ac:dyDescent="0.25">
      <c r="B262" s="7">
        <v>257</v>
      </c>
      <c r="C262" s="11"/>
      <c r="D262" s="12"/>
      <c r="E262" s="7"/>
      <c r="F262" s="7"/>
      <c r="G262" s="12"/>
      <c r="H262" s="12"/>
      <c r="I262" s="13"/>
      <c r="J262" s="22"/>
    </row>
    <row r="263" spans="2:10" hidden="1" x14ac:dyDescent="0.25">
      <c r="B263" s="7">
        <v>258</v>
      </c>
      <c r="C263" s="11"/>
      <c r="D263" s="12"/>
      <c r="E263" s="7"/>
      <c r="F263" s="7"/>
      <c r="G263" s="12"/>
      <c r="H263" s="12"/>
      <c r="I263" s="13"/>
      <c r="J263" s="22"/>
    </row>
    <row r="264" spans="2:10" hidden="1" x14ac:dyDescent="0.25">
      <c r="B264" s="7">
        <v>259</v>
      </c>
      <c r="C264" s="11"/>
      <c r="D264" s="12"/>
      <c r="E264" s="7"/>
      <c r="F264" s="7"/>
      <c r="G264" s="12"/>
      <c r="H264" s="12"/>
      <c r="I264" s="13"/>
      <c r="J264" s="22"/>
    </row>
    <row r="265" spans="2:10" hidden="1" x14ac:dyDescent="0.25">
      <c r="B265" s="7">
        <v>260</v>
      </c>
      <c r="C265" s="11"/>
      <c r="D265" s="12"/>
      <c r="E265" s="7"/>
      <c r="F265" s="7"/>
      <c r="G265" s="12"/>
      <c r="H265" s="12"/>
      <c r="I265" s="13"/>
      <c r="J265" s="22"/>
    </row>
    <row r="266" spans="2:10" hidden="1" x14ac:dyDescent="0.25">
      <c r="B266" s="7">
        <v>261</v>
      </c>
      <c r="C266" s="11"/>
      <c r="D266" s="12"/>
      <c r="E266" s="7"/>
      <c r="F266" s="7"/>
      <c r="G266" s="12"/>
      <c r="H266" s="12"/>
      <c r="I266" s="13"/>
      <c r="J266" s="22"/>
    </row>
    <row r="267" spans="2:10" hidden="1" x14ac:dyDescent="0.25">
      <c r="B267" s="7">
        <v>262</v>
      </c>
      <c r="C267" s="11"/>
      <c r="D267" s="12"/>
      <c r="E267" s="7"/>
      <c r="F267" s="7"/>
      <c r="G267" s="12"/>
      <c r="H267" s="12"/>
      <c r="I267" s="13"/>
      <c r="J267" s="22"/>
    </row>
    <row r="268" spans="2:10" hidden="1" x14ac:dyDescent="0.25">
      <c r="B268" s="7">
        <v>263</v>
      </c>
      <c r="C268" s="11"/>
      <c r="D268" s="12"/>
      <c r="E268" s="7"/>
      <c r="F268" s="7"/>
      <c r="G268" s="12"/>
      <c r="H268" s="12"/>
      <c r="I268" s="13"/>
      <c r="J268" s="22"/>
    </row>
    <row r="269" spans="2:10" hidden="1" x14ac:dyDescent="0.25">
      <c r="B269" s="7">
        <v>264</v>
      </c>
      <c r="C269" s="11"/>
      <c r="D269" s="12"/>
      <c r="E269" s="7"/>
      <c r="F269" s="7"/>
      <c r="G269" s="12"/>
      <c r="H269" s="12"/>
      <c r="I269" s="13"/>
      <c r="J269" s="22"/>
    </row>
    <row r="270" spans="2:10" hidden="1" x14ac:dyDescent="0.25">
      <c r="B270" s="7">
        <v>265</v>
      </c>
      <c r="C270" s="11"/>
      <c r="D270" s="12"/>
      <c r="E270" s="7"/>
      <c r="F270" s="7"/>
      <c r="G270" s="12"/>
      <c r="H270" s="12"/>
      <c r="I270" s="13"/>
      <c r="J270" s="22"/>
    </row>
    <row r="271" spans="2:10" hidden="1" x14ac:dyDescent="0.25">
      <c r="B271" s="7">
        <v>266</v>
      </c>
      <c r="C271" s="11"/>
      <c r="D271" s="12"/>
      <c r="E271" s="7"/>
      <c r="F271" s="7"/>
      <c r="G271" s="12"/>
      <c r="H271" s="12"/>
      <c r="I271" s="13"/>
      <c r="J271" s="22"/>
    </row>
    <row r="272" spans="2:10" hidden="1" x14ac:dyDescent="0.25">
      <c r="B272" s="7">
        <v>267</v>
      </c>
      <c r="C272" s="11"/>
      <c r="D272" s="12"/>
      <c r="E272" s="7"/>
      <c r="F272" s="7"/>
      <c r="G272" s="12"/>
      <c r="H272" s="12"/>
      <c r="I272" s="13"/>
      <c r="J272" s="22"/>
    </row>
    <row r="273" spans="2:10" hidden="1" x14ac:dyDescent="0.25">
      <c r="B273" s="7">
        <v>268</v>
      </c>
      <c r="C273" s="11"/>
      <c r="D273" s="12"/>
      <c r="E273" s="7"/>
      <c r="F273" s="7"/>
      <c r="G273" s="12"/>
      <c r="H273" s="12"/>
      <c r="I273" s="13"/>
      <c r="J273" s="22"/>
    </row>
    <row r="274" spans="2:10" hidden="1" x14ac:dyDescent="0.25">
      <c r="B274" s="7">
        <v>269</v>
      </c>
      <c r="C274" s="11"/>
      <c r="D274" s="12"/>
      <c r="E274" s="7"/>
      <c r="F274" s="7"/>
      <c r="G274" s="12"/>
      <c r="H274" s="12"/>
      <c r="I274" s="13"/>
      <c r="J274" s="22"/>
    </row>
    <row r="275" spans="2:10" hidden="1" x14ac:dyDescent="0.25">
      <c r="B275" s="7">
        <v>270</v>
      </c>
      <c r="C275" s="11"/>
      <c r="D275" s="12"/>
      <c r="E275" s="7"/>
      <c r="F275" s="7"/>
      <c r="G275" s="12"/>
      <c r="H275" s="12"/>
      <c r="I275" s="13"/>
      <c r="J275" s="22"/>
    </row>
    <row r="276" spans="2:10" hidden="1" x14ac:dyDescent="0.25">
      <c r="B276" s="7">
        <v>271</v>
      </c>
      <c r="C276" s="11"/>
      <c r="D276" s="12"/>
      <c r="E276" s="7"/>
      <c r="F276" s="7"/>
      <c r="G276" s="12"/>
      <c r="H276" s="12"/>
      <c r="I276" s="13"/>
      <c r="J276" s="22"/>
    </row>
    <row r="277" spans="2:10" hidden="1" x14ac:dyDescent="0.25">
      <c r="B277" s="7">
        <v>272</v>
      </c>
      <c r="C277" s="11"/>
      <c r="D277" s="12"/>
      <c r="E277" s="7"/>
      <c r="F277" s="7"/>
      <c r="G277" s="12"/>
      <c r="H277" s="12"/>
      <c r="I277" s="13"/>
      <c r="J277" s="22"/>
    </row>
    <row r="278" spans="2:10" hidden="1" x14ac:dyDescent="0.25">
      <c r="B278" s="7">
        <v>273</v>
      </c>
      <c r="C278" s="11"/>
      <c r="D278" s="12"/>
      <c r="E278" s="7"/>
      <c r="F278" s="7"/>
      <c r="G278" s="12"/>
      <c r="H278" s="12"/>
      <c r="I278" s="13"/>
      <c r="J278" s="22"/>
    </row>
    <row r="279" spans="2:10" hidden="1" x14ac:dyDescent="0.25">
      <c r="B279" s="7">
        <v>274</v>
      </c>
      <c r="C279" s="11"/>
      <c r="D279" s="12"/>
      <c r="E279" s="7"/>
      <c r="F279" s="7"/>
      <c r="G279" s="12"/>
      <c r="H279" s="12"/>
      <c r="I279" s="13"/>
      <c r="J279" s="22"/>
    </row>
    <row r="280" spans="2:10" hidden="1" x14ac:dyDescent="0.25">
      <c r="B280" s="7">
        <v>275</v>
      </c>
      <c r="C280" s="11"/>
      <c r="D280" s="12"/>
      <c r="E280" s="7"/>
      <c r="F280" s="7"/>
      <c r="G280" s="12"/>
      <c r="H280" s="12"/>
      <c r="I280" s="13"/>
      <c r="J280" s="22"/>
    </row>
    <row r="281" spans="2:10" hidden="1" x14ac:dyDescent="0.25">
      <c r="B281" s="7">
        <v>276</v>
      </c>
      <c r="C281" s="11"/>
      <c r="D281" s="12"/>
      <c r="E281" s="7"/>
      <c r="F281" s="7"/>
      <c r="G281" s="12"/>
      <c r="H281" s="12"/>
      <c r="I281" s="13"/>
      <c r="J281" s="22"/>
    </row>
    <row r="282" spans="2:10" hidden="1" x14ac:dyDescent="0.25">
      <c r="B282" s="7">
        <v>277</v>
      </c>
      <c r="C282" s="11"/>
      <c r="D282" s="12"/>
      <c r="E282" s="7"/>
      <c r="F282" s="7"/>
      <c r="G282" s="12"/>
      <c r="H282" s="12"/>
      <c r="I282" s="13"/>
      <c r="J282" s="22"/>
    </row>
    <row r="283" spans="2:10" hidden="1" x14ac:dyDescent="0.25">
      <c r="B283" s="7">
        <v>278</v>
      </c>
      <c r="C283" s="11"/>
      <c r="D283" s="12"/>
      <c r="E283" s="7"/>
      <c r="F283" s="7"/>
      <c r="G283" s="12"/>
      <c r="H283" s="12"/>
      <c r="I283" s="13"/>
      <c r="J283" s="22"/>
    </row>
    <row r="284" spans="2:10" hidden="1" x14ac:dyDescent="0.25">
      <c r="B284" s="7">
        <v>279</v>
      </c>
      <c r="C284" s="11"/>
      <c r="D284" s="12"/>
      <c r="E284" s="7"/>
      <c r="F284" s="7"/>
      <c r="G284" s="12"/>
      <c r="H284" s="12"/>
      <c r="I284" s="13"/>
      <c r="J284" s="22"/>
    </row>
    <row r="285" spans="2:10" hidden="1" x14ac:dyDescent="0.25">
      <c r="B285" s="7">
        <v>280</v>
      </c>
      <c r="C285" s="11"/>
      <c r="D285" s="12"/>
      <c r="E285" s="7"/>
      <c r="F285" s="7"/>
      <c r="G285" s="12"/>
      <c r="H285" s="12"/>
      <c r="I285" s="13"/>
      <c r="J285" s="22"/>
    </row>
    <row r="286" spans="2:10" hidden="1" x14ac:dyDescent="0.25">
      <c r="B286" s="7">
        <v>281</v>
      </c>
      <c r="C286" s="11"/>
      <c r="D286" s="12"/>
      <c r="E286" s="7"/>
      <c r="F286" s="7"/>
      <c r="G286" s="12"/>
      <c r="H286" s="12"/>
      <c r="I286" s="13"/>
      <c r="J286" s="22"/>
    </row>
    <row r="287" spans="2:10" hidden="1" x14ac:dyDescent="0.25">
      <c r="B287" s="7">
        <v>282</v>
      </c>
      <c r="C287" s="11"/>
      <c r="D287" s="12"/>
      <c r="E287" s="7"/>
      <c r="F287" s="7"/>
      <c r="G287" s="12"/>
      <c r="H287" s="12"/>
      <c r="I287" s="13"/>
      <c r="J287" s="22"/>
    </row>
    <row r="288" spans="2:10" hidden="1" x14ac:dyDescent="0.25">
      <c r="B288" s="7">
        <v>283</v>
      </c>
      <c r="C288" s="11"/>
      <c r="D288" s="12"/>
      <c r="E288" s="7"/>
      <c r="F288" s="7"/>
      <c r="G288" s="12"/>
      <c r="H288" s="12"/>
      <c r="I288" s="13"/>
      <c r="J288" s="22"/>
    </row>
    <row r="289" spans="2:10" hidden="1" x14ac:dyDescent="0.25">
      <c r="B289" s="7">
        <v>284</v>
      </c>
      <c r="C289" s="11"/>
      <c r="D289" s="12"/>
      <c r="E289" s="7"/>
      <c r="F289" s="7"/>
      <c r="G289" s="12"/>
      <c r="H289" s="12"/>
      <c r="I289" s="13"/>
      <c r="J289" s="22"/>
    </row>
    <row r="290" spans="2:10" hidden="1" x14ac:dyDescent="0.25">
      <c r="B290" s="7">
        <v>285</v>
      </c>
      <c r="C290" s="11"/>
      <c r="D290" s="12"/>
      <c r="E290" s="7"/>
      <c r="F290" s="7"/>
      <c r="G290" s="12"/>
      <c r="H290" s="12"/>
      <c r="I290" s="13"/>
      <c r="J290" s="22"/>
    </row>
    <row r="291" spans="2:10" hidden="1" x14ac:dyDescent="0.25">
      <c r="B291" s="7">
        <v>286</v>
      </c>
      <c r="C291" s="11"/>
      <c r="D291" s="12"/>
      <c r="E291" s="7"/>
      <c r="F291" s="7"/>
      <c r="G291" s="12"/>
      <c r="H291" s="12"/>
      <c r="I291" s="13"/>
      <c r="J291" s="22"/>
    </row>
    <row r="292" spans="2:10" hidden="1" x14ac:dyDescent="0.25">
      <c r="B292" s="7">
        <v>287</v>
      </c>
      <c r="C292" s="11"/>
      <c r="D292" s="12"/>
      <c r="E292" s="7"/>
      <c r="F292" s="7"/>
      <c r="G292" s="12"/>
      <c r="H292" s="12"/>
      <c r="I292" s="13"/>
      <c r="J292" s="22"/>
    </row>
    <row r="293" spans="2:10" hidden="1" x14ac:dyDescent="0.25">
      <c r="B293" s="7">
        <v>288</v>
      </c>
      <c r="C293" s="11"/>
      <c r="D293" s="12"/>
      <c r="E293" s="7"/>
      <c r="F293" s="7"/>
      <c r="G293" s="12"/>
      <c r="H293" s="12"/>
      <c r="I293" s="13"/>
      <c r="J293" s="22"/>
    </row>
    <row r="294" spans="2:10" hidden="1" x14ac:dyDescent="0.25">
      <c r="B294" s="7">
        <v>289</v>
      </c>
      <c r="C294" s="11"/>
      <c r="D294" s="12"/>
      <c r="E294" s="7"/>
      <c r="F294" s="7"/>
      <c r="G294" s="12"/>
      <c r="H294" s="12"/>
      <c r="I294" s="13"/>
      <c r="J294" s="22"/>
    </row>
    <row r="295" spans="2:10" hidden="1" x14ac:dyDescent="0.25">
      <c r="B295" s="7">
        <v>290</v>
      </c>
      <c r="C295" s="11"/>
      <c r="D295" s="12"/>
      <c r="E295" s="7"/>
      <c r="F295" s="7"/>
      <c r="G295" s="12"/>
      <c r="H295" s="12"/>
      <c r="I295" s="13"/>
      <c r="J295" s="22"/>
    </row>
    <row r="296" spans="2:10" hidden="1" x14ac:dyDescent="0.25">
      <c r="B296" s="7">
        <v>291</v>
      </c>
      <c r="C296" s="11"/>
      <c r="D296" s="12"/>
      <c r="E296" s="7"/>
      <c r="F296" s="7"/>
      <c r="G296" s="12"/>
      <c r="H296" s="12"/>
      <c r="I296" s="13"/>
      <c r="J296" s="22"/>
    </row>
    <row r="297" spans="2:10" hidden="1" x14ac:dyDescent="0.25">
      <c r="B297" s="7">
        <v>292</v>
      </c>
      <c r="C297" s="11"/>
      <c r="D297" s="12"/>
      <c r="E297" s="7"/>
      <c r="F297" s="7"/>
      <c r="G297" s="12"/>
      <c r="H297" s="12"/>
      <c r="I297" s="13"/>
      <c r="J297" s="22"/>
    </row>
    <row r="298" spans="2:10" hidden="1" x14ac:dyDescent="0.25">
      <c r="B298" s="7">
        <v>293</v>
      </c>
      <c r="C298" s="16"/>
      <c r="D298" s="12"/>
      <c r="E298" s="7"/>
      <c r="F298" s="7"/>
      <c r="G298" s="12"/>
      <c r="H298" s="12"/>
      <c r="I298" s="13"/>
      <c r="J298" s="17"/>
    </row>
    <row r="299" spans="2:10" hidden="1" x14ac:dyDescent="0.25">
      <c r="B299" s="7">
        <v>294</v>
      </c>
      <c r="C299" s="16"/>
      <c r="D299" s="12"/>
      <c r="E299" s="7"/>
      <c r="F299" s="7"/>
      <c r="G299" s="12"/>
      <c r="H299" s="12"/>
      <c r="I299" s="13"/>
      <c r="J299" s="17"/>
    </row>
    <row r="300" spans="2:10" hidden="1" x14ac:dyDescent="0.25">
      <c r="B300" s="7">
        <v>295</v>
      </c>
      <c r="C300" s="16"/>
      <c r="D300" s="12"/>
      <c r="E300" s="7"/>
      <c r="F300" s="7"/>
      <c r="G300" s="12"/>
      <c r="H300" s="12"/>
      <c r="I300" s="13"/>
      <c r="J300" s="17"/>
    </row>
    <row r="301" spans="2:10" hidden="1" x14ac:dyDescent="0.25">
      <c r="B301" s="7">
        <v>296</v>
      </c>
      <c r="C301" s="16"/>
      <c r="D301" s="12"/>
      <c r="E301" s="7"/>
      <c r="F301" s="7"/>
      <c r="G301" s="12"/>
      <c r="H301" s="12"/>
      <c r="I301" s="13"/>
      <c r="J301" s="17"/>
    </row>
    <row r="302" spans="2:10" hidden="1" x14ac:dyDescent="0.25">
      <c r="B302" s="7">
        <v>297</v>
      </c>
      <c r="C302" s="16"/>
      <c r="D302" s="12"/>
      <c r="E302" s="7"/>
      <c r="F302" s="7"/>
      <c r="G302" s="12"/>
      <c r="H302" s="12"/>
      <c r="I302" s="13"/>
      <c r="J302" s="17"/>
    </row>
    <row r="303" spans="2:10" hidden="1" x14ac:dyDescent="0.25">
      <c r="B303" s="7">
        <v>298</v>
      </c>
      <c r="C303" s="16"/>
      <c r="D303" s="12"/>
      <c r="E303" s="7"/>
      <c r="F303" s="7"/>
      <c r="G303" s="12"/>
      <c r="H303" s="12"/>
      <c r="I303" s="13"/>
      <c r="J303" s="17"/>
    </row>
    <row r="304" spans="2:10" hidden="1" x14ac:dyDescent="0.25">
      <c r="B304" s="7">
        <v>299</v>
      </c>
      <c r="C304" s="16"/>
      <c r="D304" s="12"/>
      <c r="E304" s="7"/>
      <c r="F304" s="7"/>
      <c r="G304" s="12"/>
      <c r="H304" s="12"/>
      <c r="I304" s="13"/>
      <c r="J304" s="17"/>
    </row>
    <row r="305" spans="2:10" hidden="1" x14ac:dyDescent="0.25">
      <c r="B305" s="7">
        <v>300</v>
      </c>
      <c r="C305" s="16"/>
      <c r="D305" s="12"/>
      <c r="E305" s="7"/>
      <c r="F305" s="7"/>
      <c r="G305" s="12"/>
      <c r="H305" s="12"/>
      <c r="I305" s="13"/>
      <c r="J305" s="17"/>
    </row>
    <row r="306" spans="2:10" hidden="1" x14ac:dyDescent="0.25">
      <c r="B306" s="7">
        <v>301</v>
      </c>
      <c r="C306" s="16"/>
      <c r="D306" s="12"/>
      <c r="E306" s="7"/>
      <c r="F306" s="7"/>
      <c r="G306" s="12"/>
      <c r="H306" s="12"/>
      <c r="I306" s="13"/>
      <c r="J306" s="17"/>
    </row>
    <row r="307" spans="2:10" hidden="1" x14ac:dyDescent="0.25">
      <c r="B307" s="7">
        <v>302</v>
      </c>
      <c r="C307" s="16"/>
      <c r="D307" s="12"/>
      <c r="E307" s="7"/>
      <c r="F307" s="7"/>
      <c r="G307" s="12"/>
      <c r="H307" s="12"/>
      <c r="I307" s="13"/>
      <c r="J307" s="17"/>
    </row>
    <row r="308" spans="2:10" hidden="1" x14ac:dyDescent="0.25">
      <c r="B308" s="7">
        <v>303</v>
      </c>
      <c r="C308" s="16"/>
      <c r="D308" s="12"/>
      <c r="E308" s="7"/>
      <c r="F308" s="7"/>
      <c r="G308" s="12"/>
      <c r="H308" s="12"/>
      <c r="I308" s="13"/>
      <c r="J308" s="17"/>
    </row>
    <row r="309" spans="2:10" hidden="1" x14ac:dyDescent="0.25">
      <c r="B309" s="7">
        <v>304</v>
      </c>
      <c r="C309" s="16"/>
      <c r="D309" s="12"/>
      <c r="E309" s="7"/>
      <c r="F309" s="7"/>
      <c r="G309" s="12"/>
      <c r="H309" s="12"/>
      <c r="I309" s="13"/>
      <c r="J309" s="17"/>
    </row>
    <row r="310" spans="2:10" hidden="1" x14ac:dyDescent="0.25">
      <c r="B310" s="7">
        <v>305</v>
      </c>
      <c r="C310" s="16"/>
      <c r="D310" s="12"/>
      <c r="E310" s="7"/>
      <c r="F310" s="7"/>
      <c r="G310" s="12"/>
      <c r="H310" s="12"/>
      <c r="I310" s="13"/>
      <c r="J310" s="17"/>
    </row>
    <row r="311" spans="2:10" hidden="1" x14ac:dyDescent="0.25">
      <c r="B311" s="7">
        <v>306</v>
      </c>
      <c r="C311" s="16"/>
      <c r="D311" s="12"/>
      <c r="E311" s="7"/>
      <c r="F311" s="7"/>
      <c r="G311" s="12"/>
      <c r="H311" s="12"/>
      <c r="I311" s="13"/>
      <c r="J311" s="17"/>
    </row>
    <row r="312" spans="2:10" hidden="1" x14ac:dyDescent="0.25">
      <c r="B312" s="7">
        <v>307</v>
      </c>
      <c r="C312" s="16"/>
      <c r="D312" s="12"/>
      <c r="E312" s="7"/>
      <c r="F312" s="7"/>
      <c r="G312" s="12"/>
      <c r="H312" s="12"/>
      <c r="I312" s="13"/>
      <c r="J312" s="17"/>
    </row>
    <row r="313" spans="2:10" hidden="1" x14ac:dyDescent="0.25">
      <c r="B313" s="7">
        <v>308</v>
      </c>
      <c r="C313" s="16"/>
      <c r="D313" s="12"/>
      <c r="E313" s="7"/>
      <c r="F313" s="7"/>
      <c r="G313" s="12"/>
      <c r="H313" s="12"/>
      <c r="I313" s="13"/>
      <c r="J313" s="17"/>
    </row>
    <row r="314" spans="2:10" hidden="1" x14ac:dyDescent="0.25">
      <c r="B314" s="7">
        <v>309</v>
      </c>
      <c r="C314" s="16"/>
      <c r="D314" s="12"/>
      <c r="E314" s="7"/>
      <c r="F314" s="7"/>
      <c r="G314" s="12"/>
      <c r="H314" s="12"/>
      <c r="I314" s="13"/>
      <c r="J314" s="17"/>
    </row>
    <row r="315" spans="2:10" hidden="1" x14ac:dyDescent="0.25">
      <c r="B315" s="7">
        <v>310</v>
      </c>
      <c r="C315" s="16"/>
      <c r="D315" s="12"/>
      <c r="E315" s="7"/>
      <c r="F315" s="7"/>
      <c r="G315" s="12"/>
      <c r="H315" s="12"/>
      <c r="I315" s="13"/>
      <c r="J315" s="17"/>
    </row>
    <row r="316" spans="2:10" hidden="1" x14ac:dyDescent="0.25">
      <c r="B316" s="7">
        <v>311</v>
      </c>
      <c r="C316" s="16"/>
      <c r="D316" s="12"/>
      <c r="E316" s="7"/>
      <c r="F316" s="7"/>
      <c r="G316" s="12"/>
      <c r="H316" s="12"/>
      <c r="I316" s="13"/>
      <c r="J316" s="17"/>
    </row>
    <row r="317" spans="2:10" hidden="1" x14ac:dyDescent="0.25">
      <c r="B317" s="7">
        <v>312</v>
      </c>
      <c r="C317" s="16"/>
      <c r="D317" s="12"/>
      <c r="E317" s="7"/>
      <c r="F317" s="7"/>
      <c r="G317" s="12"/>
      <c r="H317" s="12"/>
      <c r="I317" s="13"/>
      <c r="J317" s="17"/>
    </row>
    <row r="318" spans="2:10" hidden="1" x14ac:dyDescent="0.25">
      <c r="B318" s="7">
        <v>313</v>
      </c>
      <c r="C318" s="16"/>
      <c r="D318" s="12"/>
      <c r="E318" s="7"/>
      <c r="F318" s="7"/>
      <c r="G318" s="12"/>
      <c r="H318" s="12"/>
      <c r="I318" s="13"/>
      <c r="J318" s="17"/>
    </row>
    <row r="319" spans="2:10" hidden="1" x14ac:dyDescent="0.25">
      <c r="B319" s="7">
        <v>314</v>
      </c>
      <c r="C319" s="16"/>
      <c r="D319" s="12"/>
      <c r="E319" s="7"/>
      <c r="F319" s="7"/>
      <c r="G319" s="12"/>
      <c r="H319" s="12"/>
      <c r="I319" s="13"/>
      <c r="J319" s="17"/>
    </row>
    <row r="320" spans="2:10" hidden="1" x14ac:dyDescent="0.25">
      <c r="B320" s="7">
        <v>315</v>
      </c>
      <c r="C320" s="16"/>
      <c r="D320" s="12"/>
      <c r="E320" s="7"/>
      <c r="F320" s="7"/>
      <c r="G320" s="12"/>
      <c r="H320" s="12"/>
      <c r="I320" s="13"/>
      <c r="J320" s="17"/>
    </row>
    <row r="321" spans="2:10" hidden="1" x14ac:dyDescent="0.25">
      <c r="B321" s="7">
        <v>316</v>
      </c>
      <c r="C321" s="16"/>
      <c r="D321" s="12"/>
      <c r="E321" s="7"/>
      <c r="F321" s="7"/>
      <c r="G321" s="12"/>
      <c r="H321" s="12"/>
      <c r="I321" s="13"/>
      <c r="J321" s="17"/>
    </row>
    <row r="322" spans="2:10" hidden="1" x14ac:dyDescent="0.25">
      <c r="B322" s="7">
        <v>317</v>
      </c>
      <c r="C322" s="16"/>
      <c r="D322" s="12"/>
      <c r="E322" s="7"/>
      <c r="F322" s="7"/>
      <c r="G322" s="12"/>
      <c r="H322" s="12"/>
      <c r="I322" s="13"/>
      <c r="J322" s="17"/>
    </row>
    <row r="323" spans="2:10" hidden="1" x14ac:dyDescent="0.25">
      <c r="B323" s="7">
        <v>318</v>
      </c>
      <c r="C323" s="16"/>
      <c r="D323" s="12"/>
      <c r="E323" s="7"/>
      <c r="F323" s="7"/>
      <c r="G323" s="12"/>
      <c r="H323" s="12"/>
      <c r="I323" s="13"/>
      <c r="J323" s="17"/>
    </row>
    <row r="324" spans="2:10" hidden="1" x14ac:dyDescent="0.25">
      <c r="B324" s="7">
        <v>319</v>
      </c>
      <c r="C324" s="16"/>
      <c r="D324" s="12"/>
      <c r="E324" s="7"/>
      <c r="F324" s="7"/>
      <c r="G324" s="12"/>
      <c r="H324" s="12"/>
      <c r="I324" s="13"/>
      <c r="J324" s="17"/>
    </row>
    <row r="325" spans="2:10" hidden="1" x14ac:dyDescent="0.25">
      <c r="B325" s="7">
        <v>320</v>
      </c>
      <c r="C325" s="16"/>
      <c r="D325" s="12"/>
      <c r="E325" s="7"/>
      <c r="F325" s="7"/>
      <c r="G325" s="12"/>
      <c r="H325" s="12"/>
      <c r="I325" s="13"/>
      <c r="J325" s="17"/>
    </row>
    <row r="326" spans="2:10" hidden="1" x14ac:dyDescent="0.25">
      <c r="B326" s="7">
        <v>321</v>
      </c>
      <c r="C326" s="16"/>
      <c r="D326" s="12"/>
      <c r="E326" s="7"/>
      <c r="F326" s="7"/>
      <c r="G326" s="12"/>
      <c r="H326" s="12"/>
      <c r="I326" s="13"/>
      <c r="J326" s="17"/>
    </row>
    <row r="327" spans="2:10" hidden="1" x14ac:dyDescent="0.25">
      <c r="B327" s="7">
        <v>322</v>
      </c>
      <c r="C327" s="16"/>
      <c r="D327" s="12"/>
      <c r="E327" s="7"/>
      <c r="F327" s="7"/>
      <c r="G327" s="12"/>
      <c r="H327" s="12"/>
      <c r="I327" s="13"/>
      <c r="J327" s="17"/>
    </row>
    <row r="328" spans="2:10" hidden="1" x14ac:dyDescent="0.25">
      <c r="B328" s="7">
        <v>323</v>
      </c>
      <c r="C328" s="16"/>
      <c r="D328" s="12"/>
      <c r="E328" s="7"/>
      <c r="F328" s="7"/>
      <c r="G328" s="12"/>
      <c r="H328" s="12"/>
      <c r="I328" s="13"/>
      <c r="J328" s="17"/>
    </row>
    <row r="329" spans="2:10" hidden="1" x14ac:dyDescent="0.25">
      <c r="B329" s="7">
        <v>324</v>
      </c>
      <c r="C329" s="16"/>
      <c r="D329" s="12"/>
      <c r="E329" s="7"/>
      <c r="F329" s="7"/>
      <c r="G329" s="12"/>
      <c r="H329" s="12"/>
      <c r="I329" s="13"/>
      <c r="J329" s="17"/>
    </row>
    <row r="330" spans="2:10" hidden="1" x14ac:dyDescent="0.25">
      <c r="B330" s="7">
        <v>325</v>
      </c>
      <c r="C330" s="16"/>
      <c r="D330" s="12"/>
      <c r="E330" s="7"/>
      <c r="F330" s="7"/>
      <c r="G330" s="12"/>
      <c r="H330" s="12"/>
      <c r="I330" s="13"/>
      <c r="J330" s="17"/>
    </row>
    <row r="331" spans="2:10" hidden="1" x14ac:dyDescent="0.25">
      <c r="B331" s="7">
        <v>326</v>
      </c>
      <c r="C331" s="16"/>
      <c r="D331" s="12"/>
      <c r="E331" s="7"/>
      <c r="F331" s="7"/>
      <c r="G331" s="12"/>
      <c r="H331" s="12"/>
      <c r="I331" s="13"/>
      <c r="J331" s="17"/>
    </row>
    <row r="332" spans="2:10" hidden="1" x14ac:dyDescent="0.25">
      <c r="B332" s="7">
        <v>327</v>
      </c>
      <c r="C332" s="16"/>
      <c r="D332" s="12"/>
      <c r="E332" s="7"/>
      <c r="F332" s="7"/>
      <c r="G332" s="12"/>
      <c r="H332" s="12"/>
      <c r="I332" s="13"/>
      <c r="J332" s="17"/>
    </row>
    <row r="333" spans="2:10" hidden="1" x14ac:dyDescent="0.25">
      <c r="B333" s="7">
        <v>328</v>
      </c>
      <c r="C333" s="16"/>
      <c r="D333" s="12"/>
      <c r="E333" s="7"/>
      <c r="F333" s="7"/>
      <c r="G333" s="12"/>
      <c r="H333" s="12"/>
      <c r="I333" s="13"/>
      <c r="J333" s="17"/>
    </row>
    <row r="334" spans="2:10" hidden="1" x14ac:dyDescent="0.25">
      <c r="B334" s="7">
        <v>329</v>
      </c>
      <c r="C334" s="16"/>
      <c r="D334" s="12"/>
      <c r="E334" s="7"/>
      <c r="F334" s="7"/>
      <c r="G334" s="12"/>
      <c r="H334" s="12"/>
      <c r="I334" s="13"/>
      <c r="J334" s="17"/>
    </row>
    <row r="335" spans="2:10" hidden="1" x14ac:dyDescent="0.25">
      <c r="B335" s="7">
        <v>330</v>
      </c>
      <c r="C335" s="16"/>
      <c r="D335" s="12"/>
      <c r="E335" s="7"/>
      <c r="F335" s="7"/>
      <c r="G335" s="12"/>
      <c r="H335" s="12"/>
      <c r="I335" s="13"/>
      <c r="J335" s="17"/>
    </row>
    <row r="336" spans="2:10" hidden="1" x14ac:dyDescent="0.25">
      <c r="B336" s="7">
        <v>331</v>
      </c>
      <c r="C336" s="16"/>
      <c r="D336" s="12"/>
      <c r="E336" s="7"/>
      <c r="F336" s="7"/>
      <c r="G336" s="12"/>
      <c r="H336" s="12"/>
      <c r="I336" s="13"/>
      <c r="J336" s="17"/>
    </row>
    <row r="337" spans="2:10" hidden="1" x14ac:dyDescent="0.25">
      <c r="B337" s="7">
        <v>332</v>
      </c>
      <c r="C337" s="16"/>
      <c r="D337" s="12"/>
      <c r="E337" s="7"/>
      <c r="F337" s="7"/>
      <c r="G337" s="12"/>
      <c r="H337" s="12"/>
      <c r="I337" s="13"/>
      <c r="J337" s="17"/>
    </row>
    <row r="338" spans="2:10" hidden="1" x14ac:dyDescent="0.25">
      <c r="B338" s="7">
        <v>333</v>
      </c>
      <c r="C338" s="16"/>
      <c r="D338" s="12"/>
      <c r="E338" s="7"/>
      <c r="F338" s="7"/>
      <c r="G338" s="12"/>
      <c r="H338" s="12"/>
      <c r="I338" s="13"/>
      <c r="J338" s="17"/>
    </row>
    <row r="339" spans="2:10" hidden="1" x14ac:dyDescent="0.25">
      <c r="B339" s="7">
        <v>334</v>
      </c>
      <c r="C339" s="16"/>
      <c r="D339" s="12"/>
      <c r="E339" s="7"/>
      <c r="F339" s="7"/>
      <c r="G339" s="12"/>
      <c r="H339" s="12"/>
      <c r="I339" s="13"/>
      <c r="J339" s="17"/>
    </row>
    <row r="340" spans="2:10" hidden="1" x14ac:dyDescent="0.25">
      <c r="B340" s="7">
        <v>335</v>
      </c>
      <c r="C340" s="16"/>
      <c r="D340" s="12"/>
      <c r="E340" s="7"/>
      <c r="F340" s="7"/>
      <c r="G340" s="12"/>
      <c r="H340" s="12"/>
      <c r="I340" s="13"/>
      <c r="J340" s="17"/>
    </row>
    <row r="341" spans="2:10" hidden="1" x14ac:dyDescent="0.25">
      <c r="B341" s="7">
        <v>336</v>
      </c>
      <c r="C341" s="16"/>
      <c r="D341" s="12"/>
      <c r="E341" s="7"/>
      <c r="F341" s="7"/>
      <c r="G341" s="12"/>
      <c r="H341" s="12"/>
      <c r="I341" s="13"/>
      <c r="J341" s="17"/>
    </row>
    <row r="342" spans="2:10" hidden="1" x14ac:dyDescent="0.25">
      <c r="B342" s="7">
        <v>337</v>
      </c>
      <c r="C342" s="16"/>
      <c r="D342" s="12"/>
      <c r="E342" s="7"/>
      <c r="F342" s="7"/>
      <c r="G342" s="12"/>
      <c r="H342" s="12"/>
      <c r="I342" s="13"/>
      <c r="J342" s="17"/>
    </row>
    <row r="343" spans="2:10" hidden="1" x14ac:dyDescent="0.25">
      <c r="B343" s="7">
        <v>338</v>
      </c>
      <c r="C343" s="16"/>
      <c r="D343" s="12"/>
      <c r="E343" s="7"/>
      <c r="F343" s="7"/>
      <c r="G343" s="12"/>
      <c r="H343" s="12"/>
      <c r="I343" s="13"/>
      <c r="J343" s="17"/>
    </row>
    <row r="344" spans="2:10" hidden="1" x14ac:dyDescent="0.25">
      <c r="B344" s="7">
        <v>339</v>
      </c>
      <c r="C344" s="16"/>
      <c r="D344" s="12"/>
      <c r="E344" s="7"/>
      <c r="F344" s="7"/>
      <c r="G344" s="12"/>
      <c r="H344" s="12"/>
      <c r="I344" s="13"/>
      <c r="J344" s="17"/>
    </row>
    <row r="345" spans="2:10" hidden="1" x14ac:dyDescent="0.25">
      <c r="B345" s="7">
        <v>340</v>
      </c>
      <c r="C345" s="16"/>
      <c r="D345" s="12"/>
      <c r="E345" s="7"/>
      <c r="F345" s="7"/>
      <c r="G345" s="12"/>
      <c r="H345" s="12"/>
      <c r="I345" s="13"/>
      <c r="J345" s="17"/>
    </row>
    <row r="346" spans="2:10" hidden="1" x14ac:dyDescent="0.25">
      <c r="B346" s="7">
        <v>341</v>
      </c>
      <c r="C346" s="16"/>
      <c r="D346" s="12"/>
      <c r="E346" s="7"/>
      <c r="F346" s="7"/>
      <c r="G346" s="12"/>
      <c r="H346" s="12"/>
      <c r="I346" s="13"/>
      <c r="J346" s="17"/>
    </row>
    <row r="347" spans="2:10" hidden="1" x14ac:dyDescent="0.25">
      <c r="B347" s="7">
        <v>342</v>
      </c>
      <c r="C347" s="16"/>
      <c r="D347" s="12"/>
      <c r="E347" s="7"/>
      <c r="F347" s="7"/>
      <c r="G347" s="12"/>
      <c r="H347" s="12"/>
      <c r="I347" s="13"/>
      <c r="J347" s="17"/>
    </row>
    <row r="348" spans="2:10" hidden="1" x14ac:dyDescent="0.25">
      <c r="B348" s="7">
        <v>343</v>
      </c>
      <c r="C348" s="16"/>
      <c r="D348" s="12"/>
      <c r="E348" s="7"/>
      <c r="F348" s="7"/>
      <c r="G348" s="12"/>
      <c r="H348" s="12"/>
      <c r="I348" s="13"/>
      <c r="J348" s="17"/>
    </row>
    <row r="349" spans="2:10" hidden="1" x14ac:dyDescent="0.25">
      <c r="B349" s="7">
        <v>344</v>
      </c>
      <c r="C349" s="16"/>
      <c r="D349" s="12"/>
      <c r="E349" s="7"/>
      <c r="F349" s="7"/>
      <c r="G349" s="12"/>
      <c r="H349" s="12"/>
      <c r="I349" s="13"/>
      <c r="J349" s="17"/>
    </row>
    <row r="350" spans="2:10" hidden="1" x14ac:dyDescent="0.25">
      <c r="B350" s="7">
        <v>345</v>
      </c>
      <c r="C350" s="16"/>
      <c r="D350" s="12"/>
      <c r="E350" s="7"/>
      <c r="F350" s="7"/>
      <c r="G350" s="12"/>
      <c r="H350" s="12"/>
      <c r="I350" s="13"/>
      <c r="J350" s="17"/>
    </row>
    <row r="351" spans="2:10" hidden="1" x14ac:dyDescent="0.25">
      <c r="B351" s="7">
        <v>346</v>
      </c>
      <c r="C351" s="16"/>
      <c r="D351" s="12"/>
      <c r="E351" s="7"/>
      <c r="F351" s="7"/>
      <c r="G351" s="12"/>
      <c r="H351" s="12"/>
      <c r="I351" s="13"/>
      <c r="J351" s="17"/>
    </row>
    <row r="352" spans="2:10" hidden="1" x14ac:dyDescent="0.25">
      <c r="B352" s="7">
        <v>347</v>
      </c>
      <c r="C352" s="16"/>
      <c r="D352" s="12"/>
      <c r="E352" s="7"/>
      <c r="F352" s="7"/>
      <c r="G352" s="12"/>
      <c r="H352" s="12"/>
      <c r="I352" s="13"/>
      <c r="J352" s="17"/>
    </row>
    <row r="353" spans="2:10" hidden="1" x14ac:dyDescent="0.25">
      <c r="B353" s="7">
        <v>348</v>
      </c>
      <c r="C353" s="16"/>
      <c r="D353" s="12"/>
      <c r="E353" s="7"/>
      <c r="F353" s="7"/>
      <c r="G353" s="12"/>
      <c r="H353" s="12"/>
      <c r="I353" s="13"/>
      <c r="J353" s="17"/>
    </row>
    <row r="354" spans="2:10" hidden="1" x14ac:dyDescent="0.25">
      <c r="B354" s="7">
        <v>349</v>
      </c>
      <c r="C354" s="16"/>
      <c r="D354" s="12"/>
      <c r="E354" s="7"/>
      <c r="F354" s="7"/>
      <c r="G354" s="12"/>
      <c r="H354" s="12"/>
      <c r="I354" s="13"/>
      <c r="J354" s="17"/>
    </row>
    <row r="355" spans="2:10" hidden="1" x14ac:dyDescent="0.25">
      <c r="B355" s="7">
        <v>350</v>
      </c>
      <c r="C355" s="16"/>
      <c r="D355" s="12"/>
      <c r="E355" s="7"/>
      <c r="F355" s="7"/>
      <c r="G355" s="12"/>
      <c r="H355" s="12"/>
      <c r="I355" s="13"/>
      <c r="J355" s="17"/>
    </row>
    <row r="356" spans="2:10" hidden="1" x14ac:dyDescent="0.25">
      <c r="B356" s="7">
        <v>351</v>
      </c>
      <c r="C356" s="16"/>
      <c r="D356" s="12"/>
      <c r="E356" s="7"/>
      <c r="F356" s="7"/>
      <c r="G356" s="12"/>
      <c r="H356" s="12"/>
      <c r="I356" s="13"/>
      <c r="J356" s="17"/>
    </row>
    <row r="357" spans="2:10" hidden="1" x14ac:dyDescent="0.25">
      <c r="B357" s="7">
        <v>352</v>
      </c>
      <c r="C357" s="16"/>
      <c r="D357" s="12"/>
      <c r="E357" s="7"/>
      <c r="F357" s="7"/>
      <c r="G357" s="12"/>
      <c r="H357" s="12"/>
      <c r="I357" s="13"/>
      <c r="J357" s="17"/>
    </row>
    <row r="358" spans="2:10" hidden="1" x14ac:dyDescent="0.25">
      <c r="B358" s="7">
        <v>353</v>
      </c>
      <c r="C358" s="16"/>
      <c r="D358" s="12"/>
      <c r="E358" s="7"/>
      <c r="F358" s="7"/>
      <c r="G358" s="12"/>
      <c r="H358" s="12"/>
      <c r="I358" s="13"/>
      <c r="J358" s="17"/>
    </row>
    <row r="359" spans="2:10" hidden="1" x14ac:dyDescent="0.25">
      <c r="B359" s="7">
        <v>354</v>
      </c>
      <c r="C359" s="16"/>
      <c r="D359" s="12"/>
      <c r="E359" s="7"/>
      <c r="F359" s="7"/>
      <c r="G359" s="12"/>
      <c r="H359" s="12"/>
      <c r="I359" s="13"/>
      <c r="J359" s="17"/>
    </row>
    <row r="360" spans="2:10" hidden="1" x14ac:dyDescent="0.25">
      <c r="B360" s="7">
        <v>355</v>
      </c>
      <c r="C360" s="16"/>
      <c r="D360" s="12"/>
      <c r="E360" s="7"/>
      <c r="F360" s="7"/>
      <c r="G360" s="12"/>
      <c r="H360" s="12"/>
      <c r="I360" s="13"/>
      <c r="J360" s="17"/>
    </row>
    <row r="361" spans="2:10" hidden="1" x14ac:dyDescent="0.25">
      <c r="B361" s="7">
        <v>356</v>
      </c>
      <c r="C361" s="16"/>
      <c r="D361" s="12"/>
      <c r="E361" s="7"/>
      <c r="F361" s="7"/>
      <c r="G361" s="12"/>
      <c r="H361" s="12"/>
      <c r="I361" s="13"/>
      <c r="J361" s="17"/>
    </row>
    <row r="362" spans="2:10" hidden="1" x14ac:dyDescent="0.25">
      <c r="B362" s="7">
        <v>357</v>
      </c>
      <c r="C362" s="16"/>
      <c r="D362" s="12"/>
      <c r="E362" s="7"/>
      <c r="F362" s="7"/>
      <c r="G362" s="12"/>
      <c r="H362" s="12"/>
      <c r="I362" s="13"/>
      <c r="J362" s="17"/>
    </row>
    <row r="363" spans="2:10" hidden="1" x14ac:dyDescent="0.25">
      <c r="B363" s="7">
        <v>358</v>
      </c>
      <c r="C363" s="16"/>
      <c r="D363" s="12"/>
      <c r="E363" s="7"/>
      <c r="F363" s="7"/>
      <c r="G363" s="12"/>
      <c r="H363" s="12"/>
      <c r="I363" s="13"/>
      <c r="J363" s="17"/>
    </row>
    <row r="364" spans="2:10" hidden="1" x14ac:dyDescent="0.25">
      <c r="B364" s="7">
        <v>359</v>
      </c>
      <c r="C364" s="16"/>
      <c r="D364" s="12"/>
      <c r="E364" s="7"/>
      <c r="F364" s="7"/>
      <c r="G364" s="12"/>
      <c r="H364" s="12"/>
      <c r="I364" s="13"/>
      <c r="J364" s="17"/>
    </row>
    <row r="365" spans="2:10" hidden="1" x14ac:dyDescent="0.25">
      <c r="B365" s="7">
        <v>360</v>
      </c>
      <c r="C365" s="16"/>
      <c r="D365" s="12"/>
      <c r="E365" s="7"/>
      <c r="F365" s="7"/>
      <c r="G365" s="12"/>
      <c r="H365" s="12"/>
      <c r="I365" s="13"/>
      <c r="J365" s="17"/>
    </row>
    <row r="366" spans="2:10" hidden="1" x14ac:dyDescent="0.25">
      <c r="B366" s="7">
        <v>361</v>
      </c>
      <c r="C366" s="16"/>
      <c r="D366" s="12"/>
      <c r="E366" s="7"/>
      <c r="F366" s="7"/>
      <c r="G366" s="12"/>
      <c r="H366" s="12"/>
      <c r="I366" s="13"/>
      <c r="J366" s="17"/>
    </row>
    <row r="367" spans="2:10" hidden="1" x14ac:dyDescent="0.25">
      <c r="B367" s="7">
        <v>362</v>
      </c>
      <c r="C367" s="16"/>
      <c r="D367" s="12"/>
      <c r="E367" s="7"/>
      <c r="F367" s="7"/>
      <c r="G367" s="12"/>
      <c r="H367" s="12"/>
      <c r="I367" s="13"/>
      <c r="J367" s="17"/>
    </row>
    <row r="368" spans="2:10" hidden="1" x14ac:dyDescent="0.25">
      <c r="B368" s="7">
        <v>363</v>
      </c>
      <c r="C368" s="16"/>
      <c r="D368" s="12"/>
      <c r="E368" s="7"/>
      <c r="F368" s="7"/>
      <c r="G368" s="12"/>
      <c r="H368" s="12"/>
      <c r="I368" s="13"/>
      <c r="J368" s="17"/>
    </row>
    <row r="369" spans="2:10" hidden="1" x14ac:dyDescent="0.25">
      <c r="B369" s="7">
        <v>364</v>
      </c>
      <c r="C369" s="16"/>
      <c r="D369" s="12"/>
      <c r="E369" s="7"/>
      <c r="F369" s="7"/>
      <c r="G369" s="12"/>
      <c r="H369" s="12"/>
      <c r="I369" s="13"/>
      <c r="J369" s="17"/>
    </row>
    <row r="370" spans="2:10" hidden="1" x14ac:dyDescent="0.25">
      <c r="B370" s="7">
        <v>365</v>
      </c>
      <c r="C370" s="16"/>
      <c r="D370" s="12"/>
      <c r="E370" s="7"/>
      <c r="F370" s="7"/>
      <c r="G370" s="12"/>
      <c r="H370" s="12"/>
      <c r="I370" s="13"/>
      <c r="J370" s="17"/>
    </row>
    <row r="371" spans="2:10" hidden="1" x14ac:dyDescent="0.25">
      <c r="B371" s="7">
        <v>366</v>
      </c>
      <c r="C371" s="16"/>
      <c r="D371" s="12"/>
      <c r="E371" s="7"/>
      <c r="F371" s="7"/>
      <c r="G371" s="12"/>
      <c r="H371" s="12"/>
      <c r="I371" s="13"/>
      <c r="J371" s="17"/>
    </row>
    <row r="372" spans="2:10" hidden="1" x14ac:dyDescent="0.25">
      <c r="B372" s="7">
        <v>367</v>
      </c>
      <c r="C372" s="16"/>
      <c r="D372" s="12"/>
      <c r="E372" s="7"/>
      <c r="F372" s="7"/>
      <c r="G372" s="12"/>
      <c r="H372" s="12"/>
      <c r="I372" s="13"/>
      <c r="J372" s="17"/>
    </row>
    <row r="373" spans="2:10" hidden="1" x14ac:dyDescent="0.25">
      <c r="B373" s="7">
        <v>368</v>
      </c>
      <c r="C373" s="16"/>
      <c r="D373" s="12"/>
      <c r="E373" s="7"/>
      <c r="F373" s="7"/>
      <c r="G373" s="12"/>
      <c r="H373" s="12"/>
      <c r="I373" s="13"/>
      <c r="J373" s="17"/>
    </row>
    <row r="374" spans="2:10" hidden="1" x14ac:dyDescent="0.25">
      <c r="B374" s="7">
        <v>369</v>
      </c>
      <c r="C374" s="16"/>
      <c r="D374" s="12"/>
      <c r="E374" s="7"/>
      <c r="F374" s="7"/>
      <c r="G374" s="12"/>
      <c r="H374" s="12"/>
      <c r="I374" s="13"/>
      <c r="J374" s="17"/>
    </row>
    <row r="375" spans="2:10" hidden="1" x14ac:dyDescent="0.25">
      <c r="B375" s="7">
        <v>370</v>
      </c>
      <c r="C375" s="16"/>
      <c r="D375" s="12"/>
      <c r="E375" s="7"/>
      <c r="F375" s="7"/>
      <c r="G375" s="12"/>
      <c r="H375" s="12"/>
      <c r="I375" s="13"/>
      <c r="J375" s="17"/>
    </row>
    <row r="376" spans="2:10" hidden="1" x14ac:dyDescent="0.25">
      <c r="B376" s="7">
        <v>371</v>
      </c>
      <c r="C376" s="16"/>
      <c r="D376" s="12"/>
      <c r="E376" s="7"/>
      <c r="F376" s="7"/>
      <c r="G376" s="12"/>
      <c r="H376" s="12"/>
      <c r="I376" s="13"/>
      <c r="J376" s="17"/>
    </row>
    <row r="377" spans="2:10" hidden="1" x14ac:dyDescent="0.25">
      <c r="B377" s="7">
        <v>372</v>
      </c>
      <c r="C377" s="16"/>
      <c r="D377" s="12"/>
      <c r="E377" s="7"/>
      <c r="F377" s="7"/>
      <c r="G377" s="12"/>
      <c r="H377" s="12"/>
      <c r="I377" s="13"/>
      <c r="J377" s="17"/>
    </row>
    <row r="378" spans="2:10" hidden="1" x14ac:dyDescent="0.25">
      <c r="B378" s="7">
        <v>373</v>
      </c>
      <c r="C378" s="16"/>
      <c r="D378" s="12"/>
      <c r="E378" s="7"/>
      <c r="F378" s="7"/>
      <c r="G378" s="12"/>
      <c r="H378" s="12"/>
      <c r="I378" s="13"/>
      <c r="J378" s="17"/>
    </row>
    <row r="379" spans="2:10" hidden="1" x14ac:dyDescent="0.25">
      <c r="B379" s="7">
        <v>374</v>
      </c>
      <c r="C379" s="16"/>
      <c r="D379" s="12"/>
      <c r="E379" s="7"/>
      <c r="F379" s="7"/>
      <c r="G379" s="12"/>
      <c r="H379" s="12"/>
      <c r="I379" s="13"/>
      <c r="J379" s="17"/>
    </row>
    <row r="380" spans="2:10" hidden="1" x14ac:dyDescent="0.25">
      <c r="B380" s="7">
        <v>375</v>
      </c>
      <c r="C380" s="16"/>
      <c r="D380" s="12"/>
      <c r="E380" s="7"/>
      <c r="F380" s="7"/>
      <c r="G380" s="12"/>
      <c r="H380" s="12"/>
      <c r="I380" s="13"/>
      <c r="J380" s="17"/>
    </row>
    <row r="381" spans="2:10" hidden="1" x14ac:dyDescent="0.25">
      <c r="B381" s="7">
        <v>376</v>
      </c>
      <c r="C381" s="16"/>
      <c r="D381" s="12"/>
      <c r="E381" s="7"/>
      <c r="F381" s="7"/>
      <c r="G381" s="12"/>
      <c r="H381" s="12"/>
      <c r="I381" s="13"/>
      <c r="J381" s="17"/>
    </row>
    <row r="382" spans="2:10" hidden="1" x14ac:dyDescent="0.25">
      <c r="B382" s="7">
        <v>377</v>
      </c>
      <c r="C382" s="16"/>
      <c r="D382" s="12"/>
      <c r="E382" s="7"/>
      <c r="F382" s="7"/>
      <c r="G382" s="12"/>
      <c r="H382" s="12"/>
      <c r="I382" s="13"/>
      <c r="J382" s="17"/>
    </row>
    <row r="383" spans="2:10" hidden="1" x14ac:dyDescent="0.25">
      <c r="B383" s="7">
        <v>378</v>
      </c>
      <c r="C383" s="16"/>
      <c r="D383" s="12"/>
      <c r="E383" s="7"/>
      <c r="F383" s="7"/>
      <c r="G383" s="12"/>
      <c r="H383" s="12"/>
      <c r="I383" s="13"/>
      <c r="J383" s="17"/>
    </row>
    <row r="384" spans="2:10" hidden="1" x14ac:dyDescent="0.25">
      <c r="B384" s="7">
        <v>379</v>
      </c>
      <c r="C384" s="16"/>
      <c r="D384" s="12"/>
      <c r="E384" s="7"/>
      <c r="F384" s="7"/>
      <c r="G384" s="12"/>
      <c r="H384" s="12"/>
      <c r="I384" s="13"/>
      <c r="J384" s="17"/>
    </row>
    <row r="385" spans="2:10" hidden="1" x14ac:dyDescent="0.25">
      <c r="B385" s="7">
        <v>380</v>
      </c>
      <c r="C385" s="16"/>
      <c r="D385" s="12"/>
      <c r="E385" s="7"/>
      <c r="F385" s="7"/>
      <c r="G385" s="12"/>
      <c r="H385" s="12"/>
      <c r="I385" s="13"/>
      <c r="J385" s="17"/>
    </row>
    <row r="386" spans="2:10" hidden="1" x14ac:dyDescent="0.25">
      <c r="B386" s="7">
        <v>381</v>
      </c>
      <c r="C386" s="16"/>
      <c r="D386" s="12"/>
      <c r="E386" s="7"/>
      <c r="F386" s="7"/>
      <c r="G386" s="12"/>
      <c r="H386" s="12"/>
      <c r="I386" s="13"/>
      <c r="J386" s="17"/>
    </row>
    <row r="387" spans="2:10" hidden="1" x14ac:dyDescent="0.25">
      <c r="B387" s="7">
        <v>382</v>
      </c>
      <c r="C387" s="16"/>
      <c r="D387" s="12"/>
      <c r="E387" s="7"/>
      <c r="F387" s="7"/>
      <c r="G387" s="12"/>
      <c r="H387" s="12"/>
      <c r="I387" s="13"/>
      <c r="J387" s="17"/>
    </row>
    <row r="388" spans="2:10" hidden="1" x14ac:dyDescent="0.25">
      <c r="B388" s="7">
        <v>383</v>
      </c>
      <c r="C388" s="16"/>
      <c r="D388" s="12"/>
      <c r="E388" s="7"/>
      <c r="F388" s="7"/>
      <c r="G388" s="12"/>
      <c r="H388" s="12"/>
      <c r="I388" s="13"/>
      <c r="J388" s="17"/>
    </row>
    <row r="389" spans="2:10" hidden="1" x14ac:dyDescent="0.25">
      <c r="B389" s="7">
        <v>384</v>
      </c>
      <c r="C389" s="16"/>
      <c r="D389" s="12"/>
      <c r="E389" s="7"/>
      <c r="F389" s="7"/>
      <c r="G389" s="12"/>
      <c r="H389" s="12"/>
      <c r="I389" s="13"/>
      <c r="J389" s="17"/>
    </row>
    <row r="390" spans="2:10" hidden="1" x14ac:dyDescent="0.25">
      <c r="B390" s="7">
        <v>385</v>
      </c>
      <c r="C390" s="16"/>
      <c r="D390" s="12"/>
      <c r="E390" s="7"/>
      <c r="F390" s="7"/>
      <c r="G390" s="12"/>
      <c r="H390" s="12"/>
      <c r="I390" s="13"/>
      <c r="J390" s="17"/>
    </row>
    <row r="391" spans="2:10" hidden="1" x14ac:dyDescent="0.25">
      <c r="B391" s="7">
        <v>386</v>
      </c>
      <c r="C391" s="16"/>
      <c r="D391" s="12"/>
      <c r="E391" s="7"/>
      <c r="F391" s="7"/>
      <c r="G391" s="12"/>
      <c r="H391" s="12"/>
      <c r="I391" s="13"/>
      <c r="J391" s="17"/>
    </row>
    <row r="392" spans="2:10" hidden="1" x14ac:dyDescent="0.25">
      <c r="B392" s="7">
        <v>387</v>
      </c>
      <c r="C392" s="16"/>
      <c r="D392" s="12"/>
      <c r="E392" s="7"/>
      <c r="F392" s="7"/>
      <c r="G392" s="12"/>
      <c r="H392" s="12"/>
      <c r="I392" s="13"/>
      <c r="J392" s="17"/>
    </row>
    <row r="393" spans="2:10" hidden="1" x14ac:dyDescent="0.25">
      <c r="B393" s="7">
        <v>388</v>
      </c>
      <c r="C393" s="16"/>
      <c r="D393" s="12"/>
      <c r="E393" s="7"/>
      <c r="F393" s="7"/>
      <c r="G393" s="12"/>
      <c r="H393" s="12"/>
      <c r="I393" s="13"/>
      <c r="J393" s="17"/>
    </row>
    <row r="394" spans="2:10" hidden="1" x14ac:dyDescent="0.25">
      <c r="B394" s="7">
        <v>389</v>
      </c>
      <c r="C394" s="16"/>
      <c r="D394" s="12"/>
      <c r="E394" s="7"/>
      <c r="F394" s="7"/>
      <c r="G394" s="12"/>
      <c r="H394" s="12"/>
      <c r="I394" s="13"/>
      <c r="J394" s="17"/>
    </row>
    <row r="395" spans="2:10" hidden="1" x14ac:dyDescent="0.25">
      <c r="B395" s="7">
        <v>390</v>
      </c>
      <c r="C395" s="16"/>
      <c r="D395" s="12"/>
      <c r="E395" s="7"/>
      <c r="F395" s="7"/>
      <c r="G395" s="12"/>
      <c r="H395" s="12"/>
      <c r="I395" s="13"/>
      <c r="J395" s="17"/>
    </row>
    <row r="396" spans="2:10" hidden="1" x14ac:dyDescent="0.25">
      <c r="B396" s="7">
        <v>391</v>
      </c>
      <c r="C396" s="16"/>
      <c r="D396" s="12"/>
      <c r="E396" s="7"/>
      <c r="F396" s="7"/>
      <c r="G396" s="12"/>
      <c r="H396" s="12"/>
      <c r="I396" s="13"/>
      <c r="J396" s="17"/>
    </row>
    <row r="397" spans="2:10" hidden="1" x14ac:dyDescent="0.25">
      <c r="B397" s="7">
        <v>392</v>
      </c>
      <c r="C397" s="16"/>
      <c r="D397" s="12"/>
      <c r="E397" s="7"/>
      <c r="F397" s="7"/>
      <c r="G397" s="12"/>
      <c r="H397" s="12"/>
      <c r="I397" s="13"/>
      <c r="J397" s="17"/>
    </row>
    <row r="398" spans="2:10" hidden="1" x14ac:dyDescent="0.25">
      <c r="B398" s="7">
        <v>393</v>
      </c>
      <c r="C398" s="16"/>
      <c r="D398" s="12"/>
      <c r="E398" s="7"/>
      <c r="F398" s="7"/>
      <c r="G398" s="12"/>
      <c r="H398" s="12"/>
      <c r="I398" s="13"/>
      <c r="J398" s="17"/>
    </row>
    <row r="399" spans="2:10" hidden="1" x14ac:dyDescent="0.25">
      <c r="B399" s="7">
        <v>394</v>
      </c>
      <c r="C399" s="16"/>
      <c r="D399" s="12"/>
      <c r="E399" s="7"/>
      <c r="F399" s="7"/>
      <c r="G399" s="12"/>
      <c r="H399" s="12"/>
      <c r="I399" s="13"/>
      <c r="J399" s="17"/>
    </row>
    <row r="400" spans="2:10" hidden="1" x14ac:dyDescent="0.25">
      <c r="B400" s="7">
        <v>395</v>
      </c>
      <c r="C400" s="16"/>
      <c r="D400" s="12"/>
      <c r="E400" s="7"/>
      <c r="F400" s="7"/>
      <c r="G400" s="12"/>
      <c r="H400" s="12"/>
      <c r="I400" s="13"/>
      <c r="J400" s="17"/>
    </row>
    <row r="401" spans="2:10" hidden="1" x14ac:dyDescent="0.25">
      <c r="B401" s="7">
        <v>396</v>
      </c>
      <c r="C401" s="16"/>
      <c r="D401" s="12"/>
      <c r="E401" s="7"/>
      <c r="F401" s="7"/>
      <c r="G401" s="12"/>
      <c r="H401" s="12"/>
      <c r="I401" s="13"/>
      <c r="J401" s="17"/>
    </row>
    <row r="402" spans="2:10" hidden="1" x14ac:dyDescent="0.25">
      <c r="B402" s="7">
        <v>397</v>
      </c>
      <c r="C402" s="16"/>
      <c r="D402" s="12"/>
      <c r="E402" s="7"/>
      <c r="F402" s="7"/>
      <c r="G402" s="12"/>
      <c r="H402" s="12"/>
      <c r="I402" s="13"/>
      <c r="J402" s="17"/>
    </row>
    <row r="403" spans="2:10" hidden="1" x14ac:dyDescent="0.25">
      <c r="B403" s="7">
        <v>398</v>
      </c>
      <c r="C403" s="16"/>
      <c r="D403" s="12"/>
      <c r="E403" s="7"/>
      <c r="F403" s="7"/>
      <c r="G403" s="12"/>
      <c r="H403" s="12"/>
      <c r="I403" s="13"/>
      <c r="J403" s="17"/>
    </row>
    <row r="404" spans="2:10" hidden="1" x14ac:dyDescent="0.25">
      <c r="B404" s="7">
        <v>399</v>
      </c>
      <c r="C404" s="23"/>
      <c r="D404" s="24"/>
      <c r="E404" s="25"/>
      <c r="F404" s="26"/>
      <c r="G404" s="24"/>
      <c r="H404" s="27"/>
      <c r="I404" s="28"/>
      <c r="J404" s="17"/>
    </row>
    <row r="405" spans="2:10" hidden="1" x14ac:dyDescent="0.25">
      <c r="B405" s="7">
        <v>400</v>
      </c>
      <c r="C405" s="23"/>
      <c r="D405" s="24"/>
      <c r="E405" s="26"/>
      <c r="F405" s="25"/>
      <c r="G405" s="24"/>
      <c r="H405" s="29"/>
      <c r="I405" s="28"/>
      <c r="J405" s="17"/>
    </row>
    <row r="406" spans="2:10" hidden="1" x14ac:dyDescent="0.25">
      <c r="B406" s="7">
        <v>401</v>
      </c>
      <c r="C406" s="23"/>
      <c r="D406" s="24"/>
      <c r="E406" s="26"/>
      <c r="F406" s="26"/>
      <c r="G406" s="24"/>
      <c r="H406" s="30"/>
      <c r="I406" s="28"/>
      <c r="J406" s="17"/>
    </row>
    <row r="407" spans="2:10" hidden="1" x14ac:dyDescent="0.25">
      <c r="B407" s="7">
        <v>402</v>
      </c>
      <c r="C407" s="23"/>
      <c r="D407" s="24"/>
      <c r="E407" s="25"/>
      <c r="F407" s="25"/>
      <c r="G407" s="27"/>
      <c r="H407" s="27"/>
      <c r="I407" s="28"/>
      <c r="J407" s="17"/>
    </row>
    <row r="408" spans="2:10" hidden="1" x14ac:dyDescent="0.25">
      <c r="B408" s="7">
        <v>403</v>
      </c>
      <c r="C408" s="23"/>
      <c r="D408" s="24"/>
      <c r="E408" s="26"/>
      <c r="F408" s="26"/>
      <c r="G408" s="24"/>
      <c r="H408" s="30"/>
      <c r="I408" s="28"/>
      <c r="J408" s="17"/>
    </row>
    <row r="409" spans="2:10" hidden="1" x14ac:dyDescent="0.25">
      <c r="B409" s="7">
        <v>404</v>
      </c>
      <c r="C409" s="23"/>
      <c r="D409" s="24"/>
      <c r="E409" s="26"/>
      <c r="F409" s="26"/>
      <c r="G409" s="24"/>
      <c r="H409" s="30"/>
      <c r="I409" s="28"/>
      <c r="J409" s="17"/>
    </row>
    <row r="410" spans="2:10" hidden="1" x14ac:dyDescent="0.25">
      <c r="B410" s="7">
        <v>405</v>
      </c>
      <c r="C410" s="23"/>
      <c r="D410" s="24"/>
      <c r="E410" s="26"/>
      <c r="F410" s="26"/>
      <c r="G410" s="24"/>
      <c r="H410" s="31"/>
      <c r="I410" s="28"/>
      <c r="J410" s="17"/>
    </row>
    <row r="411" spans="2:10" hidden="1" x14ac:dyDescent="0.25">
      <c r="B411" s="7">
        <v>406</v>
      </c>
      <c r="C411" s="23"/>
      <c r="D411" s="24"/>
      <c r="E411" s="26"/>
      <c r="F411" s="26"/>
      <c r="G411" s="24"/>
      <c r="H411" s="30"/>
      <c r="I411" s="28"/>
      <c r="J411" s="17"/>
    </row>
    <row r="412" spans="2:10" hidden="1" x14ac:dyDescent="0.25">
      <c r="B412" s="7">
        <v>407</v>
      </c>
      <c r="C412" s="23"/>
      <c r="D412" s="24"/>
      <c r="E412" s="26"/>
      <c r="F412" s="26"/>
      <c r="G412" s="24"/>
      <c r="H412" s="30"/>
      <c r="I412" s="28"/>
      <c r="J412" s="17"/>
    </row>
    <row r="413" spans="2:10" hidden="1" x14ac:dyDescent="0.25">
      <c r="B413" s="7">
        <v>407</v>
      </c>
      <c r="C413" s="16"/>
      <c r="D413" s="12"/>
      <c r="E413" s="7"/>
      <c r="F413" s="7"/>
      <c r="G413" s="12"/>
      <c r="H413" s="12"/>
      <c r="I413" s="32"/>
      <c r="J413" s="17"/>
    </row>
    <row r="414" spans="2:10" hidden="1" x14ac:dyDescent="0.25">
      <c r="B414" s="7">
        <v>408</v>
      </c>
      <c r="C414" s="16"/>
      <c r="D414" s="12"/>
      <c r="E414" s="7"/>
      <c r="F414" s="7"/>
      <c r="G414" s="12"/>
      <c r="H414" s="12"/>
      <c r="I414" s="32"/>
      <c r="J414" s="17"/>
    </row>
    <row r="415" spans="2:10" hidden="1" x14ac:dyDescent="0.25">
      <c r="B415" s="7">
        <v>409</v>
      </c>
      <c r="C415" s="16"/>
      <c r="D415" s="12"/>
      <c r="E415" s="7"/>
      <c r="F415" s="7"/>
      <c r="G415" s="12"/>
      <c r="H415" s="12"/>
      <c r="I415" s="32"/>
      <c r="J415" s="17"/>
    </row>
    <row r="416" spans="2:10" hidden="1" x14ac:dyDescent="0.25">
      <c r="B416" s="7">
        <v>410</v>
      </c>
      <c r="C416" s="16"/>
      <c r="D416" s="12"/>
      <c r="E416" s="7"/>
      <c r="F416" s="7"/>
      <c r="G416" s="12"/>
      <c r="H416" s="12"/>
      <c r="I416" s="32"/>
      <c r="J416" s="17"/>
    </row>
    <row r="417" spans="2:10" hidden="1" x14ac:dyDescent="0.25">
      <c r="B417" s="7">
        <v>411</v>
      </c>
      <c r="C417" s="16"/>
      <c r="D417" s="12"/>
      <c r="E417" s="7"/>
      <c r="F417" s="7"/>
      <c r="G417" s="12"/>
      <c r="H417" s="12"/>
      <c r="I417" s="32"/>
      <c r="J417" s="17"/>
    </row>
    <row r="418" spans="2:10" hidden="1" x14ac:dyDescent="0.25">
      <c r="B418" s="7">
        <v>412</v>
      </c>
      <c r="C418" s="16"/>
      <c r="D418" s="12"/>
      <c r="E418" s="7"/>
      <c r="F418" s="7"/>
      <c r="G418" s="12"/>
      <c r="H418" s="12"/>
      <c r="I418" s="32"/>
      <c r="J418" s="17"/>
    </row>
    <row r="419" spans="2:10" hidden="1" x14ac:dyDescent="0.25">
      <c r="B419" s="7">
        <v>413</v>
      </c>
      <c r="C419" s="16"/>
      <c r="D419" s="12"/>
      <c r="E419" s="7"/>
      <c r="F419" s="7"/>
      <c r="G419" s="12"/>
      <c r="H419" s="12"/>
      <c r="I419" s="32"/>
      <c r="J419" s="17"/>
    </row>
    <row r="420" spans="2:10" hidden="1" x14ac:dyDescent="0.25">
      <c r="B420" s="7">
        <v>414</v>
      </c>
      <c r="C420" s="16"/>
      <c r="D420" s="12"/>
      <c r="E420" s="7"/>
      <c r="F420" s="7"/>
      <c r="G420" s="12"/>
      <c r="H420" s="12"/>
      <c r="I420" s="32"/>
      <c r="J420" s="17"/>
    </row>
    <row r="421" spans="2:10" hidden="1" x14ac:dyDescent="0.25">
      <c r="B421" s="7">
        <v>415</v>
      </c>
      <c r="C421" s="16"/>
      <c r="D421" s="12"/>
      <c r="E421" s="7"/>
      <c r="F421" s="7"/>
      <c r="G421" s="12"/>
      <c r="H421" s="12"/>
      <c r="I421" s="32"/>
      <c r="J421" s="17"/>
    </row>
    <row r="422" spans="2:10" hidden="1" x14ac:dyDescent="0.25">
      <c r="B422" s="7">
        <v>416</v>
      </c>
      <c r="C422" s="16"/>
      <c r="D422" s="12"/>
      <c r="E422" s="7"/>
      <c r="F422" s="7"/>
      <c r="G422" s="12"/>
      <c r="H422" s="12"/>
      <c r="I422" s="32"/>
      <c r="J422" s="17"/>
    </row>
    <row r="423" spans="2:10" hidden="1" x14ac:dyDescent="0.25">
      <c r="B423" s="7">
        <v>417</v>
      </c>
      <c r="C423" s="16"/>
      <c r="D423" s="12"/>
      <c r="E423" s="7"/>
      <c r="F423" s="7"/>
      <c r="G423" s="12"/>
      <c r="H423" s="12"/>
      <c r="I423" s="32"/>
      <c r="J423" s="17"/>
    </row>
    <row r="424" spans="2:10" hidden="1" x14ac:dyDescent="0.25">
      <c r="B424" s="7">
        <v>418</v>
      </c>
      <c r="C424" s="16"/>
      <c r="D424" s="12"/>
      <c r="E424" s="7"/>
      <c r="F424" s="7"/>
      <c r="G424" s="12"/>
      <c r="H424" s="12"/>
      <c r="I424" s="32"/>
      <c r="J424" s="17"/>
    </row>
    <row r="425" spans="2:10" hidden="1" x14ac:dyDescent="0.25">
      <c r="B425" s="7">
        <v>419</v>
      </c>
      <c r="C425" s="16"/>
      <c r="D425" s="12"/>
      <c r="E425" s="7"/>
      <c r="F425" s="7"/>
      <c r="G425" s="12"/>
      <c r="H425" s="12"/>
      <c r="I425" s="32"/>
      <c r="J425" s="17"/>
    </row>
    <row r="426" spans="2:10" hidden="1" x14ac:dyDescent="0.25">
      <c r="B426" s="7">
        <v>420</v>
      </c>
      <c r="C426" s="16"/>
      <c r="D426" s="12"/>
      <c r="E426" s="7"/>
      <c r="F426" s="7"/>
      <c r="G426" s="12"/>
      <c r="H426" s="12"/>
      <c r="I426" s="32"/>
      <c r="J426" s="17"/>
    </row>
    <row r="427" spans="2:10" hidden="1" x14ac:dyDescent="0.25">
      <c r="B427" s="7">
        <v>421</v>
      </c>
      <c r="C427" s="16"/>
      <c r="D427" s="12"/>
      <c r="E427" s="7"/>
      <c r="F427" s="7"/>
      <c r="G427" s="12"/>
      <c r="H427" s="12"/>
      <c r="I427" s="32"/>
      <c r="J427" s="17"/>
    </row>
    <row r="428" spans="2:10" hidden="1" x14ac:dyDescent="0.25">
      <c r="B428" s="7">
        <v>422</v>
      </c>
      <c r="C428" s="16"/>
      <c r="D428" s="12"/>
      <c r="E428" s="7"/>
      <c r="F428" s="7"/>
      <c r="G428" s="12"/>
      <c r="H428" s="12"/>
      <c r="I428" s="32"/>
      <c r="J428" s="17"/>
    </row>
    <row r="429" spans="2:10" hidden="1" x14ac:dyDescent="0.25">
      <c r="B429" s="7">
        <v>423</v>
      </c>
      <c r="C429" s="16"/>
      <c r="D429" s="12"/>
      <c r="E429" s="7"/>
      <c r="F429" s="7"/>
      <c r="G429" s="12"/>
      <c r="H429" s="12"/>
      <c r="I429" s="32"/>
      <c r="J429" s="17"/>
    </row>
    <row r="430" spans="2:10" hidden="1" x14ac:dyDescent="0.25">
      <c r="B430" s="7">
        <v>424</v>
      </c>
      <c r="C430" s="16"/>
      <c r="D430" s="12"/>
      <c r="E430" s="7"/>
      <c r="F430" s="7"/>
      <c r="G430" s="12"/>
      <c r="H430" s="12"/>
      <c r="I430" s="32"/>
      <c r="J430" s="17"/>
    </row>
    <row r="431" spans="2:10" hidden="1" x14ac:dyDescent="0.25">
      <c r="B431" s="7">
        <v>425</v>
      </c>
      <c r="C431" s="16"/>
      <c r="D431" s="12"/>
      <c r="E431" s="7"/>
      <c r="F431" s="7"/>
      <c r="G431" s="12"/>
      <c r="H431" s="12"/>
      <c r="I431" s="32"/>
      <c r="J431" s="17"/>
    </row>
    <row r="432" spans="2:10" hidden="1" x14ac:dyDescent="0.25">
      <c r="B432" s="7">
        <v>426</v>
      </c>
      <c r="C432" s="16"/>
      <c r="D432" s="12"/>
      <c r="E432" s="7"/>
      <c r="F432" s="7"/>
      <c r="G432" s="12"/>
      <c r="H432" s="12"/>
      <c r="I432" s="32"/>
      <c r="J432" s="17"/>
    </row>
    <row r="433" spans="2:11" hidden="1" x14ac:dyDescent="0.25">
      <c r="B433" s="7">
        <v>427</v>
      </c>
      <c r="C433" s="16"/>
      <c r="D433" s="12"/>
      <c r="E433" s="7"/>
      <c r="F433" s="7"/>
      <c r="G433" s="12"/>
      <c r="H433" s="12"/>
      <c r="I433" s="32"/>
      <c r="J433" s="17"/>
    </row>
    <row r="434" spans="2:11" hidden="1" x14ac:dyDescent="0.25">
      <c r="B434" s="7">
        <v>428</v>
      </c>
      <c r="C434" s="16"/>
      <c r="D434" s="12"/>
      <c r="E434" s="7"/>
      <c r="F434" s="7"/>
      <c r="G434" s="12"/>
      <c r="H434" s="12"/>
      <c r="I434" s="32"/>
      <c r="J434" s="17"/>
    </row>
    <row r="435" spans="2:11" hidden="1" x14ac:dyDescent="0.25">
      <c r="B435" s="7">
        <v>429</v>
      </c>
      <c r="C435" s="16"/>
      <c r="D435" s="12"/>
      <c r="E435" s="7"/>
      <c r="F435" s="7"/>
      <c r="G435" s="12"/>
      <c r="H435" s="12"/>
      <c r="I435" s="32"/>
      <c r="J435" s="17"/>
    </row>
    <row r="436" spans="2:11" hidden="1" x14ac:dyDescent="0.25">
      <c r="B436" s="7">
        <v>430</v>
      </c>
      <c r="C436" s="16"/>
      <c r="D436" s="12"/>
      <c r="E436" s="7"/>
      <c r="F436" s="7"/>
      <c r="G436" s="12"/>
      <c r="H436" s="12"/>
      <c r="I436" s="32"/>
      <c r="J436" s="17"/>
    </row>
    <row r="437" spans="2:11" hidden="1" x14ac:dyDescent="0.25">
      <c r="B437" s="7">
        <v>431</v>
      </c>
      <c r="C437" s="16"/>
      <c r="D437" s="12"/>
      <c r="E437" s="7"/>
      <c r="F437" s="7"/>
      <c r="G437" s="12"/>
      <c r="H437" s="12"/>
      <c r="I437" s="32"/>
      <c r="J437" s="17"/>
    </row>
    <row r="438" spans="2:11" hidden="1" x14ac:dyDescent="0.25">
      <c r="B438" s="7">
        <v>432</v>
      </c>
      <c r="C438" s="16"/>
      <c r="D438" s="12"/>
      <c r="E438" s="7"/>
      <c r="F438" s="7"/>
      <c r="G438" s="12"/>
      <c r="H438" s="12"/>
      <c r="I438" s="32"/>
      <c r="J438" s="17"/>
    </row>
    <row r="439" spans="2:11" hidden="1" x14ac:dyDescent="0.25">
      <c r="B439" s="7">
        <v>433</v>
      </c>
      <c r="C439" s="16"/>
      <c r="D439" s="12"/>
      <c r="E439" s="7"/>
      <c r="F439" s="7"/>
      <c r="G439" s="12"/>
      <c r="H439" s="12"/>
      <c r="I439" s="32"/>
      <c r="J439" s="17"/>
    </row>
    <row r="440" spans="2:11" hidden="1" x14ac:dyDescent="0.25">
      <c r="B440" s="7">
        <v>434</v>
      </c>
      <c r="C440" s="16"/>
      <c r="D440" s="12"/>
      <c r="E440" s="7"/>
      <c r="F440" s="7"/>
      <c r="G440" s="12"/>
      <c r="H440" s="12"/>
      <c r="I440" s="32"/>
      <c r="J440" s="17"/>
    </row>
    <row r="441" spans="2:11" hidden="1" x14ac:dyDescent="0.25">
      <c r="B441" s="7">
        <v>435</v>
      </c>
      <c r="C441" s="16"/>
      <c r="D441" s="12"/>
      <c r="E441" s="7"/>
      <c r="F441" s="7"/>
      <c r="G441" s="12"/>
      <c r="H441" s="12"/>
      <c r="I441" s="32"/>
      <c r="J441" s="17"/>
    </row>
    <row r="442" spans="2:11" hidden="1" x14ac:dyDescent="0.25">
      <c r="B442" s="7">
        <v>436</v>
      </c>
      <c r="C442" s="16"/>
      <c r="D442" s="12"/>
      <c r="E442" s="7"/>
      <c r="F442" s="7"/>
      <c r="G442" s="12"/>
      <c r="H442" s="12"/>
      <c r="I442" s="32"/>
      <c r="J442" s="17"/>
    </row>
    <row r="443" spans="2:11" hidden="1" x14ac:dyDescent="0.25">
      <c r="B443" s="7">
        <v>437</v>
      </c>
      <c r="C443" s="16"/>
      <c r="D443" s="12"/>
      <c r="E443" s="7"/>
      <c r="F443" s="7"/>
      <c r="G443" s="12"/>
      <c r="H443" s="12"/>
      <c r="I443" s="32"/>
      <c r="J443" s="17"/>
    </row>
    <row r="444" spans="2:11" hidden="1" x14ac:dyDescent="0.25">
      <c r="B444" s="7">
        <v>438</v>
      </c>
      <c r="C444" s="16"/>
      <c r="D444" s="12"/>
      <c r="E444" s="7"/>
      <c r="F444" s="7"/>
      <c r="G444" s="12"/>
      <c r="H444" s="12"/>
      <c r="I444" s="32"/>
      <c r="J444" s="17"/>
    </row>
    <row r="445" spans="2:11" hidden="1" x14ac:dyDescent="0.25">
      <c r="B445" s="7">
        <v>439</v>
      </c>
      <c r="C445" s="16"/>
      <c r="D445" s="12"/>
      <c r="E445" s="7"/>
      <c r="F445" s="7"/>
      <c r="G445" s="12"/>
      <c r="H445" s="12"/>
      <c r="I445" s="32"/>
      <c r="J445" s="17"/>
    </row>
    <row r="446" spans="2:11" hidden="1" x14ac:dyDescent="0.25">
      <c r="B446" s="7">
        <v>440</v>
      </c>
      <c r="C446" s="16"/>
      <c r="D446" s="12"/>
      <c r="E446" s="7"/>
      <c r="F446" s="7"/>
      <c r="G446" s="12"/>
      <c r="H446" s="12"/>
      <c r="I446" s="32"/>
      <c r="J446" s="17"/>
    </row>
    <row r="447" spans="2:11" s="6" customFormat="1" ht="13.5" customHeight="1" x14ac:dyDescent="0.25">
      <c r="B447" s="33" t="s">
        <v>13</v>
      </c>
      <c r="C447" s="34" t="str">
        <f>UPPER("Total Payment")</f>
        <v>TOTAL PAYMENT</v>
      </c>
      <c r="D447" s="35"/>
      <c r="E447" s="35"/>
      <c r="F447" s="35"/>
      <c r="G447" s="35"/>
      <c r="H447" s="35"/>
      <c r="I447" s="36">
        <f>SUM(I6:I412)</f>
        <v>325506436</v>
      </c>
      <c r="J447" s="37"/>
      <c r="K447" s="4"/>
    </row>
    <row r="448" spans="2:11" s="6" customFormat="1" ht="13.5" customHeight="1" x14ac:dyDescent="0.25">
      <c r="B448" s="7">
        <v>1</v>
      </c>
      <c r="C448" s="7">
        <v>1283101560</v>
      </c>
      <c r="D448" s="12" t="str">
        <f>VLOOKUP(C448,[1]report!$A$2:$Q$496,3,FALSE)</f>
        <v>SHALAHUDDIN ALAYUBI SITANGGANG</v>
      </c>
      <c r="E448" s="7">
        <f>VLOOKUP(C448,[1]report!$A$2:$Q$496,4,FALSE)</f>
        <v>95237601</v>
      </c>
      <c r="F448" s="7">
        <f>VLOOKUP(C448,[1]report!$A$2:$Q$496,5,FALSE)</f>
        <v>4120177624</v>
      </c>
      <c r="G448" s="12" t="str">
        <f>VLOOKUP(C448,[1]report!$A$2:$Q$496,8,FALSE)</f>
        <v>Kota Baubau - Kota Banjarbaru</v>
      </c>
      <c r="H448" s="12" t="str">
        <f>VLOOKUP(C448,[1]report!$A$2:$Q$496,9,FALSE)</f>
        <v>14/09/2025 - 18/09/2025</v>
      </c>
      <c r="I448" s="13">
        <v>1090500</v>
      </c>
      <c r="J448" s="37"/>
      <c r="K448" s="4"/>
    </row>
    <row r="449" spans="2:11" s="6" customFormat="1" ht="13.5" customHeight="1" x14ac:dyDescent="0.25">
      <c r="B449" s="7">
        <v>2</v>
      </c>
      <c r="C449" s="7">
        <v>1283102400</v>
      </c>
      <c r="D449" s="12" t="str">
        <f>VLOOKUP(C449,[1]report!$A$2:$Q$496,3,FALSE)</f>
        <v>SHALAHUDDIN ALAYUBI SITANGGANG</v>
      </c>
      <c r="E449" s="7">
        <f>VLOOKUP(C449,[1]report!$A$2:$Q$496,4,FALSE)</f>
        <v>95237601</v>
      </c>
      <c r="F449" s="7">
        <f>VLOOKUP(C449,[1]report!$A$2:$Q$496,5,FALSE)</f>
        <v>4120177624</v>
      </c>
      <c r="G449" s="12" t="str">
        <f>VLOOKUP(C449,[1]report!$A$2:$Q$496,8,FALSE)</f>
        <v>Kota Baubau - Kota Banjarbaru</v>
      </c>
      <c r="H449" s="12" t="str">
        <f>VLOOKUP(C449,[1]report!$A$2:$Q$496,9,FALSE)</f>
        <v>14/09/2025 - 18/09/2025</v>
      </c>
      <c r="I449" s="13">
        <v>1607042</v>
      </c>
      <c r="J449" s="37"/>
      <c r="K449" s="4"/>
    </row>
    <row r="450" spans="2:11" s="6" customFormat="1" ht="13.5" customHeight="1" x14ac:dyDescent="0.25">
      <c r="B450" s="7">
        <v>3</v>
      </c>
      <c r="C450" s="7">
        <v>1285398477</v>
      </c>
      <c r="D450" s="12" t="str">
        <f>VLOOKUP(C450,[1]report!$A$2:$Q$496,3,FALSE)</f>
        <v>M.SYAMSUL KAMAR</v>
      </c>
      <c r="E450" s="7">
        <f>VLOOKUP(C450,[1]report!$A$2:$Q$496,4,FALSE)</f>
        <v>71947602</v>
      </c>
      <c r="F450" s="7">
        <f>VLOOKUP(C450,[1]report!$A$2:$Q$496,5,FALSE)</f>
        <v>4120177728</v>
      </c>
      <c r="G450" s="12" t="str">
        <f>VLOOKUP(C450,[1]report!$A$2:$Q$496,8,FALSE)</f>
        <v>Kota Makassar - Kab. Kolaka - Kota Kendari</v>
      </c>
      <c r="H450" s="12" t="str">
        <f>VLOOKUP(C450,[1]report!$A$2:$Q$496,9,FALSE)</f>
        <v>16/09/2025 - 19/09/2025</v>
      </c>
      <c r="I450" s="13">
        <v>845100</v>
      </c>
      <c r="J450" s="37"/>
      <c r="K450" s="4"/>
    </row>
    <row r="451" spans="2:11" s="6" customFormat="1" hidden="1" x14ac:dyDescent="0.25">
      <c r="B451" s="7">
        <v>4</v>
      </c>
      <c r="C451" s="11"/>
      <c r="D451" s="12"/>
      <c r="E451" s="7"/>
      <c r="F451" s="7"/>
      <c r="G451" s="12"/>
      <c r="H451" s="12"/>
      <c r="I451" s="13"/>
      <c r="J451" s="22"/>
      <c r="K451" s="4"/>
    </row>
    <row r="452" spans="2:11" hidden="1" x14ac:dyDescent="0.25">
      <c r="B452" s="7">
        <v>5</v>
      </c>
      <c r="C452" s="7"/>
      <c r="D452" s="12"/>
      <c r="E452" s="7"/>
      <c r="F452" s="7"/>
      <c r="G452" s="12"/>
      <c r="H452" s="12"/>
      <c r="I452" s="13"/>
      <c r="J452" s="38"/>
    </row>
    <row r="453" spans="2:11" hidden="1" x14ac:dyDescent="0.25">
      <c r="B453" s="7">
        <v>6</v>
      </c>
      <c r="C453" s="7"/>
      <c r="D453" s="12"/>
      <c r="E453" s="7"/>
      <c r="F453" s="7"/>
      <c r="G453" s="12"/>
      <c r="H453" s="12"/>
      <c r="I453" s="13"/>
      <c r="J453" s="38"/>
    </row>
    <row r="454" spans="2:11" x14ac:dyDescent="0.25">
      <c r="B454" s="39" t="s">
        <v>14</v>
      </c>
      <c r="C454" s="35" t="str">
        <f>UPPER("Nominal Refund")</f>
        <v>NOMINAL REFUND</v>
      </c>
      <c r="D454" s="35"/>
      <c r="E454" s="35"/>
      <c r="F454" s="35"/>
      <c r="G454" s="35"/>
      <c r="H454" s="35"/>
      <c r="I454" s="40">
        <f>SUM(I448:I453)</f>
        <v>3542642</v>
      </c>
    </row>
    <row r="455" spans="2:11" ht="14.25" customHeight="1" x14ac:dyDescent="0.25">
      <c r="B455" s="39" t="s">
        <v>15</v>
      </c>
      <c r="C455" s="35" t="s">
        <v>16</v>
      </c>
      <c r="D455" s="35"/>
      <c r="E455" s="35"/>
      <c r="F455" s="35"/>
      <c r="G455" s="35"/>
      <c r="H455" s="35"/>
      <c r="I455" s="36">
        <v>7500</v>
      </c>
    </row>
    <row r="456" spans="2:11" x14ac:dyDescent="0.25">
      <c r="B456" s="39" t="s">
        <v>17</v>
      </c>
      <c r="C456" s="42" t="s">
        <v>18</v>
      </c>
      <c r="D456" s="43"/>
      <c r="E456" s="43"/>
      <c r="F456" s="43"/>
      <c r="G456" s="43"/>
      <c r="H456" s="44"/>
      <c r="I456" s="36">
        <v>600000</v>
      </c>
    </row>
    <row r="457" spans="2:11" hidden="1" x14ac:dyDescent="0.25">
      <c r="B457" s="39" t="s">
        <v>19</v>
      </c>
      <c r="C457" s="42" t="s">
        <v>20</v>
      </c>
      <c r="D457" s="43"/>
      <c r="E457" s="43"/>
      <c r="F457" s="43"/>
      <c r="G457" s="43"/>
      <c r="H457" s="44"/>
      <c r="I457" s="36">
        <v>0</v>
      </c>
    </row>
    <row r="458" spans="2:11" s="46" customFormat="1" x14ac:dyDescent="0.25">
      <c r="B458" s="42" t="s">
        <v>21</v>
      </c>
      <c r="C458" s="43"/>
      <c r="D458" s="43"/>
      <c r="E458" s="43"/>
      <c r="F458" s="43"/>
      <c r="G458" s="43"/>
      <c r="H458" s="44"/>
      <c r="I458" s="45">
        <f>I447-I454+I455+I456+I457</f>
        <v>322571294</v>
      </c>
      <c r="J458" s="4"/>
    </row>
  </sheetData>
  <autoFilter ref="B5:J458" xr:uid="{00000000-0009-0000-0000-000003000000}"/>
  <mergeCells count="8">
    <mergeCell ref="C457:H457"/>
    <mergeCell ref="B458:H458"/>
    <mergeCell ref="B2:I2"/>
    <mergeCell ref="B3:I3"/>
    <mergeCell ref="C447:H447"/>
    <mergeCell ref="C454:H454"/>
    <mergeCell ref="C455:H455"/>
    <mergeCell ref="C456:H456"/>
  </mergeCells>
  <pageMargins left="0.7" right="0.7" top="0.3" bottom="0.5" header="0.3" footer="0.3"/>
  <pageSetup paperSize="9" scale="7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Juli 25 - 5657</vt:lpstr>
      <vt:lpstr>Agustus 25 - 5657</vt:lpstr>
      <vt:lpstr>September 25 - 5657</vt:lpstr>
      <vt:lpstr>September 25 - 9386</vt:lpstr>
      <vt:lpstr>'Agustus 25 - 5657'!Print_Area</vt:lpstr>
      <vt:lpstr>'Juli 25 - 5657'!Print_Area</vt:lpstr>
      <vt:lpstr>'September 25 - 5657'!Print_Area</vt:lpstr>
      <vt:lpstr>'September 25 - 9386'!Print_Area</vt:lpstr>
      <vt:lpstr>'Agustus 25 - 5657'!Print_Titles</vt:lpstr>
      <vt:lpstr>'Juli 25 - 5657'!Print_Titles</vt:lpstr>
      <vt:lpstr>'September 25 - 5657'!Print_Titles</vt:lpstr>
      <vt:lpstr>'September 25 - 9386'!Print_Titles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Sekretariat 1</dc:creator>
  <cp:lastModifiedBy>Sekretariat 1</cp:lastModifiedBy>
  <dcterms:created xsi:type="dcterms:W3CDTF">2025-10-14T03:14:27Z</dcterms:created>
  <dcterms:modified xsi:type="dcterms:W3CDTF">2025-10-15T02:47:47Z</dcterms:modified>
</cp:coreProperties>
</file>